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3.xml" ContentType="application/vnd.openxmlformats-officedocument.drawing+xml"/>
  <Override PartName="/xl/tables/table14.xml" ContentType="application/vnd.openxmlformats-officedocument.spreadsheetml.table+xml"/>
  <Override PartName="/xl/charts/chart3.xml" ContentType="application/vnd.openxmlformats-officedocument.drawingml.char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b10842967f2df2/Documents/ChatGPT/Aerodynamic setup optimization/motorsport_aero_project/outputs/aero-release/"/>
    </mc:Choice>
  </mc:AlternateContent>
  <xr:revisionPtr revIDLastSave="1" documentId="11_DC9EB36A8BC1B5DB896B3B1B6D1C14896B1C006F" xr6:coauthVersionLast="47" xr6:coauthVersionMax="47" xr10:uidLastSave="{42452323-CF50-453F-B278-B13D1F7105A6}"/>
  <bookViews>
    <workbookView xWindow="-118" yWindow="-118" windowWidth="25370" windowHeight="14374" xr2:uid="{00000000-000D-0000-FFFF-FFFF00000000}"/>
  </bookViews>
  <sheets>
    <sheet name="Lap Summary" sheetId="1" r:id="rId1"/>
    <sheet name="Setup Comparison" sheetId="2" r:id="rId2"/>
    <sheet name="Assumptions" sheetId="3" r:id="rId3"/>
    <sheet name="Aero Calculations" sheetId="4" r:id="rId4"/>
    <sheet name="Lap-Time Model" sheetId="5" r:id="rId5"/>
    <sheet name="Sector Comparison" sheetId="6" r:id="rId6"/>
    <sheet name="DRS Analysis" sheetId="7" r:id="rId7"/>
    <sheet name="Sensitivity Analysis" sheetId="8" r:id="rId8"/>
    <sheet name="Optimization Results" sheetId="9" r:id="rId9"/>
    <sheet name="Charts" sheetId="10" r:id="rId10"/>
    <sheet name="Vehicle Inputs" sheetId="11" r:id="rId11"/>
    <sheet name="Simulation Settings" sheetId="12" r:id="rId12"/>
    <sheet name="Segment Simulation" sheetId="13" r:id="rId13"/>
    <sheet name="Speed Trace" sheetId="14" r:id="rId14"/>
    <sheet name="Force Breakdown" sheetId="15" r:id="rId15"/>
    <sheet name="Tyre State" sheetId="16" r:id="rId16"/>
    <sheet name="Fuel State" sheetId="17" r:id="rId17"/>
    <sheet name="Car Inputs" sheetId="18" r:id="rId18"/>
    <sheet name="Circuit Inputs" sheetId="19" r:id="rId19"/>
    <sheet name="Sector Inputs" sheetId="20" r:id="rId20"/>
    <sheet name="Corner Inputs" sheetId="21" r:id="rId21"/>
    <sheet name="Tyre Inputs" sheetId="22" r:id="rId22"/>
    <sheet name="Weather Inputs" sheetId="23" r:id="rId23"/>
    <sheet name="Aero Map" sheetId="24" r:id="rId24"/>
    <sheet name="Setup Scenarios" sheetId="25" r:id="rId25"/>
    <sheet name="Data Quality" sheetId="26" r:id="rId26"/>
    <sheet name="Python Reconciliation" sheetId="27" r:id="rId27"/>
    <sheet name="MySQL Reconciliation" sheetId="28" r:id="rId28"/>
    <sheet name="Unit Reference" sheetId="29" r:id="rId29"/>
    <sheet name="Project Scope" sheetId="30" r:id="rId30"/>
    <sheet name="README" sheetId="31" r:id="rId31"/>
  </sheets>
  <definedNames>
    <definedName name="AirDensity">Assumptions!$B$6</definedName>
    <definedName name="Cd">Assumptions!$B$9</definedName>
    <definedName name="ClDown">Assumptions!$B$8</definedName>
    <definedName name="DRSDragMultiplier">Assumptions!$B$16</definedName>
    <definedName name="DRSRearMultiplier">Assumptions!$B$17</definedName>
    <definedName name="Friction">Assumptions!$B$12</definedName>
    <definedName name="FrontFraction">Assumptions!$B$10</definedName>
    <definedName name="Gravity">Assumptions!$B$11</definedName>
    <definedName name="Mass">Assumptions!$B$13</definedName>
    <definedName name="_xlnm.Print_Area" localSheetId="0">'Lap Summary'!$A$1:$H$30</definedName>
    <definedName name="_xlnm.Print_Titles" localSheetId="3">'Aero Calculations'!$1:$5</definedName>
    <definedName name="_xlnm.Print_Titles" localSheetId="23">'Aero Map'!$1:$5</definedName>
    <definedName name="_xlnm.Print_Titles" localSheetId="2">Assumptions!$1:$5</definedName>
    <definedName name="_xlnm.Print_Titles" localSheetId="17">'Car Inputs'!$1:$5</definedName>
    <definedName name="_xlnm.Print_Titles" localSheetId="9">Charts!$1:$5</definedName>
    <definedName name="_xlnm.Print_Titles" localSheetId="18">'Circuit Inputs'!$1:$5</definedName>
    <definedName name="_xlnm.Print_Titles" localSheetId="20">'Corner Inputs'!$1:$5</definedName>
    <definedName name="_xlnm.Print_Titles" localSheetId="25">'Data Quality'!$1:$5</definedName>
    <definedName name="_xlnm.Print_Titles" localSheetId="6">'DRS Analysis'!$1:$5</definedName>
    <definedName name="_xlnm.Print_Titles" localSheetId="14">'Force Breakdown'!$1:$5</definedName>
    <definedName name="_xlnm.Print_Titles" localSheetId="16">'Fuel State'!$1:$5</definedName>
    <definedName name="_xlnm.Print_Titles" localSheetId="0">'Lap Summary'!$1:$5</definedName>
    <definedName name="_xlnm.Print_Titles" localSheetId="4">'Lap-Time Model'!$1:$5</definedName>
    <definedName name="_xlnm.Print_Titles" localSheetId="27">'MySQL Reconciliation'!$1:$5</definedName>
    <definedName name="_xlnm.Print_Titles" localSheetId="8">'Optimization Results'!$1:$5</definedName>
    <definedName name="_xlnm.Print_Titles" localSheetId="29">'Project Scope'!$1:$5</definedName>
    <definedName name="_xlnm.Print_Titles" localSheetId="26">'Python Reconciliation'!$1:$5</definedName>
    <definedName name="_xlnm.Print_Titles" localSheetId="30">README!$1:$5</definedName>
    <definedName name="_xlnm.Print_Titles" localSheetId="5">'Sector Comparison'!$1:$5</definedName>
    <definedName name="_xlnm.Print_Titles" localSheetId="19">'Sector Inputs'!$1:$5</definedName>
    <definedName name="_xlnm.Print_Titles" localSheetId="12">'Segment Simulation'!$1:$5</definedName>
    <definedName name="_xlnm.Print_Titles" localSheetId="7">'Sensitivity Analysis'!$1:$5</definedName>
    <definedName name="_xlnm.Print_Titles" localSheetId="1">'Setup Comparison'!$1:$5</definedName>
    <definedName name="_xlnm.Print_Titles" localSheetId="24">'Setup Scenarios'!$1:$5</definedName>
    <definedName name="_xlnm.Print_Titles" localSheetId="11">'Simulation Settings'!$1:$5</definedName>
    <definedName name="_xlnm.Print_Titles" localSheetId="13">'Speed Trace'!$1:$5</definedName>
    <definedName name="_xlnm.Print_Titles" localSheetId="21">'Tyre Inputs'!$1:$5</definedName>
    <definedName name="_xlnm.Print_Titles" localSheetId="15">'Tyre State'!$1:$5</definedName>
    <definedName name="_xlnm.Print_Titles" localSheetId="28">'Unit Reference'!$1:$5</definedName>
    <definedName name="_xlnm.Print_Titles" localSheetId="10">'Vehicle Inputs'!$1:$5</definedName>
    <definedName name="_xlnm.Print_Titles" localSheetId="22">'Weather Inputs'!$1:$5</definedName>
    <definedName name="Radius">Assumptions!$B$14</definedName>
    <definedName name="ReferenceArea">Assumptions!$B$7</definedName>
    <definedName name="Tolerance">Assumptions!$B$15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7" l="1"/>
  <c r="D10" i="27" s="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F8" i="7"/>
  <c r="F7" i="7"/>
  <c r="F6" i="7"/>
  <c r="D8" i="6"/>
  <c r="D7" i="6"/>
  <c r="D6" i="6"/>
  <c r="B14" i="5"/>
  <c r="B13" i="5"/>
  <c r="B10" i="5"/>
  <c r="B9" i="5"/>
  <c r="B26" i="4"/>
  <c r="D26" i="4" s="1"/>
  <c r="B25" i="4"/>
  <c r="D25" i="4" s="1"/>
  <c r="B24" i="4"/>
  <c r="D24" i="4" s="1"/>
  <c r="B23" i="4"/>
  <c r="C23" i="4" s="1"/>
  <c r="B22" i="4"/>
  <c r="D22" i="4" s="1"/>
  <c r="B21" i="4"/>
  <c r="D21" i="4" s="1"/>
  <c r="B20" i="4"/>
  <c r="D20" i="4" s="1"/>
  <c r="B19" i="4"/>
  <c r="D19" i="4" s="1"/>
  <c r="C19" i="10" s="1"/>
  <c r="B18" i="4"/>
  <c r="D18" i="4" s="1"/>
  <c r="B17" i="4"/>
  <c r="D17" i="4" s="1"/>
  <c r="B16" i="4"/>
  <c r="C6" i="27" s="1"/>
  <c r="D6" i="27" s="1"/>
  <c r="B15" i="4"/>
  <c r="D15" i="4" s="1"/>
  <c r="B14" i="4"/>
  <c r="D14" i="4" s="1"/>
  <c r="B13" i="4"/>
  <c r="D13" i="4" s="1"/>
  <c r="B12" i="4"/>
  <c r="D12" i="4" s="1"/>
  <c r="B11" i="4"/>
  <c r="C11" i="4" s="1"/>
  <c r="B10" i="4"/>
  <c r="D10" i="4" s="1"/>
  <c r="B9" i="4"/>
  <c r="D9" i="4" s="1"/>
  <c r="B8" i="4"/>
  <c r="C8" i="4" s="1"/>
  <c r="B8" i="10" s="1"/>
  <c r="B7" i="4"/>
  <c r="D7" i="4" s="1"/>
  <c r="B6" i="4"/>
  <c r="D6" i="4" s="1"/>
  <c r="D8" i="1"/>
  <c r="D7" i="1"/>
  <c r="D6" i="1"/>
  <c r="C16" i="4" l="1"/>
  <c r="D16" i="4"/>
  <c r="C8" i="27" s="1"/>
  <c r="D8" i="27" s="1"/>
  <c r="C19" i="4"/>
  <c r="D8" i="4"/>
  <c r="K8" i="4" s="1"/>
  <c r="K26" i="4"/>
  <c r="J26" i="4"/>
  <c r="C26" i="10"/>
  <c r="L26" i="4"/>
  <c r="C6" i="10"/>
  <c r="K6" i="4"/>
  <c r="L6" i="4" s="1"/>
  <c r="J6" i="4"/>
  <c r="I6" i="4"/>
  <c r="J18" i="4"/>
  <c r="I18" i="4"/>
  <c r="K18" i="4"/>
  <c r="L18" i="4" s="1"/>
  <c r="C18" i="10"/>
  <c r="L9" i="4"/>
  <c r="K9" i="4"/>
  <c r="J9" i="4"/>
  <c r="C9" i="10"/>
  <c r="K20" i="4"/>
  <c r="L20" i="4" s="1"/>
  <c r="J20" i="4"/>
  <c r="C20" i="10"/>
  <c r="C10" i="10"/>
  <c r="K10" i="4"/>
  <c r="L10" i="4" s="1"/>
  <c r="J10" i="4"/>
  <c r="C21" i="10"/>
  <c r="K21" i="4"/>
  <c r="L21" i="4" s="1"/>
  <c r="J21" i="4"/>
  <c r="E11" i="4"/>
  <c r="G11" i="4" s="1"/>
  <c r="B11" i="10"/>
  <c r="C22" i="10"/>
  <c r="K22" i="4"/>
  <c r="L22" i="4" s="1"/>
  <c r="J22" i="4"/>
  <c r="B23" i="10"/>
  <c r="E23" i="4"/>
  <c r="G23" i="4" s="1"/>
  <c r="K24" i="4"/>
  <c r="L24" i="4" s="1"/>
  <c r="J24" i="4"/>
  <c r="C24" i="10"/>
  <c r="C15" i="10"/>
  <c r="K15" i="4"/>
  <c r="L15" i="4" s="1"/>
  <c r="J15" i="4"/>
  <c r="I15" i="4"/>
  <c r="L17" i="4"/>
  <c r="K17" i="4"/>
  <c r="C17" i="10"/>
  <c r="J17" i="4"/>
  <c r="C7" i="10"/>
  <c r="K7" i="4"/>
  <c r="L7" i="4" s="1"/>
  <c r="J7" i="4"/>
  <c r="J12" i="4"/>
  <c r="C12" i="10"/>
  <c r="K12" i="4"/>
  <c r="L12" i="4" s="1"/>
  <c r="C13" i="10"/>
  <c r="K13" i="4"/>
  <c r="L13" i="4" s="1"/>
  <c r="J13" i="4"/>
  <c r="C14" i="10"/>
  <c r="K14" i="4"/>
  <c r="L14" i="4" s="1"/>
  <c r="J14" i="4"/>
  <c r="K25" i="4"/>
  <c r="L25" i="4"/>
  <c r="J25" i="4"/>
  <c r="C25" i="10"/>
  <c r="L8" i="4"/>
  <c r="C6" i="4"/>
  <c r="C22" i="4"/>
  <c r="I22" i="4" s="1"/>
  <c r="C9" i="4"/>
  <c r="C12" i="4"/>
  <c r="I12" i="4" s="1"/>
  <c r="C15" i="4"/>
  <c r="I16" i="4"/>
  <c r="C18" i="4"/>
  <c r="J16" i="4"/>
  <c r="C9" i="27" s="1"/>
  <c r="D9" i="27" s="1"/>
  <c r="I19" i="4"/>
  <c r="C21" i="4"/>
  <c r="C8" i="10"/>
  <c r="K16" i="4"/>
  <c r="L16" i="4" s="1"/>
  <c r="J19" i="4"/>
  <c r="C24" i="4"/>
  <c r="K19" i="4"/>
  <c r="L19" i="4"/>
  <c r="B19" i="10"/>
  <c r="D23" i="4"/>
  <c r="C26" i="4"/>
  <c r="E8" i="4"/>
  <c r="F8" i="4" s="1"/>
  <c r="H8" i="4" s="1"/>
  <c r="D11" i="4"/>
  <c r="C14" i="4"/>
  <c r="C17" i="4"/>
  <c r="C20" i="4"/>
  <c r="I20" i="4" s="1"/>
  <c r="C7" i="4"/>
  <c r="I8" i="4"/>
  <c r="C10" i="4"/>
  <c r="J8" i="4"/>
  <c r="C13" i="4"/>
  <c r="C7" i="27"/>
  <c r="D7" i="27" s="1"/>
  <c r="E19" i="4"/>
  <c r="F19" i="4" s="1"/>
  <c r="H19" i="4" s="1"/>
  <c r="C25" i="4"/>
  <c r="I25" i="4" s="1"/>
  <c r="G19" i="4" l="1"/>
  <c r="F23" i="4"/>
  <c r="H23" i="4" s="1"/>
  <c r="C16" i="10"/>
  <c r="G8" i="4"/>
  <c r="B16" i="10"/>
  <c r="E16" i="4"/>
  <c r="B6" i="10"/>
  <c r="H6" i="4"/>
  <c r="G6" i="4"/>
  <c r="E6" i="4"/>
  <c r="F6" i="4" s="1"/>
  <c r="B13" i="10"/>
  <c r="E13" i="4"/>
  <c r="G13" i="4" s="1"/>
  <c r="B12" i="10"/>
  <c r="E12" i="4"/>
  <c r="G12" i="4" s="1"/>
  <c r="I13" i="4"/>
  <c r="B9" i="10"/>
  <c r="E9" i="4"/>
  <c r="G9" i="4" s="1"/>
  <c r="E10" i="4"/>
  <c r="G10" i="4" s="1"/>
  <c r="B10" i="10"/>
  <c r="E22" i="4"/>
  <c r="G22" i="4" s="1"/>
  <c r="B22" i="10"/>
  <c r="I10" i="4"/>
  <c r="B7" i="10"/>
  <c r="E7" i="4"/>
  <c r="F7" i="4" s="1"/>
  <c r="H7" i="4" s="1"/>
  <c r="G7" i="4"/>
  <c r="B21" i="10"/>
  <c r="E21" i="4"/>
  <c r="F21" i="4" s="1"/>
  <c r="H21" i="4" s="1"/>
  <c r="B14" i="10"/>
  <c r="E14" i="4"/>
  <c r="F14" i="4" s="1"/>
  <c r="H14" i="4" s="1"/>
  <c r="G14" i="4"/>
  <c r="I7" i="4"/>
  <c r="F11" i="4"/>
  <c r="H11" i="4" s="1"/>
  <c r="I21" i="4"/>
  <c r="B24" i="10"/>
  <c r="E24" i="4"/>
  <c r="F24" i="4" s="1"/>
  <c r="H24" i="4" s="1"/>
  <c r="B20" i="10"/>
  <c r="E20" i="4"/>
  <c r="F20" i="4" s="1"/>
  <c r="H20" i="4" s="1"/>
  <c r="E17" i="4"/>
  <c r="G17" i="4" s="1"/>
  <c r="F17" i="4"/>
  <c r="H17" i="4" s="1"/>
  <c r="B17" i="10"/>
  <c r="I24" i="4"/>
  <c r="J11" i="4"/>
  <c r="I11" i="4"/>
  <c r="C11" i="10"/>
  <c r="K11" i="4"/>
  <c r="L11" i="4" s="1"/>
  <c r="E25" i="4"/>
  <c r="F25" i="4" s="1"/>
  <c r="H25" i="4" s="1"/>
  <c r="B25" i="10"/>
  <c r="G25" i="4"/>
  <c r="B18" i="10"/>
  <c r="E18" i="4"/>
  <c r="G18" i="4" s="1"/>
  <c r="I9" i="4"/>
  <c r="E26" i="4"/>
  <c r="G26" i="4" s="1"/>
  <c r="B26" i="10"/>
  <c r="I14" i="4"/>
  <c r="I26" i="4"/>
  <c r="C23" i="10"/>
  <c r="K23" i="4"/>
  <c r="L23" i="4" s="1"/>
  <c r="J23" i="4"/>
  <c r="I23" i="4"/>
  <c r="B15" i="10"/>
  <c r="E15" i="4"/>
  <c r="G15" i="4" s="1"/>
  <c r="I17" i="4"/>
  <c r="F16" i="4" l="1"/>
  <c r="H16" i="4" s="1"/>
  <c r="G16" i="4"/>
  <c r="F18" i="4"/>
  <c r="H18" i="4" s="1"/>
  <c r="F10" i="4"/>
  <c r="H10" i="4" s="1"/>
  <c r="F22" i="4"/>
  <c r="H22" i="4" s="1"/>
  <c r="G21" i="4"/>
  <c r="F9" i="4"/>
  <c r="H9" i="4" s="1"/>
  <c r="F13" i="4"/>
  <c r="H13" i="4" s="1"/>
  <c r="G20" i="4"/>
  <c r="G24" i="4"/>
  <c r="F26" i="4"/>
  <c r="H26" i="4" s="1"/>
  <c r="F15" i="4"/>
  <c r="H15" i="4" s="1"/>
  <c r="F12" i="4"/>
  <c r="H12" i="4" s="1"/>
</calcChain>
</file>

<file path=xl/sharedStrings.xml><?xml version="1.0" encoding="utf-8"?>
<sst xmlns="http://schemas.openxmlformats.org/spreadsheetml/2006/main" count="5307" uniqueCount="332">
  <si>
    <t>Lap Summary</t>
  </si>
  <si>
    <t>SYNTHETIC RESEARCH MODEL  |  SI units  |  model 1.0.0</t>
  </si>
  <si>
    <t>Setup Comparison</t>
  </si>
  <si>
    <t>Assumptions</t>
  </si>
  <si>
    <t>Aero Calculations</t>
  </si>
  <si>
    <t>Lap-Time Model</t>
  </si>
  <si>
    <t>Sector Comparison</t>
  </si>
  <si>
    <t>DRS Analysis</t>
  </si>
  <si>
    <t>Sensitivity Analysis</t>
  </si>
  <si>
    <t>Optimization Results</t>
  </si>
  <si>
    <t>Charts</t>
  </si>
  <si>
    <t>Vehicle Inputs</t>
  </si>
  <si>
    <t>Simulation Settings</t>
  </si>
  <si>
    <t>Segment Simulation</t>
  </si>
  <si>
    <t>Speed Trace</t>
  </si>
  <si>
    <t>Force Breakdown</t>
  </si>
  <si>
    <t>Tyre State</t>
  </si>
  <si>
    <t>Fuel State</t>
  </si>
  <si>
    <t>Car Inputs</t>
  </si>
  <si>
    <t>Circuit Inputs</t>
  </si>
  <si>
    <t>Sector Inputs</t>
  </si>
  <si>
    <t>Corner Inputs</t>
  </si>
  <si>
    <t>Tyre Inputs</t>
  </si>
  <si>
    <t>Weather Inputs</t>
  </si>
  <si>
    <t>Aero Map</t>
  </si>
  <si>
    <t>Setup Scenarios</t>
  </si>
  <si>
    <t>Data Quality</t>
  </si>
  <si>
    <t>Python Reconciliation</t>
  </si>
  <si>
    <t>MySQL Reconciliation</t>
  </si>
  <si>
    <t>Unit Reference</t>
  </si>
  <si>
    <t>Project Scope</t>
  </si>
  <si>
    <t>README</t>
  </si>
  <si>
    <t>Nominal dry qualifying comparison. Candidate minus baseline: negative is faster.</t>
  </si>
  <si>
    <t>Circuit</t>
  </si>
  <si>
    <t>Baseline (s)</t>
  </si>
  <si>
    <t>Candidate (s)</t>
  </si>
  <si>
    <t>Delta (s)</t>
  </si>
  <si>
    <t>Top speed (m/s)</t>
  </si>
  <si>
    <t>DRS gain (s)</t>
  </si>
  <si>
    <t>Setup ID</t>
  </si>
  <si>
    <t>Violations</t>
  </si>
  <si>
    <t>Velocity Park</t>
  </si>
  <si>
    <t>Apex Ring</t>
  </si>
  <si>
    <t>Downforce Circuit</t>
  </si>
  <si>
    <t>setup_id</t>
  </si>
  <si>
    <t>setup_name</t>
  </si>
  <si>
    <t>front_wing_deg</t>
  </si>
  <si>
    <t>rear_wing_deg</t>
  </si>
  <si>
    <t>front_height_m</t>
  </si>
  <si>
    <t>rear_height_m</t>
  </si>
  <si>
    <t>package</t>
  </si>
  <si>
    <t>Baseline</t>
  </si>
  <si>
    <t>standard</t>
  </si>
  <si>
    <t>Candidate 01</t>
  </si>
  <si>
    <t>Candidate 02</t>
  </si>
  <si>
    <t>Candidate 03</t>
  </si>
  <si>
    <t>Candidate 04</t>
  </si>
  <si>
    <t>Candidate 05</t>
  </si>
  <si>
    <t>Candidate 06</t>
  </si>
  <si>
    <t>Candidate 07</t>
  </si>
  <si>
    <t>Candidate 08</t>
  </si>
  <si>
    <t>Candidate 09</t>
  </si>
  <si>
    <t>Candidate 10</t>
  </si>
  <si>
    <t>Candidate 11</t>
  </si>
  <si>
    <t>Velocity Park qualifying</t>
  </si>
  <si>
    <t>Apex Ring qualifying</t>
  </si>
  <si>
    <t>Downforce Circuit qualifying</t>
  </si>
  <si>
    <t>parameter</t>
  </si>
  <si>
    <t>value</t>
  </si>
  <si>
    <t>source</t>
  </si>
  <si>
    <t>dry_mass_kg</t>
  </si>
  <si>
    <t>Assumed generic car</t>
  </si>
  <si>
    <t>wheelbase_m</t>
  </si>
  <si>
    <t>track_m</t>
  </si>
  <si>
    <t>cg_height_m</t>
  </si>
  <si>
    <t>front_weight_fraction</t>
  </si>
  <si>
    <t>area_m2</t>
  </si>
  <si>
    <t>power_w</t>
  </si>
  <si>
    <t>efficiency</t>
  </si>
  <si>
    <t>rolling_coefficient</t>
  </si>
  <si>
    <t>brake_limit_n</t>
  </si>
  <si>
    <t>brake_bias</t>
  </si>
  <si>
    <t>wheel_radius_m</t>
  </si>
  <si>
    <t>final_drive</t>
  </si>
  <si>
    <t>max_rpm</t>
  </si>
  <si>
    <t>torque_nm</t>
  </si>
  <si>
    <t>axle_heave_stiffness_n_m</t>
  </si>
  <si>
    <t>roll_front_fraction</t>
  </si>
  <si>
    <t>input</t>
  </si>
  <si>
    <t>unit</t>
  </si>
  <si>
    <t>AirDensity</t>
  </si>
  <si>
    <t>kg/m3</t>
  </si>
  <si>
    <t>ReferenceArea</t>
  </si>
  <si>
    <t>m2</t>
  </si>
  <si>
    <t>ClDown</t>
  </si>
  <si>
    <t>dimensionless</t>
  </si>
  <si>
    <t>Cd</t>
  </si>
  <si>
    <t>FrontFraction</t>
  </si>
  <si>
    <t>fraction</t>
  </si>
  <si>
    <t>Gravity</t>
  </si>
  <si>
    <t>m/s2</t>
  </si>
  <si>
    <t>Friction</t>
  </si>
  <si>
    <t>reference mu</t>
  </si>
  <si>
    <t>Mass</t>
  </si>
  <si>
    <t>kg</t>
  </si>
  <si>
    <t>Radius</t>
  </si>
  <si>
    <t>m</t>
  </si>
  <si>
    <t>Tolerance</t>
  </si>
  <si>
    <t>relative</t>
  </si>
  <si>
    <t>DRSDragMultiplier</t>
  </si>
  <si>
    <t>DRSRearMultiplier</t>
  </si>
  <si>
    <t>Independent scalar equations with constant coefficients. Live editable assumptions.</t>
  </si>
  <si>
    <t>speed_mps</t>
  </si>
  <si>
    <t>q_pa</t>
  </si>
  <si>
    <t>downforce_n</t>
  </si>
  <si>
    <t>drag_n</t>
  </si>
  <si>
    <t>front_n</t>
  </si>
  <si>
    <t>rear_n</t>
  </si>
  <si>
    <t>front_fraction</t>
  </si>
  <si>
    <t>rear_fraction</t>
  </si>
  <si>
    <t>aero_efficiency</t>
  </si>
  <si>
    <t>drag_power_w</t>
  </si>
  <si>
    <t>DRS_drag_n</t>
  </si>
  <si>
    <t>drag_reduction_n</t>
  </si>
  <si>
    <t>Limiting-case equations; the full integrated lap is imported in Lap Summary.</t>
  </si>
  <si>
    <t>quantity</t>
  </si>
  <si>
    <t>Initial speed</t>
  </si>
  <si>
    <t>m/s</t>
  </si>
  <si>
    <t>Target speed</t>
  </si>
  <si>
    <t>Constant deceleration</t>
  </si>
  <si>
    <t>Braking distance</t>
  </si>
  <si>
    <t>Braking time</t>
  </si>
  <si>
    <t>s</t>
  </si>
  <si>
    <t>Straight distance</t>
  </si>
  <si>
    <t>Constant straight speed</t>
  </si>
  <si>
    <t>Straight time</t>
  </si>
  <si>
    <t>Mechanical corner speed</t>
  </si>
  <si>
    <t>sector_id</t>
  </si>
  <si>
    <t>sector_time_s_baseline</t>
  </si>
  <si>
    <t>sector_time_s_candidate</t>
  </si>
  <si>
    <t>delta_s</t>
  </si>
  <si>
    <t>Apex Ring qualifying recommendation. Integrated simulation snapshot.</t>
  </si>
  <si>
    <t>distance_m</t>
  </si>
  <si>
    <t>time_s</t>
  </si>
  <si>
    <t>dt_s</t>
  </si>
  <si>
    <t>exit_speed_mps</t>
  </si>
  <si>
    <t>acceleration_mps2</t>
  </si>
  <si>
    <t>gear</t>
  </si>
  <si>
    <t>drs</t>
  </si>
  <si>
    <t>engine_force_n</t>
  </si>
  <si>
    <t>brake_force_n</t>
  </si>
  <si>
    <t>rolling_force_n</t>
  </si>
  <si>
    <t>front_tyre_load_n</t>
  </si>
  <si>
    <t>rear_tyre_load_n</t>
  </si>
  <si>
    <t>tyre_wear</t>
  </si>
  <si>
    <t>tyre_temperature_c</t>
  </si>
  <si>
    <t>tyre_mu</t>
  </si>
  <si>
    <t>max_wheel_load_n</t>
  </si>
  <si>
    <t>fuel_kg</t>
  </si>
  <si>
    <t>mass_kg</t>
  </si>
  <si>
    <t>segment_id</t>
  </si>
  <si>
    <t>segment_time_s</t>
  </si>
  <si>
    <t>length_m</t>
  </si>
  <si>
    <t>top_speed_mps</t>
  </si>
  <si>
    <t>Paired same-setup, same-weather laps; gain is off minus on.</t>
  </si>
  <si>
    <t>pair_id</t>
  </si>
  <si>
    <t>lap_time_s_off</t>
  </si>
  <si>
    <t>top_speed_mps_off</t>
  </si>
  <si>
    <t>lap_time_s_on</t>
  </si>
  <si>
    <t>top_speed_mps_on</t>
  </si>
  <si>
    <t>time_gain_s</t>
  </si>
  <si>
    <t>top_speed_gain_mps</t>
  </si>
  <si>
    <t>Apex Ring; ±5% parameter-domain perturbation. Full simulator snapshots.</t>
  </si>
  <si>
    <t>direction</t>
  </si>
  <si>
    <t>change</t>
  </si>
  <si>
    <t>status</t>
  </si>
  <si>
    <t>simulated</t>
  </si>
  <si>
    <t>circuit</t>
  </si>
  <si>
    <t>seed</t>
  </si>
  <si>
    <t>method</t>
  </si>
  <si>
    <t>lap_time_s</t>
  </si>
  <si>
    <t>objective_value</t>
  </si>
  <si>
    <t>feasible</t>
  </si>
  <si>
    <t>pareto</t>
  </si>
  <si>
    <t>constraint_reasons</t>
  </si>
  <si>
    <t>local</t>
  </si>
  <si>
    <t>differential_evolution</t>
  </si>
  <si>
    <t>grid</t>
  </si>
  <si>
    <t>random</t>
  </si>
  <si>
    <t>baseline</t>
  </si>
  <si>
    <t>braking_limit</t>
  </si>
  <si>
    <t>balance</t>
  </si>
  <si>
    <t>balance;balance_shift</t>
  </si>
  <si>
    <t>balance_shift</t>
  </si>
  <si>
    <t>circuit_id</t>
  </si>
  <si>
    <t>circuit_name</t>
  </si>
  <si>
    <t>data_source_type</t>
  </si>
  <si>
    <t>synthetic_flag</t>
  </si>
  <si>
    <t>synthetic</t>
  </si>
  <si>
    <t>sector_name</t>
  </si>
  <si>
    <t>Sector 1</t>
  </si>
  <si>
    <t>Sector 2</t>
  </si>
  <si>
    <t>Sector 3</t>
  </si>
  <si>
    <t>corner_id</t>
  </si>
  <si>
    <t>radius_m</t>
  </si>
  <si>
    <t>banking_rad</t>
  </si>
  <si>
    <t>width_m</t>
  </si>
  <si>
    <t>tyre_id</t>
  </si>
  <si>
    <t>name</t>
  </si>
  <si>
    <t>mu</t>
  </si>
  <si>
    <t>wear_per_m</t>
  </si>
  <si>
    <t>optimal_temp_c</t>
  </si>
  <si>
    <t>load_exponent</t>
  </si>
  <si>
    <t>reference_load_n</t>
  </si>
  <si>
    <t>Soft</t>
  </si>
  <si>
    <t>Medium</t>
  </si>
  <si>
    <t>Hard</t>
  </si>
  <si>
    <t>weather_id</t>
  </si>
  <si>
    <t>pressure_pa</t>
  </si>
  <si>
    <t>temperature_k</t>
  </si>
  <si>
    <t>grip</t>
  </si>
  <si>
    <t>headwind_mps</t>
  </si>
  <si>
    <t>crosswind_mps</t>
  </si>
  <si>
    <t>aero_multiplier</t>
  </si>
  <si>
    <t>density_multiplier</t>
  </si>
  <si>
    <t>height_offset_m</t>
  </si>
  <si>
    <t>Dry</t>
  </si>
  <si>
    <t>Hot</t>
  </si>
  <si>
    <t>Wet</t>
  </si>
  <si>
    <t>aero_map_id</t>
  </si>
  <si>
    <t>yaw_deg</t>
  </si>
  <si>
    <t>cl_front</t>
  </si>
  <si>
    <t>cl_rear</t>
  </si>
  <si>
    <t>cd</t>
  </si>
  <si>
    <t>setting</t>
  </si>
  <si>
    <t>step_m</t>
  </si>
  <si>
    <t>speed_cap_mps</t>
  </si>
  <si>
    <t>fuel_kg_per_m</t>
  </si>
  <si>
    <t>max_iterations</t>
  </si>
  <si>
    <t>speed_tolerance_mps</t>
  </si>
  <si>
    <t>shift_time_s</t>
  </si>
  <si>
    <t>race_laps</t>
  </si>
  <si>
    <t>Missing cells in rejected evaluations are explicit unavailable outputs, not zero.</t>
  </si>
  <si>
    <t>table_name</t>
  </si>
  <si>
    <t>row_count</t>
  </si>
  <si>
    <t>duplicate_rows</t>
  </si>
  <si>
    <t>missing_cells</t>
  </si>
  <si>
    <t>synthetic_percentage</t>
  </si>
  <si>
    <t>dim_car</t>
  </si>
  <si>
    <t>dim_circuit</t>
  </si>
  <si>
    <t>dim_setup</t>
  </si>
  <si>
    <t>dim_weather</t>
  </si>
  <si>
    <t>dim_tyre</t>
  </si>
  <si>
    <t>dim_driver</t>
  </si>
  <si>
    <t>dim_date</t>
  </si>
  <si>
    <t>dim_session</t>
  </si>
  <si>
    <t>dim_sector</t>
  </si>
  <si>
    <t>dim_corner</t>
  </si>
  <si>
    <t>fact_aero_map</t>
  </si>
  <si>
    <t>run_registry</t>
  </si>
  <si>
    <t>fact_simulation_lap</t>
  </si>
  <si>
    <t>fact_simulation_sector</t>
  </si>
  <si>
    <t>fact_drs_event</t>
  </si>
  <si>
    <t>fact_tyre_state</t>
  </si>
  <si>
    <t>fact_simulation_warning</t>
  </si>
  <si>
    <t>fact_optimization_run</t>
  </si>
  <si>
    <t>fact_optimization_result</t>
  </si>
  <si>
    <t>fact_model_validation</t>
  </si>
  <si>
    <t>fact_lap</t>
  </si>
  <si>
    <t>fact_sector</t>
  </si>
  <si>
    <t>fact_telemetry</t>
  </si>
  <si>
    <t>dim_track_segment</t>
  </si>
  <si>
    <t>fact_vehicle_state</t>
  </si>
  <si>
    <t>fact_simulation_segment</t>
  </si>
  <si>
    <t>python_rows</t>
  </si>
  <si>
    <t>mysql_rows</t>
  </si>
  <si>
    <t>matched</t>
  </si>
  <si>
    <t>lap_time_sum_s</t>
  </si>
  <si>
    <t>Recalculate with Excel; cached Python values are not used as proof.</t>
  </si>
  <si>
    <t>python_reference</t>
  </si>
  <si>
    <t>excel_result</t>
  </si>
  <si>
    <t>difference</t>
  </si>
  <si>
    <t>Dynamic pressure</t>
  </si>
  <si>
    <t>Downforce</t>
  </si>
  <si>
    <t>Drag</t>
  </si>
  <si>
    <t>Drag power</t>
  </si>
  <si>
    <t>Lap sector sum</t>
  </si>
  <si>
    <t>storage_unit</t>
  </si>
  <si>
    <t>definition</t>
  </si>
  <si>
    <t>Speed</t>
  </si>
  <si>
    <t>km/h = m/s × 3.6</t>
  </si>
  <si>
    <t>Force</t>
  </si>
  <si>
    <t>N</t>
  </si>
  <si>
    <t>Positive downforce convention</t>
  </si>
  <si>
    <t>Pressure</t>
  </si>
  <si>
    <t>Pa</t>
  </si>
  <si>
    <t>Absolute local static pressure</t>
  </si>
  <si>
    <t>Temperature</t>
  </si>
  <si>
    <t>K</t>
  </si>
  <si>
    <t>Kelvin = Celsius + 273.15</t>
  </si>
  <si>
    <t>Angles</t>
  </si>
  <si>
    <t>rad</t>
  </si>
  <si>
    <t>Setup UI wing angles in degrees</t>
  </si>
  <si>
    <t>Time</t>
  </si>
  <si>
    <t>Negative candidate delta means faster</t>
  </si>
  <si>
    <t>description</t>
  </si>
  <si>
    <t>Implemented</t>
  </si>
  <si>
    <t>Quasi-static synthetic car, lap/stint solver, constraints and search</t>
  </si>
  <si>
    <t>Assumed</t>
  </si>
  <si>
    <t>Aero response, tyre/load coefficients, suspension compliance and DRS policy</t>
  </si>
  <si>
    <t>Not measured</t>
  </si>
  <si>
    <t>No proprietary telemetry; no real-car accuracy claim</t>
  </si>
  <si>
    <t>Future</t>
  </si>
  <si>
    <t>Transient suspension, full slip/thermal tyres, calibrated aero and current regulation model</t>
  </si>
  <si>
    <t>topic</t>
  </si>
  <si>
    <t>guidance</t>
  </si>
  <si>
    <t>Purpose</t>
  </si>
  <si>
    <t>Compare synthetic aerodynamic setups and inspect engineering equations</t>
  </si>
  <si>
    <t>Inputs</t>
  </si>
  <si>
    <t>Blue cells are editable; formula cells are protected without a password</t>
  </si>
  <si>
    <t>Refresh</t>
  </si>
  <si>
    <t>Run the Python pipeline and rebuild this workbook to refresh simulation snapshots</t>
  </si>
  <si>
    <t>Live formulas</t>
  </si>
  <si>
    <t>Aero Calculations and limiting-case examples recalculate with editable inputs</t>
  </si>
  <si>
    <t>Synthetic status</t>
  </si>
  <si>
    <t>All simulations and aerodynamic data are synthetic</t>
  </si>
  <si>
    <t>Comparison</t>
  </si>
  <si>
    <t>Match circuit, weather, tyre, fuel and session before comparing times</t>
  </si>
  <si>
    <t>Reconciliation</t>
  </si>
  <si>
    <t>Python Reconciliation is checked after actual Excel recalculation</t>
  </si>
  <si>
    <t>Limitations</t>
  </si>
  <si>
    <t>No measured-car validation; do not use as a real-car safety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</si>
</sst>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6"/>
      <color rgb="FF18334F"/>
      <name val="Arial"/>
      <family val="2"/>
    </font>
    <font>
      <sz val="10"/>
      <color rgb="FF5C6673"/>
      <name val="Arial"/>
      <family val="2"/>
    </font>
    <font>
      <b/>
      <sz val="11"/>
      <color rgb="FFFFFFFF"/>
      <name val="Arial"/>
      <family val="2"/>
    </font>
    <font>
      <sz val="11"/>
      <color rgb="FF245EB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334F"/>
        <bgColor indexed="64"/>
      </patternFill>
    </fill>
    <fill>
      <patternFill patternType="solid">
        <fgColor rgb="FFEDF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164" fontId="6" fillId="3" borderId="0" xfId="0" applyNumberFormat="1" applyFont="1" applyFill="1" applyProtection="1">
      <protection locked="0"/>
    </xf>
  </cellXfs>
  <cellStyles count="1">
    <cellStyle name="Normal" xfId="0" builtinId="0"/>
  </cellStyles>
  <dxfs count="1">
    <dxf>
      <font>
        <color rgb="FF9C2721"/>
      </font>
      <fill>
        <patternFill>
          <bgColor rgb="FFFDE6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Circuit-specific qualifying lap time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0"/>
          <c:cat>
            <c:strRef>
              <c:f>'Lap Summary'!$A$6:$A$8</c:f>
              <c:strCache>
                <c:ptCount val="3"/>
                <c:pt idx="0">
                  <c:v>Velocity Park</c:v>
                </c:pt>
                <c:pt idx="1">
                  <c:v>Apex Ring</c:v>
                </c:pt>
                <c:pt idx="2">
                  <c:v>Downforce Circuit</c:v>
                </c:pt>
              </c:strCache>
            </c:strRef>
          </c:cat>
          <c:val>
            <c:numRef>
              <c:f>'Lap Summary'!$B$6:$B$8</c:f>
              <c:numCache>
                <c:formatCode>0.000</c:formatCode>
                <c:ptCount val="3"/>
                <c:pt idx="0">
                  <c:v>49.597522640648563</c:v>
                </c:pt>
                <c:pt idx="1">
                  <c:v>38.869326898109833</c:v>
                </c:pt>
                <c:pt idx="2">
                  <c:v>27.6544028068482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4-457E-999D-7A4579E3E8E5}"/>
            </c:ext>
          </c:extLst>
        </c:ser>
        <c:ser>
          <c:idx val="1"/>
          <c:order val="1"/>
          <c:tx>
            <c:v>Candidate</c:v>
          </c:tx>
          <c:invertIfNegative val="0"/>
          <c:cat>
            <c:strRef>
              <c:f>'Lap Summary'!$A$6:$A$8</c:f>
              <c:strCache>
                <c:ptCount val="3"/>
                <c:pt idx="0">
                  <c:v>Velocity Park</c:v>
                </c:pt>
                <c:pt idx="1">
                  <c:v>Apex Ring</c:v>
                </c:pt>
                <c:pt idx="2">
                  <c:v>Downforce Circuit</c:v>
                </c:pt>
              </c:strCache>
            </c:strRef>
          </c:cat>
          <c:val>
            <c:numRef>
              <c:f>'Lap Summary'!$C$6:$C$8</c:f>
              <c:numCache>
                <c:formatCode>0.000</c:formatCode>
                <c:ptCount val="3"/>
                <c:pt idx="0">
                  <c:v>49.232189066377472</c:v>
                </c:pt>
                <c:pt idx="1">
                  <c:v>38.348408837749759</c:v>
                </c:pt>
                <c:pt idx="2">
                  <c:v>26.517366223610821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4-457E-999D-7A4579E3E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 time (s)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Force versus airspeed — constant coefficients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176B91"/>
              </a:solidFill>
            </a:ln>
          </c:spPr>
          <c:marker>
            <c:symbol val="none"/>
          </c:marker>
          <c:xVal>
            <c:numRef>
              <c:f>Charts!$A$6:$A$26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Charts!$B$6:$B$26</c:f>
              <c:numCache>
                <c:formatCode>0.000</c:formatCode>
                <c:ptCount val="21"/>
                <c:pt idx="0">
                  <c:v>0</c:v>
                </c:pt>
                <c:pt idx="1">
                  <c:v>68.906250000000014</c:v>
                </c:pt>
                <c:pt idx="2">
                  <c:v>275.62500000000006</c:v>
                </c:pt>
                <c:pt idx="3">
                  <c:v>620.15625</c:v>
                </c:pt>
                <c:pt idx="4">
                  <c:v>1102.5000000000002</c:v>
                </c:pt>
                <c:pt idx="5">
                  <c:v>1722.65625</c:v>
                </c:pt>
                <c:pt idx="6">
                  <c:v>2480.625</c:v>
                </c:pt>
                <c:pt idx="7">
                  <c:v>3376.40625</c:v>
                </c:pt>
                <c:pt idx="8">
                  <c:v>4410.0000000000009</c:v>
                </c:pt>
                <c:pt idx="9">
                  <c:v>5581.40625</c:v>
                </c:pt>
                <c:pt idx="10">
                  <c:v>6890.625</c:v>
                </c:pt>
                <c:pt idx="11">
                  <c:v>8337.6562500000018</c:v>
                </c:pt>
                <c:pt idx="12">
                  <c:v>9922.5</c:v>
                </c:pt>
                <c:pt idx="13">
                  <c:v>11645.15625</c:v>
                </c:pt>
                <c:pt idx="14">
                  <c:v>13505.625</c:v>
                </c:pt>
                <c:pt idx="15">
                  <c:v>15503.906250000004</c:v>
                </c:pt>
                <c:pt idx="16">
                  <c:v>17640.000000000004</c:v>
                </c:pt>
                <c:pt idx="17">
                  <c:v>19913.90625</c:v>
                </c:pt>
                <c:pt idx="18">
                  <c:v>22325.625</c:v>
                </c:pt>
                <c:pt idx="19">
                  <c:v>24875.15625</c:v>
                </c:pt>
                <c:pt idx="20">
                  <c:v>27562.5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BA-43D6-B99F-222F335BEA60}"/>
            </c:ext>
          </c:extLst>
        </c:ser>
        <c:ser>
          <c:idx val="1"/>
          <c:order val="1"/>
          <c:spPr>
            <a:ln w="25400">
              <a:solidFill>
                <a:srgbClr val="D66A29"/>
              </a:solidFill>
            </a:ln>
          </c:spPr>
          <c:marker>
            <c:symbol val="none"/>
          </c:marker>
          <c:xVal>
            <c:numRef>
              <c:f>Charts!$A$6:$A$26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Charts!$C$6:$C$26</c:f>
              <c:numCache>
                <c:formatCode>0.000</c:formatCode>
                <c:ptCount val="21"/>
                <c:pt idx="0">
                  <c:v>0</c:v>
                </c:pt>
                <c:pt idx="1">
                  <c:v>20.671875000000004</c:v>
                </c:pt>
                <c:pt idx="2">
                  <c:v>82.687500000000014</c:v>
                </c:pt>
                <c:pt idx="3">
                  <c:v>186.046875</c:v>
                </c:pt>
                <c:pt idx="4">
                  <c:v>330.75000000000006</c:v>
                </c:pt>
                <c:pt idx="5">
                  <c:v>516.796875</c:v>
                </c:pt>
                <c:pt idx="6">
                  <c:v>744.1875</c:v>
                </c:pt>
                <c:pt idx="7">
                  <c:v>1012.921875</c:v>
                </c:pt>
                <c:pt idx="8">
                  <c:v>1323.0000000000002</c:v>
                </c:pt>
                <c:pt idx="9">
                  <c:v>1674.421875</c:v>
                </c:pt>
                <c:pt idx="10">
                  <c:v>2067.1875</c:v>
                </c:pt>
                <c:pt idx="11">
                  <c:v>2501.2968750000005</c:v>
                </c:pt>
                <c:pt idx="12">
                  <c:v>2976.75</c:v>
                </c:pt>
                <c:pt idx="13">
                  <c:v>3493.546875</c:v>
                </c:pt>
                <c:pt idx="14">
                  <c:v>4051.6875</c:v>
                </c:pt>
                <c:pt idx="15">
                  <c:v>4651.1718750000009</c:v>
                </c:pt>
                <c:pt idx="16">
                  <c:v>5292.0000000000009</c:v>
                </c:pt>
                <c:pt idx="17">
                  <c:v>5974.171875</c:v>
                </c:pt>
                <c:pt idx="18">
                  <c:v>6697.6875</c:v>
                </c:pt>
                <c:pt idx="19">
                  <c:v>7462.546875</c:v>
                </c:pt>
                <c:pt idx="20">
                  <c:v>8268.75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BA-43D6-B99F-222F335BE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Air speed (m/s)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Force (N)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Apex Ring speed trace — synthetic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Recommended setup</c:v>
          </c:tx>
          <c:spPr>
            <a:ln>
              <a:solidFill>
                <a:srgbClr val="176B91"/>
              </a:solidFill>
            </a:ln>
          </c:spPr>
          <c:marker>
            <c:symbol val="none"/>
          </c:marker>
          <c:xVal>
            <c:numRef>
              <c:f>'Speed Trace'!$A$6:$A$241</c:f>
              <c:numCache>
                <c:formatCode>General</c:formatCode>
                <c:ptCount val="2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</c:numCache>
            </c:numRef>
          </c:xVal>
          <c:yVal>
            <c:numRef>
              <c:f>'Speed Trace'!$D$6:$D$241</c:f>
              <c:numCache>
                <c:formatCode>0.000</c:formatCode>
                <c:ptCount val="236"/>
                <c:pt idx="0">
                  <c:v>82.81391927972436</c:v>
                </c:pt>
                <c:pt idx="1">
                  <c:v>82.917134438547549</c:v>
                </c:pt>
                <c:pt idx="2">
                  <c:v>83.017753894670662</c:v>
                </c:pt>
                <c:pt idx="3">
                  <c:v>83.115850910915995</c:v>
                </c:pt>
                <c:pt idx="4">
                  <c:v>83.211494979249096</c:v>
                </c:pt>
                <c:pt idx="5">
                  <c:v>83.304753348248354</c:v>
                </c:pt>
                <c:pt idx="6">
                  <c:v>83.395691113247793</c:v>
                </c:pt>
                <c:pt idx="7">
                  <c:v>83.484371301909917</c:v>
                </c:pt>
                <c:pt idx="8">
                  <c:v>83.570854955511351</c:v>
                </c:pt>
                <c:pt idx="9">
                  <c:v>83.6552012062035</c:v>
                </c:pt>
                <c:pt idx="10">
                  <c:v>83.737467350491727</c:v>
                </c:pt>
                <c:pt idx="11">
                  <c:v>83.929073095510276</c:v>
                </c:pt>
                <c:pt idx="12">
                  <c:v>84.116234609869238</c:v>
                </c:pt>
                <c:pt idx="13">
                  <c:v>84.299076542802169</c:v>
                </c:pt>
                <c:pt idx="14">
                  <c:v>84.477719016732735</c:v>
                </c:pt>
                <c:pt idx="15">
                  <c:v>84.652277751655035</c:v>
                </c:pt>
                <c:pt idx="16">
                  <c:v>84.822864347795672</c:v>
                </c:pt>
                <c:pt idx="17">
                  <c:v>84.989586478962451</c:v>
                </c:pt>
                <c:pt idx="18">
                  <c:v>85.152548074353589</c:v>
                </c:pt>
                <c:pt idx="19">
                  <c:v>85.311849489661824</c:v>
                </c:pt>
                <c:pt idx="20">
                  <c:v>85.467587668237329</c:v>
                </c:pt>
                <c:pt idx="21">
                  <c:v>85.619856293009491</c:v>
                </c:pt>
                <c:pt idx="22">
                  <c:v>85.768745929810351</c:v>
                </c:pt>
                <c:pt idx="23">
                  <c:v>85.914344162689844</c:v>
                </c:pt>
                <c:pt idx="24">
                  <c:v>86.056735721766017</c:v>
                </c:pt>
                <c:pt idx="25">
                  <c:v>86.196002604109921</c:v>
                </c:pt>
                <c:pt idx="26">
                  <c:v>86.332224188126176</c:v>
                </c:pt>
                <c:pt idx="27">
                  <c:v>86.465477341854069</c:v>
                </c:pt>
                <c:pt idx="28">
                  <c:v>86.595836525582001</c:v>
                </c:pt>
                <c:pt idx="29">
                  <c:v>86.723373889137974</c:v>
                </c:pt>
                <c:pt idx="30">
                  <c:v>86.848159364192057</c:v>
                </c:pt>
                <c:pt idx="31">
                  <c:v>86.970260751881781</c:v>
                </c:pt>
                <c:pt idx="32">
                  <c:v>87.089743806048659</c:v>
                </c:pt>
                <c:pt idx="33">
                  <c:v>87.206672312353419</c:v>
                </c:pt>
                <c:pt idx="34">
                  <c:v>87.32110816351809</c:v>
                </c:pt>
                <c:pt idx="35">
                  <c:v>87.43311143092599</c:v>
                </c:pt>
                <c:pt idx="36">
                  <c:v>87.542740432794076</c:v>
                </c:pt>
                <c:pt idx="37">
                  <c:v>87.650051799117605</c:v>
                </c:pt>
                <c:pt idx="38">
                  <c:v>87.755100533573199</c:v>
                </c:pt>
                <c:pt idx="39">
                  <c:v>87.85794007278642</c:v>
                </c:pt>
                <c:pt idx="40">
                  <c:v>87.958622363268177</c:v>
                </c:pt>
                <c:pt idx="41">
                  <c:v>88.05719789187026</c:v>
                </c:pt>
                <c:pt idx="42">
                  <c:v>88.15371570593615</c:v>
                </c:pt>
                <c:pt idx="43">
                  <c:v>88.248223498637444</c:v>
                </c:pt>
                <c:pt idx="44">
                  <c:v>88.340767655612254</c:v>
                </c:pt>
                <c:pt idx="45">
                  <c:v>88.431393299585366</c:v>
                </c:pt>
                <c:pt idx="46">
                  <c:v>88.5201443330768</c:v>
                </c:pt>
                <c:pt idx="47">
                  <c:v>88.607063479298859</c:v>
                </c:pt>
                <c:pt idx="48">
                  <c:v>88.692192321335341</c:v>
                </c:pt>
                <c:pt idx="49">
                  <c:v>88.775571339691098</c:v>
                </c:pt>
                <c:pt idx="50">
                  <c:v>88.857239948294676</c:v>
                </c:pt>
                <c:pt idx="51">
                  <c:v>88.937236529031949</c:v>
                </c:pt>
                <c:pt idx="52">
                  <c:v>89.015598464883766</c:v>
                </c:pt>
                <c:pt idx="53">
                  <c:v>88.97396200334812</c:v>
                </c:pt>
                <c:pt idx="54">
                  <c:v>88.933229577112499</c:v>
                </c:pt>
                <c:pt idx="55">
                  <c:v>88.893382405533544</c:v>
                </c:pt>
                <c:pt idx="56">
                  <c:v>88.854402533823489</c:v>
                </c:pt>
                <c:pt idx="57">
                  <c:v>88.816271694365739</c:v>
                </c:pt>
                <c:pt idx="58">
                  <c:v>86.93370577316972</c:v>
                </c:pt>
                <c:pt idx="59">
                  <c:v>82.752732523955558</c:v>
                </c:pt>
                <c:pt idx="60">
                  <c:v>78.416435408594111</c:v>
                </c:pt>
                <c:pt idx="61">
                  <c:v>73.896585249390085</c:v>
                </c:pt>
                <c:pt idx="62">
                  <c:v>69.156234255800982</c:v>
                </c:pt>
                <c:pt idx="63">
                  <c:v>64.145462411635492</c:v>
                </c:pt>
                <c:pt idx="64">
                  <c:v>58.79401416445252</c:v>
                </c:pt>
                <c:pt idx="65">
                  <c:v>52.997505310922861</c:v>
                </c:pt>
                <c:pt idx="66">
                  <c:v>52.9917954467237</c:v>
                </c:pt>
                <c:pt idx="67">
                  <c:v>52.986042052507401</c:v>
                </c:pt>
                <c:pt idx="68">
                  <c:v>52.980245836079121</c:v>
                </c:pt>
                <c:pt idx="69">
                  <c:v>52.97440679743886</c:v>
                </c:pt>
                <c:pt idx="70">
                  <c:v>52.968526352196932</c:v>
                </c:pt>
                <c:pt idx="71">
                  <c:v>52.962604500353343</c:v>
                </c:pt>
                <c:pt idx="72">
                  <c:v>52.95664194971323</c:v>
                </c:pt>
                <c:pt idx="73">
                  <c:v>52.950639761984348</c:v>
                </c:pt>
                <c:pt idx="74">
                  <c:v>52.944597583264112</c:v>
                </c:pt>
                <c:pt idx="75">
                  <c:v>52.938516829162843</c:v>
                </c:pt>
                <c:pt idx="76">
                  <c:v>52.932397853583097</c:v>
                </c:pt>
                <c:pt idx="77">
                  <c:v>52.926240656524897</c:v>
                </c:pt>
                <c:pt idx="78">
                  <c:v>52.920046653598547</c:v>
                </c:pt>
                <c:pt idx="79">
                  <c:v>52.913815844804049</c:v>
                </c:pt>
                <c:pt idx="80">
                  <c:v>52.907549291849143</c:v>
                </c:pt>
                <c:pt idx="81">
                  <c:v>52.901246640831232</c:v>
                </c:pt>
                <c:pt idx="82">
                  <c:v>52.894909307360649</c:v>
                </c:pt>
                <c:pt idx="83">
                  <c:v>52.888537645339973</c:v>
                </c:pt>
                <c:pt idx="84">
                  <c:v>52.882131654769182</c:v>
                </c:pt>
                <c:pt idx="85">
                  <c:v>52.875692397356033</c:v>
                </c:pt>
                <c:pt idx="86">
                  <c:v>52.869220580905683</c:v>
                </c:pt>
                <c:pt idx="87">
                  <c:v>52.869220580905683</c:v>
                </c:pt>
                <c:pt idx="88">
                  <c:v>54.252696236172177</c:v>
                </c:pt>
                <c:pt idx="89">
                  <c:v>55.537233893323041</c:v>
                </c:pt>
                <c:pt idx="90">
                  <c:v>56.735562038277521</c:v>
                </c:pt>
                <c:pt idx="91">
                  <c:v>57.857956107088043</c:v>
                </c:pt>
                <c:pt idx="92">
                  <c:v>58.912850942925509</c:v>
                </c:pt>
                <c:pt idx="93">
                  <c:v>59.907270121473147</c:v>
                </c:pt>
                <c:pt idx="94">
                  <c:v>60.847134825731061</c:v>
                </c:pt>
                <c:pt idx="95">
                  <c:v>61.737491095339522</c:v>
                </c:pt>
                <c:pt idx="96">
                  <c:v>62.582680315693842</c:v>
                </c:pt>
                <c:pt idx="97">
                  <c:v>63.386469337825552</c:v>
                </c:pt>
                <c:pt idx="98">
                  <c:v>64.152151310444196</c:v>
                </c:pt>
                <c:pt idx="99">
                  <c:v>64.882624885140913</c:v>
                </c:pt>
                <c:pt idx="100">
                  <c:v>65.580457197509801</c:v>
                </c:pt>
                <c:pt idx="101">
                  <c:v>66.247934502910894</c:v>
                </c:pt>
                <c:pt idx="102">
                  <c:v>66.887103296605318</c:v>
                </c:pt>
                <c:pt idx="103">
                  <c:v>67.49980401300823</c:v>
                </c:pt>
                <c:pt idx="104">
                  <c:v>68.087698875445881</c:v>
                </c:pt>
                <c:pt idx="105">
                  <c:v>68.652295089604664</c:v>
                </c:pt>
                <c:pt idx="106">
                  <c:v>69.194964296847417</c:v>
                </c:pt>
                <c:pt idx="107">
                  <c:v>69.716958998139248</c:v>
                </c:pt>
                <c:pt idx="108">
                  <c:v>70.219426505222543</c:v>
                </c:pt>
                <c:pt idx="109">
                  <c:v>70.703420858851075</c:v>
                </c:pt>
                <c:pt idx="110">
                  <c:v>71.169913064444842</c:v>
                </c:pt>
                <c:pt idx="111">
                  <c:v>71.619799926413933</c:v>
                </c:pt>
                <c:pt idx="112">
                  <c:v>72.053911708538877</c:v>
                </c:pt>
                <c:pt idx="113">
                  <c:v>72.473018805484386</c:v>
                </c:pt>
                <c:pt idx="114">
                  <c:v>72.87783757703572</c:v>
                </c:pt>
                <c:pt idx="115">
                  <c:v>73.26903546995473</c:v>
                </c:pt>
                <c:pt idx="116">
                  <c:v>73.64723553093593</c:v>
                </c:pt>
                <c:pt idx="117">
                  <c:v>74.013020396850933</c:v>
                </c:pt>
                <c:pt idx="118">
                  <c:v>74.366935834425163</c:v>
                </c:pt>
                <c:pt idx="119">
                  <c:v>74.709493890020127</c:v>
                </c:pt>
                <c:pt idx="120">
                  <c:v>75.041175700776549</c:v>
                </c:pt>
                <c:pt idx="121">
                  <c:v>75.362434010601476</c:v>
                </c:pt>
                <c:pt idx="122">
                  <c:v>75.67369542874475</c:v>
                </c:pt>
                <c:pt idx="123">
                  <c:v>75.975362569840357</c:v>
                </c:pt>
                <c:pt idx="124">
                  <c:v>76.267815861130089</c:v>
                </c:pt>
                <c:pt idx="125">
                  <c:v>76.551414762190149</c:v>
                </c:pt>
                <c:pt idx="126">
                  <c:v>76.826499657319999</c:v>
                </c:pt>
                <c:pt idx="127">
                  <c:v>77.09339321119019</c:v>
                </c:pt>
                <c:pt idx="128">
                  <c:v>77.352401605214098</c:v>
                </c:pt>
                <c:pt idx="129">
                  <c:v>76.599508289079921</c:v>
                </c:pt>
                <c:pt idx="130">
                  <c:v>71.992909056081004</c:v>
                </c:pt>
                <c:pt idx="131">
                  <c:v>67.147140472632344</c:v>
                </c:pt>
                <c:pt idx="132">
                  <c:v>62.005059551954602</c:v>
                </c:pt>
                <c:pt idx="133">
                  <c:v>56.484593891653411</c:v>
                </c:pt>
                <c:pt idx="134">
                  <c:v>50.460356784051832</c:v>
                </c:pt>
                <c:pt idx="135">
                  <c:v>44.00038898321764</c:v>
                </c:pt>
                <c:pt idx="136">
                  <c:v>37.349392109609283</c:v>
                </c:pt>
                <c:pt idx="137">
                  <c:v>30.26759127154946</c:v>
                </c:pt>
                <c:pt idx="138">
                  <c:v>30.26742847636342</c:v>
                </c:pt>
                <c:pt idx="139">
                  <c:v>30.267264265567061</c:v>
                </c:pt>
                <c:pt idx="140">
                  <c:v>30.26709828525782</c:v>
                </c:pt>
                <c:pt idx="141">
                  <c:v>30.26693053543568</c:v>
                </c:pt>
                <c:pt idx="142">
                  <c:v>30.266761016100649</c:v>
                </c:pt>
                <c:pt idx="143">
                  <c:v>30.2665900811553</c:v>
                </c:pt>
                <c:pt idx="144">
                  <c:v>30.266417730599638</c:v>
                </c:pt>
                <c:pt idx="145">
                  <c:v>30.266243610531092</c:v>
                </c:pt>
                <c:pt idx="146">
                  <c:v>30.26606772094965</c:v>
                </c:pt>
                <c:pt idx="147">
                  <c:v>30.265890415757891</c:v>
                </c:pt>
                <c:pt idx="148">
                  <c:v>30.265711341053251</c:v>
                </c:pt>
                <c:pt idx="149">
                  <c:v>30.265530850738291</c:v>
                </c:pt>
                <c:pt idx="150">
                  <c:v>30.26534894481301</c:v>
                </c:pt>
                <c:pt idx="151">
                  <c:v>30.265165269374851</c:v>
                </c:pt>
                <c:pt idx="152">
                  <c:v>30.26497982442379</c:v>
                </c:pt>
                <c:pt idx="153">
                  <c:v>30.264792963862419</c:v>
                </c:pt>
                <c:pt idx="154">
                  <c:v>30.264604687690731</c:v>
                </c:pt>
                <c:pt idx="155">
                  <c:v>30.264414642006159</c:v>
                </c:pt>
                <c:pt idx="156">
                  <c:v>30.264223534613851</c:v>
                </c:pt>
                <c:pt idx="157">
                  <c:v>30.264223534613851</c:v>
                </c:pt>
                <c:pt idx="158">
                  <c:v>33.928835358238693</c:v>
                </c:pt>
                <c:pt idx="159">
                  <c:v>37.383843143979753</c:v>
                </c:pt>
                <c:pt idx="160">
                  <c:v>40.584928697462871</c:v>
                </c:pt>
                <c:pt idx="161">
                  <c:v>43.259159518127717</c:v>
                </c:pt>
                <c:pt idx="162">
                  <c:v>45.569664144799361</c:v>
                </c:pt>
                <c:pt idx="163">
                  <c:v>47.610245804623382</c:v>
                </c:pt>
                <c:pt idx="164">
                  <c:v>49.440638899946862</c:v>
                </c:pt>
                <c:pt idx="165">
                  <c:v>51.101615008223447</c:v>
                </c:pt>
                <c:pt idx="166">
                  <c:v>52.688918484717803</c:v>
                </c:pt>
                <c:pt idx="167">
                  <c:v>54.15521739823145</c:v>
                </c:pt>
                <c:pt idx="168">
                  <c:v>55.517982810392368</c:v>
                </c:pt>
                <c:pt idx="169">
                  <c:v>56.79092361093484</c:v>
                </c:pt>
                <c:pt idx="170">
                  <c:v>57.985026193060918</c:v>
                </c:pt>
                <c:pt idx="171">
                  <c:v>59.109252569458633</c:v>
                </c:pt>
                <c:pt idx="172">
                  <c:v>60.171024587988683</c:v>
                </c:pt>
                <c:pt idx="173">
                  <c:v>61.176569136565888</c:v>
                </c:pt>
                <c:pt idx="174">
                  <c:v>62.131170115859682</c:v>
                </c:pt>
                <c:pt idx="175">
                  <c:v>63.039356163170723</c:v>
                </c:pt>
                <c:pt idx="176">
                  <c:v>63.905043042324479</c:v>
                </c:pt>
                <c:pt idx="177">
                  <c:v>64.731643374738567</c:v>
                </c:pt>
                <c:pt idx="178">
                  <c:v>65.522152405944539</c:v>
                </c:pt>
                <c:pt idx="179">
                  <c:v>66.279215896066447</c:v>
                </c:pt>
                <c:pt idx="180">
                  <c:v>67.005184477690634</c:v>
                </c:pt>
                <c:pt idx="181">
                  <c:v>67.702157631750666</c:v>
                </c:pt>
                <c:pt idx="182">
                  <c:v>68.372019601552537</c:v>
                </c:pt>
                <c:pt idx="183">
                  <c:v>69.016468977083235</c:v>
                </c:pt>
                <c:pt idx="184">
                  <c:v>69.637043259079846</c:v>
                </c:pt>
                <c:pt idx="185">
                  <c:v>70.235139404247676</c:v>
                </c:pt>
                <c:pt idx="186">
                  <c:v>70.812031125556558</c:v>
                </c:pt>
                <c:pt idx="187">
                  <c:v>71.368883551624037</c:v>
                </c:pt>
                <c:pt idx="188">
                  <c:v>71.906765720866787</c:v>
                </c:pt>
                <c:pt idx="189">
                  <c:v>72.426661288203221</c:v>
                </c:pt>
                <c:pt idx="190">
                  <c:v>72.929477746700371</c:v>
                </c:pt>
                <c:pt idx="191">
                  <c:v>73.416054407990956</c:v>
                </c:pt>
                <c:pt idx="192">
                  <c:v>73.887169339414285</c:v>
                </c:pt>
                <c:pt idx="193">
                  <c:v>74.343545419629081</c:v>
                </c:pt>
                <c:pt idx="194">
                  <c:v>74.785855645663446</c:v>
                </c:pt>
                <c:pt idx="195">
                  <c:v>75.214727801330284</c:v>
                </c:pt>
                <c:pt idx="196">
                  <c:v>75.630748578379951</c:v>
                </c:pt>
                <c:pt idx="197">
                  <c:v>76.034467226724203</c:v>
                </c:pt>
                <c:pt idx="198">
                  <c:v>76.426398797809782</c:v>
                </c:pt>
                <c:pt idx="199">
                  <c:v>76.807027035177327</c:v>
                </c:pt>
                <c:pt idx="200">
                  <c:v>77.176806957970186</c:v>
                </c:pt>
                <c:pt idx="201">
                  <c:v>77.536167176311764</c:v>
                </c:pt>
                <c:pt idx="202">
                  <c:v>77.885511971778413</c:v>
                </c:pt>
                <c:pt idx="203">
                  <c:v>78.121584447950539</c:v>
                </c:pt>
                <c:pt idx="204">
                  <c:v>78.350884815640384</c:v>
                </c:pt>
                <c:pt idx="205">
                  <c:v>78.5736504851631</c:v>
                </c:pt>
                <c:pt idx="206">
                  <c:v>78.790107864449524</c:v>
                </c:pt>
                <c:pt idx="207">
                  <c:v>79.000473111722741</c:v>
                </c:pt>
                <c:pt idx="208">
                  <c:v>79.204952749097032</c:v>
                </c:pt>
                <c:pt idx="209">
                  <c:v>79.403744246270435</c:v>
                </c:pt>
                <c:pt idx="210">
                  <c:v>79.597036733886227</c:v>
                </c:pt>
                <c:pt idx="211">
                  <c:v>79.785010955104696</c:v>
                </c:pt>
                <c:pt idx="212">
                  <c:v>79.967840069062774</c:v>
                </c:pt>
                <c:pt idx="213">
                  <c:v>80.145862197233541</c:v>
                </c:pt>
                <c:pt idx="214">
                  <c:v>80.319061192237996</c:v>
                </c:pt>
                <c:pt idx="215">
                  <c:v>80.487590046428011</c:v>
                </c:pt>
                <c:pt idx="216">
                  <c:v>80.65159563706078</c:v>
                </c:pt>
                <c:pt idx="217">
                  <c:v>80.811219111545626</c:v>
                </c:pt>
                <c:pt idx="218">
                  <c:v>80.966596032024981</c:v>
                </c:pt>
                <c:pt idx="219">
                  <c:v>81.11785672378214</c:v>
                </c:pt>
                <c:pt idx="220">
                  <c:v>81.265126555480222</c:v>
                </c:pt>
                <c:pt idx="221">
                  <c:v>81.408526181718059</c:v>
                </c:pt>
                <c:pt idx="222">
                  <c:v>81.548171770572367</c:v>
                </c:pt>
                <c:pt idx="223">
                  <c:v>81.684175217253355</c:v>
                </c:pt>
                <c:pt idx="224">
                  <c:v>81.816644344901519</c:v>
                </c:pt>
                <c:pt idx="225">
                  <c:v>81.945683093466471</c:v>
                </c:pt>
                <c:pt idx="226">
                  <c:v>82.071391697525328</c:v>
                </c:pt>
                <c:pt idx="227">
                  <c:v>82.193866853828169</c:v>
                </c:pt>
                <c:pt idx="228">
                  <c:v>82.313201879290958</c:v>
                </c:pt>
                <c:pt idx="229">
                  <c:v>82.42948686009882</c:v>
                </c:pt>
                <c:pt idx="230">
                  <c:v>82.542808792526145</c:v>
                </c:pt>
                <c:pt idx="231">
                  <c:v>82.653251716034362</c:v>
                </c:pt>
                <c:pt idx="232">
                  <c:v>82.760896839161745</c:v>
                </c:pt>
                <c:pt idx="233">
                  <c:v>82.86582265911909</c:v>
                </c:pt>
                <c:pt idx="234">
                  <c:v>82.889665756374598</c:v>
                </c:pt>
                <c:pt idx="235">
                  <c:v>82.81391927972436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D-4C07-BFA5-AB4818324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 (m/s)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342900</xdr:colOff>
      <xdr:row>24</xdr:row>
      <xdr:rowOff>200025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9</xdr:col>
      <xdr:colOff>285750</xdr:colOff>
      <xdr:row>18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12</xdr:col>
      <xdr:colOff>628650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LapSummary" displayName="TLapSummary" ref="A5:H8" totalsRowShown="0">
  <autoFilter ref="A5:H8" xr:uid="{00000000-0009-0000-0100-000001000000}"/>
  <tableColumns count="8">
    <tableColumn id="1" xr3:uid="{00000000-0010-0000-0000-000001000000}" name="Circuit"/>
    <tableColumn id="2" xr3:uid="{00000000-0010-0000-0000-000002000000}" name="Baseline (s)"/>
    <tableColumn id="3" xr3:uid="{00000000-0010-0000-0000-000003000000}" name="Candidate (s)"/>
    <tableColumn id="4" xr3:uid="{00000000-0010-0000-0000-000004000000}" name="Delta (s)"/>
    <tableColumn id="5" xr3:uid="{00000000-0010-0000-0000-000005000000}" name="Top speed (m/s)"/>
    <tableColumn id="6" xr3:uid="{00000000-0010-0000-0000-000006000000}" name="DRS gain (s)"/>
    <tableColumn id="7" xr3:uid="{00000000-0010-0000-0000-000007000000}" name="Setup ID"/>
    <tableColumn id="8" xr3:uid="{00000000-0010-0000-0000-000008000000}" name="Viol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SetupComparison" displayName="TSetupComparison" ref="A5:G20" totalsRowShown="0">
  <autoFilter ref="A5:G20" xr:uid="{00000000-0009-0000-0100-000002000000}"/>
  <tableColumns count="7">
    <tableColumn id="1" xr3:uid="{00000000-0010-0000-0100-000001000000}" name="setup_id"/>
    <tableColumn id="2" xr3:uid="{00000000-0010-0000-0100-000002000000}" name="setup_name"/>
    <tableColumn id="3" xr3:uid="{00000000-0010-0000-0100-000003000000}" name="front_wing_deg"/>
    <tableColumn id="4" xr3:uid="{00000000-0010-0000-0100-000004000000}" name="rear_wing_deg"/>
    <tableColumn id="5" xr3:uid="{00000000-0010-0000-0100-000005000000}" name="front_height_m"/>
    <tableColumn id="6" xr3:uid="{00000000-0010-0000-0100-000006000000}" name="rear_height_m"/>
    <tableColumn id="7" xr3:uid="{00000000-0010-0000-0100-000007000000}" name="pack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sumptions" displayName="TAssumptions" ref="A5:C17" totalsRowShown="0">
  <autoFilter ref="A5:C17" xr:uid="{00000000-0009-0000-0100-000003000000}"/>
  <tableColumns count="3">
    <tableColumn id="1" xr3:uid="{00000000-0010-0000-0200-000001000000}" name="input"/>
    <tableColumn id="2" xr3:uid="{00000000-0010-0000-0200-000002000000}" name="value"/>
    <tableColumn id="3" xr3:uid="{00000000-0010-0000-0200-000003000000}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eroCalculations" displayName="TAeroCalculations" ref="A5:L26" totalsRowShown="0">
  <autoFilter ref="A5:L26" xr:uid="{00000000-0009-0000-0100-000004000000}"/>
  <tableColumns count="12">
    <tableColumn id="1" xr3:uid="{00000000-0010-0000-0300-000001000000}" name="speed_mps"/>
    <tableColumn id="2" xr3:uid="{00000000-0010-0000-0300-000002000000}" name="q_pa"/>
    <tableColumn id="3" xr3:uid="{00000000-0010-0000-0300-000003000000}" name="downforce_n"/>
    <tableColumn id="4" xr3:uid="{00000000-0010-0000-0300-000004000000}" name="drag_n"/>
    <tableColumn id="5" xr3:uid="{00000000-0010-0000-0300-000005000000}" name="front_n"/>
    <tableColumn id="6" xr3:uid="{00000000-0010-0000-0300-000006000000}" name="rear_n"/>
    <tableColumn id="7" xr3:uid="{00000000-0010-0000-0300-000007000000}" name="front_fraction"/>
    <tableColumn id="8" xr3:uid="{00000000-0010-0000-0300-000008000000}" name="rear_fraction"/>
    <tableColumn id="9" xr3:uid="{00000000-0010-0000-0300-000009000000}" name="aero_efficiency"/>
    <tableColumn id="10" xr3:uid="{00000000-0010-0000-0300-00000A000000}" name="drag_power_w"/>
    <tableColumn id="11" xr3:uid="{00000000-0010-0000-0300-00000B000000}" name="DRS_drag_n"/>
    <tableColumn id="12" xr3:uid="{00000000-0010-0000-0300-00000C000000}" name="drag_reduction_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LapTimeModel" displayName="TLapTimeModel" ref="A5:C14" totalsRowShown="0">
  <autoFilter ref="A5:C14" xr:uid="{00000000-0009-0000-0100-000005000000}"/>
  <tableColumns count="3">
    <tableColumn id="1" xr3:uid="{00000000-0010-0000-0400-000001000000}" name="quantity"/>
    <tableColumn id="2" xr3:uid="{00000000-0010-0000-0400-000002000000}" name="value"/>
    <tableColumn id="3" xr3:uid="{00000000-0010-0000-0400-000003000000}" name="un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SectorComparison" displayName="TSectorComparison" ref="A5:D8" totalsRowShown="0">
  <autoFilter ref="A5:D8" xr:uid="{00000000-0009-0000-0100-000006000000}"/>
  <tableColumns count="4">
    <tableColumn id="1" xr3:uid="{00000000-0010-0000-0500-000001000000}" name="sector_id"/>
    <tableColumn id="2" xr3:uid="{00000000-0010-0000-0500-000002000000}" name="sector_time_s_baseline"/>
    <tableColumn id="3" xr3:uid="{00000000-0010-0000-0500-000003000000}" name="sector_time_s_candidate"/>
    <tableColumn id="4" xr3:uid="{00000000-0010-0000-0500-000004000000}" name="delta_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DRSAnalysis" displayName="TDRSAnalysis" ref="A5:G8" totalsRowShown="0">
  <autoFilter ref="A5:G8" xr:uid="{00000000-0009-0000-0100-000007000000}"/>
  <tableColumns count="7">
    <tableColumn id="1" xr3:uid="{00000000-0010-0000-0600-000001000000}" name="pair_id"/>
    <tableColumn id="2" xr3:uid="{00000000-0010-0000-0600-000002000000}" name="lap_time_s_off"/>
    <tableColumn id="3" xr3:uid="{00000000-0010-0000-0600-000003000000}" name="top_speed_mps_off"/>
    <tableColumn id="4" xr3:uid="{00000000-0010-0000-0600-000004000000}" name="lap_time_s_on"/>
    <tableColumn id="5" xr3:uid="{00000000-0010-0000-0600-000005000000}" name="top_speed_mps_on"/>
    <tableColumn id="6" xr3:uid="{00000000-0010-0000-0600-000006000000}" name="time_gain_s"/>
    <tableColumn id="7" xr3:uid="{00000000-0010-0000-0600-000007000000}" name="top_speed_gain_mp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SensitivityAnalysis" displayName="TSensitivityAnalysis" ref="A5:E13" totalsRowShown="0">
  <autoFilter ref="A5:E13" xr:uid="{00000000-0009-0000-0100-000008000000}"/>
  <tableColumns count="5">
    <tableColumn id="1" xr3:uid="{00000000-0010-0000-0700-000001000000}" name="parameter"/>
    <tableColumn id="2" xr3:uid="{00000000-0010-0000-0700-000002000000}" name="direction"/>
    <tableColumn id="3" xr3:uid="{00000000-0010-0000-0700-000003000000}" name="change"/>
    <tableColumn id="4" xr3:uid="{00000000-0010-0000-0700-000004000000}" name="delta_s"/>
    <tableColumn id="5" xr3:uid="{00000000-0010-0000-0700-000005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OptimizationResults" displayName="TOptimizationResults" ref="A5:L723" totalsRowShown="0">
  <autoFilter ref="A5:L723" xr:uid="{00000000-0009-0000-0100-000009000000}"/>
  <tableColumns count="12">
    <tableColumn id="1" xr3:uid="{00000000-0010-0000-0800-000001000000}" name="circuit"/>
    <tableColumn id="2" xr3:uid="{00000000-0010-0000-0800-000002000000}" name="seed"/>
    <tableColumn id="3" xr3:uid="{00000000-0010-0000-0800-000003000000}" name="method"/>
    <tableColumn id="4" xr3:uid="{00000000-0010-0000-0800-000004000000}" name="front_wing_deg"/>
    <tableColumn id="5" xr3:uid="{00000000-0010-0000-0800-000005000000}" name="rear_wing_deg"/>
    <tableColumn id="6" xr3:uid="{00000000-0010-0000-0800-000006000000}" name="front_height_m"/>
    <tableColumn id="7" xr3:uid="{00000000-0010-0000-0800-000007000000}" name="rear_height_m"/>
    <tableColumn id="8" xr3:uid="{00000000-0010-0000-0800-000008000000}" name="lap_time_s"/>
    <tableColumn id="9" xr3:uid="{00000000-0010-0000-0800-000009000000}" name="objective_value"/>
    <tableColumn id="10" xr3:uid="{00000000-0010-0000-0800-00000A000000}" name="feasible"/>
    <tableColumn id="11" xr3:uid="{00000000-0010-0000-0800-00000B000000}" name="pareto"/>
    <tableColumn id="12" xr3:uid="{00000000-0010-0000-0800-00000C000000}" name="constraint_reason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Charts" displayName="TCharts" ref="A5:C26" totalsRowShown="0">
  <autoFilter ref="A5:C26" xr:uid="{00000000-0009-0000-0100-00000A000000}"/>
  <tableColumns count="3">
    <tableColumn id="1" xr3:uid="{00000000-0010-0000-0900-000001000000}" name="speed_mps"/>
    <tableColumn id="2" xr3:uid="{00000000-0010-0000-0900-000002000000}" name="downforce_n"/>
    <tableColumn id="3" xr3:uid="{00000000-0010-0000-0900-000003000000}" name="drag_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VehicleInputs" displayName="TVehicleInputs" ref="A5:C22" totalsRowShown="0">
  <autoFilter ref="A5:C22" xr:uid="{00000000-0009-0000-0100-00000B000000}"/>
  <tableColumns count="3">
    <tableColumn id="1" xr3:uid="{00000000-0010-0000-0A00-000001000000}" name="parameter"/>
    <tableColumn id="2" xr3:uid="{00000000-0010-0000-0A00-000002000000}" name="value"/>
    <tableColumn id="3" xr3:uid="{00000000-0010-0000-0A00-000003000000}" name="sour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SimulationSettings" displayName="TSimulationSettings" ref="A5:B12" totalsRowShown="0">
  <autoFilter ref="A5:B12" xr:uid="{00000000-0009-0000-0100-00000C000000}"/>
  <tableColumns count="2">
    <tableColumn id="1" xr3:uid="{00000000-0010-0000-0B00-000001000000}" name="setting"/>
    <tableColumn id="2" xr3:uid="{00000000-0010-0000-0B00-000002000000}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SegmentSimulation" displayName="TSegmentSimulation" ref="A5:E11" totalsRowShown="0">
  <autoFilter ref="A5:E11" xr:uid="{00000000-0009-0000-0100-00000D000000}"/>
  <tableColumns count="5">
    <tableColumn id="1" xr3:uid="{00000000-0010-0000-0C00-000001000000}" name="segment_id"/>
    <tableColumn id="2" xr3:uid="{00000000-0010-0000-0C00-000002000000}" name="sector_id"/>
    <tableColumn id="3" xr3:uid="{00000000-0010-0000-0C00-000003000000}" name="segment_time_s"/>
    <tableColumn id="4" xr3:uid="{00000000-0010-0000-0C00-000004000000}" name="length_m"/>
    <tableColumn id="5" xr3:uid="{00000000-0010-0000-0C00-000005000000}" name="top_speed_mp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SpeedTrace" displayName="TSpeedTrace" ref="A5:H241" totalsRowShown="0">
  <autoFilter ref="A5:H241" xr:uid="{00000000-0009-0000-0100-00000E000000}"/>
  <tableColumns count="8">
    <tableColumn id="1" xr3:uid="{00000000-0010-0000-0D00-000001000000}" name="distance_m"/>
    <tableColumn id="2" xr3:uid="{00000000-0010-0000-0D00-000002000000}" name="time_s"/>
    <tableColumn id="3" xr3:uid="{00000000-0010-0000-0D00-000003000000}" name="dt_s"/>
    <tableColumn id="4" xr3:uid="{00000000-0010-0000-0D00-000004000000}" name="speed_mps"/>
    <tableColumn id="5" xr3:uid="{00000000-0010-0000-0D00-000005000000}" name="exit_speed_mps"/>
    <tableColumn id="6" xr3:uid="{00000000-0010-0000-0D00-000006000000}" name="acceleration_mps2"/>
    <tableColumn id="7" xr3:uid="{00000000-0010-0000-0D00-000007000000}" name="gear"/>
    <tableColumn id="8" xr3:uid="{00000000-0010-0000-0D00-000008000000}" name="dr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ForceBreakdown" displayName="TForceBreakdown" ref="A5:H241" totalsRowShown="0">
  <autoFilter ref="A5:H241" xr:uid="{00000000-0009-0000-0100-00000F000000}"/>
  <tableColumns count="8">
    <tableColumn id="1" xr3:uid="{00000000-0010-0000-0E00-000001000000}" name="distance_m"/>
    <tableColumn id="2" xr3:uid="{00000000-0010-0000-0E00-000002000000}" name="engine_force_n"/>
    <tableColumn id="3" xr3:uid="{00000000-0010-0000-0E00-000003000000}" name="brake_force_n"/>
    <tableColumn id="4" xr3:uid="{00000000-0010-0000-0E00-000004000000}" name="drag_n"/>
    <tableColumn id="5" xr3:uid="{00000000-0010-0000-0E00-000005000000}" name="rolling_force_n"/>
    <tableColumn id="6" xr3:uid="{00000000-0010-0000-0E00-000006000000}" name="downforce_n"/>
    <tableColumn id="7" xr3:uid="{00000000-0010-0000-0E00-000007000000}" name="front_tyre_load_n"/>
    <tableColumn id="8" xr3:uid="{00000000-0010-0000-0E00-000008000000}" name="rear_tyre_load_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TyreState" displayName="TTyreState" ref="A5:E241" totalsRowShown="0">
  <autoFilter ref="A5:E241" xr:uid="{00000000-0009-0000-0100-000010000000}"/>
  <tableColumns count="5">
    <tableColumn id="1" xr3:uid="{00000000-0010-0000-0F00-000001000000}" name="distance_m"/>
    <tableColumn id="2" xr3:uid="{00000000-0010-0000-0F00-000002000000}" name="tyre_wear"/>
    <tableColumn id="3" xr3:uid="{00000000-0010-0000-0F00-000003000000}" name="tyre_temperature_c"/>
    <tableColumn id="4" xr3:uid="{00000000-0010-0000-0F00-000004000000}" name="tyre_mu"/>
    <tableColumn id="5" xr3:uid="{00000000-0010-0000-0F00-000005000000}" name="max_wheel_load_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FuelState" displayName="TFuelState" ref="A5:C241" totalsRowShown="0">
  <autoFilter ref="A5:C241" xr:uid="{00000000-0009-0000-0100-000011000000}"/>
  <tableColumns count="3">
    <tableColumn id="1" xr3:uid="{00000000-0010-0000-1000-000001000000}" name="distance_m"/>
    <tableColumn id="2" xr3:uid="{00000000-0010-0000-1000-000002000000}" name="fuel_kg"/>
    <tableColumn id="3" xr3:uid="{00000000-0010-0000-1000-000003000000}" name="mass_kg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CarInputs" displayName="TCarInputs" ref="A5:C22" totalsRowShown="0">
  <autoFilter ref="A5:C22" xr:uid="{00000000-0009-0000-0100-000012000000}"/>
  <tableColumns count="3">
    <tableColumn id="1" xr3:uid="{00000000-0010-0000-1100-000001000000}" name="parameter"/>
    <tableColumn id="2" xr3:uid="{00000000-0010-0000-1100-000002000000}" name="value"/>
    <tableColumn id="3" xr3:uid="{00000000-0010-0000-1100-000003000000}" name="sourc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CircuitInputs" displayName="TCircuitInputs" ref="A5:E8" totalsRowShown="0">
  <autoFilter ref="A5:E8" xr:uid="{00000000-0009-0000-0100-000013000000}"/>
  <tableColumns count="5">
    <tableColumn id="1" xr3:uid="{00000000-0010-0000-1200-000001000000}" name="circuit_id"/>
    <tableColumn id="2" xr3:uid="{00000000-0010-0000-1200-000002000000}" name="circuit_name"/>
    <tableColumn id="3" xr3:uid="{00000000-0010-0000-1200-000003000000}" name="length_m"/>
    <tableColumn id="4" xr3:uid="{00000000-0010-0000-1200-000004000000}" name="data_source_type"/>
    <tableColumn id="5" xr3:uid="{00000000-0010-0000-1200-000005000000}" name="synthetic_flag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SectorInputs" displayName="TSectorInputs" ref="A5:E14" totalsRowShown="0">
  <autoFilter ref="A5:E14" xr:uid="{00000000-0009-0000-0100-000014000000}"/>
  <tableColumns count="5">
    <tableColumn id="1" xr3:uid="{00000000-0010-0000-1300-000001000000}" name="sector_id"/>
    <tableColumn id="2" xr3:uid="{00000000-0010-0000-1300-000002000000}" name="circuit_id"/>
    <tableColumn id="3" xr3:uid="{00000000-0010-0000-1300-000003000000}" name="sector_name"/>
    <tableColumn id="4" xr3:uid="{00000000-0010-0000-1300-000004000000}" name="data_source_type"/>
    <tableColumn id="5" xr3:uid="{00000000-0010-0000-1300-000005000000}" name="synthetic_flag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CornerInputs" displayName="TCornerInputs" ref="A5:G14" totalsRowShown="0">
  <autoFilter ref="A5:G14" xr:uid="{00000000-0009-0000-0100-000015000000}"/>
  <tableColumns count="7">
    <tableColumn id="1" xr3:uid="{00000000-0010-0000-1400-000001000000}" name="corner_id"/>
    <tableColumn id="2" xr3:uid="{00000000-0010-0000-1400-000002000000}" name="sector_id"/>
    <tableColumn id="3" xr3:uid="{00000000-0010-0000-1400-000003000000}" name="radius_m"/>
    <tableColumn id="4" xr3:uid="{00000000-0010-0000-1400-000004000000}" name="banking_rad"/>
    <tableColumn id="5" xr3:uid="{00000000-0010-0000-1400-000005000000}" name="width_m"/>
    <tableColumn id="6" xr3:uid="{00000000-0010-0000-1400-000006000000}" name="data_source_type"/>
    <tableColumn id="7" xr3:uid="{00000000-0010-0000-1400-000007000000}" name="synthetic_flag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TyreInputs" displayName="TTyreInputs" ref="A5:I8" totalsRowShown="0">
  <autoFilter ref="A5:I8" xr:uid="{00000000-0009-0000-0100-000016000000}"/>
  <tableColumns count="9">
    <tableColumn id="1" xr3:uid="{00000000-0010-0000-1500-000001000000}" name="tyre_id"/>
    <tableColumn id="2" xr3:uid="{00000000-0010-0000-1500-000002000000}" name="name"/>
    <tableColumn id="3" xr3:uid="{00000000-0010-0000-1500-000003000000}" name="mu"/>
    <tableColumn id="4" xr3:uid="{00000000-0010-0000-1500-000004000000}" name="wear_per_m"/>
    <tableColumn id="5" xr3:uid="{00000000-0010-0000-1500-000005000000}" name="optimal_temp_c"/>
    <tableColumn id="6" xr3:uid="{00000000-0010-0000-1500-000006000000}" name="load_exponent"/>
    <tableColumn id="7" xr3:uid="{00000000-0010-0000-1500-000007000000}" name="reference_load_n"/>
    <tableColumn id="8" xr3:uid="{00000000-0010-0000-1500-000008000000}" name="data_source_type"/>
    <tableColumn id="9" xr3:uid="{00000000-0010-0000-1500-000009000000}" name="synthetic_flag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WeatherInputs" displayName="TWeatherInputs" ref="A5:L8" totalsRowShown="0">
  <autoFilter ref="A5:L8" xr:uid="{00000000-0009-0000-0100-000017000000}"/>
  <tableColumns count="12">
    <tableColumn id="1" xr3:uid="{00000000-0010-0000-1600-000001000000}" name="weather_id"/>
    <tableColumn id="2" xr3:uid="{00000000-0010-0000-1600-000002000000}" name="name"/>
    <tableColumn id="3" xr3:uid="{00000000-0010-0000-1600-000003000000}" name="pressure_pa"/>
    <tableColumn id="4" xr3:uid="{00000000-0010-0000-1600-000004000000}" name="temperature_k"/>
    <tableColumn id="5" xr3:uid="{00000000-0010-0000-1600-000005000000}" name="grip"/>
    <tableColumn id="6" xr3:uid="{00000000-0010-0000-1600-000006000000}" name="headwind_mps"/>
    <tableColumn id="7" xr3:uid="{00000000-0010-0000-1600-000007000000}" name="crosswind_mps"/>
    <tableColumn id="8" xr3:uid="{00000000-0010-0000-1600-000008000000}" name="aero_multiplier"/>
    <tableColumn id="9" xr3:uid="{00000000-0010-0000-1600-000009000000}" name="density_multiplier"/>
    <tableColumn id="10" xr3:uid="{00000000-0010-0000-1600-00000A000000}" name="height_offset_m"/>
    <tableColumn id="11" xr3:uid="{00000000-0010-0000-1600-00000B000000}" name="data_source_type"/>
    <tableColumn id="12" xr3:uid="{00000000-0010-0000-1600-00000C000000}" name="synthetic_flag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eroMap" displayName="TAeroMap" ref="A5:N3245" totalsRowShown="0">
  <autoFilter ref="A5:N3245" xr:uid="{00000000-0009-0000-0100-000018000000}"/>
  <tableColumns count="14">
    <tableColumn id="1" xr3:uid="{00000000-0010-0000-1700-000001000000}" name="aero_map_id"/>
    <tableColumn id="2" xr3:uid="{00000000-0010-0000-1700-000002000000}" name="setup_id"/>
    <tableColumn id="3" xr3:uid="{00000000-0010-0000-1700-000003000000}" name="speed_mps"/>
    <tableColumn id="4" xr3:uid="{00000000-0010-0000-1700-000004000000}" name="front_height_m"/>
    <tableColumn id="5" xr3:uid="{00000000-0010-0000-1700-000005000000}" name="rear_height_m"/>
    <tableColumn id="6" xr3:uid="{00000000-0010-0000-1700-000006000000}" name="yaw_deg"/>
    <tableColumn id="7" xr3:uid="{00000000-0010-0000-1700-000007000000}" name="drs"/>
    <tableColumn id="8" xr3:uid="{00000000-0010-0000-1700-000008000000}" name="cl_front"/>
    <tableColumn id="9" xr3:uid="{00000000-0010-0000-1700-000009000000}" name="cl_rear"/>
    <tableColumn id="10" xr3:uid="{00000000-0010-0000-1700-00000A000000}" name="cd"/>
    <tableColumn id="11" xr3:uid="{00000000-0010-0000-1700-00000B000000}" name="downforce_n"/>
    <tableColumn id="12" xr3:uid="{00000000-0010-0000-1700-00000C000000}" name="drag_n"/>
    <tableColumn id="13" xr3:uid="{00000000-0010-0000-1700-00000D000000}" name="data_source_type"/>
    <tableColumn id="14" xr3:uid="{00000000-0010-0000-1700-00000E000000}" name="synthetic_flag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SetupScenarios" displayName="TSetupScenarios" ref="A5:G20" totalsRowShown="0">
  <autoFilter ref="A5:G20" xr:uid="{00000000-0009-0000-0100-000019000000}"/>
  <tableColumns count="7">
    <tableColumn id="1" xr3:uid="{00000000-0010-0000-1800-000001000000}" name="setup_id"/>
    <tableColumn id="2" xr3:uid="{00000000-0010-0000-1800-000002000000}" name="setup_name"/>
    <tableColumn id="3" xr3:uid="{00000000-0010-0000-1800-000003000000}" name="front_wing_deg"/>
    <tableColumn id="4" xr3:uid="{00000000-0010-0000-1800-000004000000}" name="rear_wing_deg"/>
    <tableColumn id="5" xr3:uid="{00000000-0010-0000-1800-000005000000}" name="front_height_m"/>
    <tableColumn id="6" xr3:uid="{00000000-0010-0000-1800-000006000000}" name="rear_height_m"/>
    <tableColumn id="7" xr3:uid="{00000000-0010-0000-1800-000007000000}" name="packag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DataQuality" displayName="TDataQuality" ref="A5:E31" totalsRowShown="0">
  <autoFilter ref="A5:E31" xr:uid="{00000000-0009-0000-0100-00001A000000}"/>
  <tableColumns count="5">
    <tableColumn id="1" xr3:uid="{00000000-0010-0000-1900-000001000000}" name="table_name"/>
    <tableColumn id="2" xr3:uid="{00000000-0010-0000-1900-000002000000}" name="row_count"/>
    <tableColumn id="3" xr3:uid="{00000000-0010-0000-1900-000003000000}" name="duplicate_rows"/>
    <tableColumn id="4" xr3:uid="{00000000-0010-0000-1900-000004000000}" name="missing_cells"/>
    <tableColumn id="5" xr3:uid="{00000000-0010-0000-1900-000005000000}" name="synthetic_percentag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PythonReconciliation" displayName="TPythonReconciliation" ref="A5:D10" totalsRowShown="0">
  <autoFilter ref="A5:D10" xr:uid="{00000000-0009-0000-0100-00001B000000}"/>
  <tableColumns count="4">
    <tableColumn id="1" xr3:uid="{00000000-0010-0000-1A00-000001000000}" name="quantity"/>
    <tableColumn id="2" xr3:uid="{00000000-0010-0000-1A00-000002000000}" name="python_reference"/>
    <tableColumn id="3" xr3:uid="{00000000-0010-0000-1A00-000003000000}" name="excel_result"/>
    <tableColumn id="4" xr3:uid="{00000000-0010-0000-1A00-000004000000}" name="differenc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MySQLReconciliation" displayName="TMySQLReconciliation" ref="A5:D32" totalsRowShown="0">
  <autoFilter ref="A5:D32" xr:uid="{00000000-0009-0000-0100-00001C000000}"/>
  <tableColumns count="4">
    <tableColumn id="1" xr3:uid="{00000000-0010-0000-1B00-000001000000}" name="table_name"/>
    <tableColumn id="2" xr3:uid="{00000000-0010-0000-1B00-000002000000}" name="python_rows"/>
    <tableColumn id="3" xr3:uid="{00000000-0010-0000-1B00-000003000000}" name="mysql_rows"/>
    <tableColumn id="4" xr3:uid="{00000000-0010-0000-1B00-000004000000}" name="matched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UnitReference" displayName="TUnitReference" ref="A5:C11" totalsRowShown="0">
  <autoFilter ref="A5:C11" xr:uid="{00000000-0009-0000-0100-00001D000000}"/>
  <tableColumns count="3">
    <tableColumn id="1" xr3:uid="{00000000-0010-0000-1C00-000001000000}" name="quantity"/>
    <tableColumn id="2" xr3:uid="{00000000-0010-0000-1C00-000002000000}" name="storage_unit"/>
    <tableColumn id="3" xr3:uid="{00000000-0010-0000-1C00-000003000000}" name="definitio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ProjectScope" displayName="TProjectScope" ref="A5:B9" totalsRowShown="0">
  <autoFilter ref="A5:B9" xr:uid="{00000000-0009-0000-0100-00001E000000}"/>
  <tableColumns count="2">
    <tableColumn id="1" xr3:uid="{00000000-0010-0000-1D00-000001000000}" name="status"/>
    <tableColumn id="2" xr3:uid="{00000000-0010-0000-1D00-000002000000}" name="description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README" displayName="TREADME" ref="A5:B13" totalsRowShown="0">
  <autoFilter ref="A5:B13" xr:uid="{00000000-0009-0000-0100-00001F000000}"/>
  <tableColumns count="2">
    <tableColumn id="1" xr3:uid="{00000000-0010-0000-1E00-000001000000}" name="topic"/>
    <tableColumn id="2" xr3:uid="{00000000-0010-0000-1E00-000002000000}" name="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34F"/>
    <pageSetUpPr fitToPage="1"/>
  </sheetPr>
  <dimension ref="A2:AE8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6" width="19.6640625" style="1" customWidth="1"/>
    <col min="7" max="8" width="15.6640625" style="2" customWidth="1"/>
    <col min="9" max="31" width="19.6640625" style="1" customWidth="1"/>
  </cols>
  <sheetData>
    <row r="2" spans="1:8" ht="19" customHeight="1" x14ac:dyDescent="0.35">
      <c r="A2" s="3" t="s">
        <v>0</v>
      </c>
    </row>
    <row r="3" spans="1:8" ht="19" customHeight="1" x14ac:dyDescent="0.3">
      <c r="A3" s="4" t="s">
        <v>1</v>
      </c>
    </row>
    <row r="4" spans="1:8" ht="19" customHeight="1" x14ac:dyDescent="0.3">
      <c r="A4" s="4" t="s">
        <v>32</v>
      </c>
    </row>
    <row r="5" spans="1:8" ht="34.049999999999997" customHeight="1" x14ac:dyDescent="0.3">
      <c r="A5" s="5" t="s">
        <v>33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</row>
    <row r="6" spans="1:8" ht="19" customHeight="1" x14ac:dyDescent="0.3">
      <c r="A6" t="s">
        <v>41</v>
      </c>
      <c r="B6" s="1">
        <v>49.597522640648563</v>
      </c>
      <c r="C6" s="1">
        <v>49.232189066377472</v>
      </c>
      <c r="D6" s="1">
        <f>C6-B6</f>
        <v>-0.36533357427109081</v>
      </c>
      <c r="E6" s="1">
        <v>87.02722276245224</v>
      </c>
      <c r="F6" s="1">
        <v>0.38933923383996222</v>
      </c>
      <c r="G6" s="2">
        <v>13</v>
      </c>
      <c r="H6" s="2">
        <v>0</v>
      </c>
    </row>
    <row r="7" spans="1:8" ht="19" customHeight="1" x14ac:dyDescent="0.3">
      <c r="A7" t="s">
        <v>42</v>
      </c>
      <c r="B7" s="1">
        <v>38.869326898109833</v>
      </c>
      <c r="C7" s="1">
        <v>38.348408837749759</v>
      </c>
      <c r="D7" s="1">
        <f>C7-B7</f>
        <v>-0.52091806036007426</v>
      </c>
      <c r="E7" s="1">
        <v>89.015598464883766</v>
      </c>
      <c r="F7" s="1">
        <v>0.29481479664707422</v>
      </c>
      <c r="G7" s="2">
        <v>14</v>
      </c>
      <c r="H7" s="2">
        <v>0</v>
      </c>
    </row>
    <row r="8" spans="1:8" ht="19" customHeight="1" x14ac:dyDescent="0.3">
      <c r="A8" t="s">
        <v>43</v>
      </c>
      <c r="B8" s="1">
        <v>27.6544028068482</v>
      </c>
      <c r="C8" s="1">
        <v>26.517366223610821</v>
      </c>
      <c r="D8" s="1">
        <f>C8-B8</f>
        <v>-1.1370365832373786</v>
      </c>
      <c r="E8" s="1">
        <v>92.04696639994566</v>
      </c>
      <c r="F8" s="1">
        <v>0.25649578287768549</v>
      </c>
      <c r="G8" s="2">
        <v>15</v>
      </c>
      <c r="H8" s="2">
        <v>0</v>
      </c>
    </row>
  </sheetData>
  <sheetProtection sheet="1" objects="1" scenarios="1" sort="0" autoFilter="0"/>
  <pageMargins left="0.7" right="0.7" top="0.75" bottom="0.75" header="0.3" footer="0.3"/>
  <pageSetup scale="78" fitToHeight="0" orientation="landscape" r:id="rId1"/>
  <headerFooter>
    <oddFooter>&amp;LResearch model – synthetic data&amp;RPage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334F"/>
    <pageSetUpPr fitToPage="1"/>
  </sheetPr>
  <dimension ref="A2:AE2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7" ht="19" customHeight="1" x14ac:dyDescent="0.35">
      <c r="A2" s="3" t="s">
        <v>2</v>
      </c>
    </row>
    <row r="3" spans="1:7" ht="19" customHeight="1" x14ac:dyDescent="0.3">
      <c r="A3" s="4" t="s">
        <v>1</v>
      </c>
    </row>
    <row r="5" spans="1:7" ht="34.049999999999997" customHeight="1" x14ac:dyDescent="0.3">
      <c r="A5" s="5" t="s">
        <v>44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</row>
    <row r="6" spans="1:7" ht="19" customHeight="1" x14ac:dyDescent="0.3">
      <c r="A6">
        <v>1</v>
      </c>
      <c r="B6" s="1" t="s">
        <v>51</v>
      </c>
      <c r="C6" s="1">
        <v>17.5</v>
      </c>
      <c r="D6" s="1">
        <v>20</v>
      </c>
      <c r="E6" s="1">
        <v>0.04</v>
      </c>
      <c r="F6" s="1">
        <v>0.06</v>
      </c>
      <c r="G6" s="1" t="s">
        <v>52</v>
      </c>
    </row>
    <row r="7" spans="1:7" ht="19" customHeight="1" x14ac:dyDescent="0.3">
      <c r="A7">
        <v>2</v>
      </c>
      <c r="B7" s="1" t="s">
        <v>53</v>
      </c>
      <c r="C7" s="1">
        <v>20.787472582700001</v>
      </c>
      <c r="D7" s="1">
        <v>19.022055036000001</v>
      </c>
      <c r="E7" s="1">
        <v>4.8606350077899999E-2</v>
      </c>
      <c r="F7" s="1">
        <v>6.9605249046100007E-2</v>
      </c>
      <c r="G7" s="1" t="s">
        <v>52</v>
      </c>
    </row>
    <row r="8" spans="1:7" ht="19" customHeight="1" x14ac:dyDescent="0.3">
      <c r="A8">
        <v>3</v>
      </c>
      <c r="B8" s="1" t="s">
        <v>54</v>
      </c>
      <c r="C8" s="1">
        <v>12.630128174699999</v>
      </c>
      <c r="D8" s="1">
        <v>27.6099576262</v>
      </c>
      <c r="E8" s="1">
        <v>4.6267352847800002E-2</v>
      </c>
      <c r="F8" s="1">
        <v>7.2798314990000002E-2</v>
      </c>
      <c r="G8" s="1" t="s">
        <v>52</v>
      </c>
    </row>
    <row r="9" spans="1:7" ht="19" customHeight="1" x14ac:dyDescent="0.3">
      <c r="A9">
        <v>4</v>
      </c>
      <c r="B9" s="1" t="s">
        <v>55</v>
      </c>
      <c r="C9" s="1">
        <v>13.0373635921</v>
      </c>
      <c r="D9" s="1">
        <v>19.206175006300001</v>
      </c>
      <c r="E9" s="1">
        <v>3.6899152581600002E-2</v>
      </c>
      <c r="F9" s="1">
        <v>7.7863539598499995E-2</v>
      </c>
      <c r="G9" s="1" t="s">
        <v>52</v>
      </c>
    </row>
    <row r="10" spans="1:7" ht="19" customHeight="1" x14ac:dyDescent="0.3">
      <c r="A10">
        <v>5</v>
      </c>
      <c r="B10" s="1" t="s">
        <v>56</v>
      </c>
      <c r="C10" s="1">
        <v>19.226381441000001</v>
      </c>
      <c r="D10" s="1">
        <v>25.164185812300001</v>
      </c>
      <c r="E10" s="1">
        <v>3.8641940771900002E-2</v>
      </c>
      <c r="F10" s="1">
        <v>5.26805939843E-2</v>
      </c>
      <c r="G10" s="1" t="s">
        <v>52</v>
      </c>
    </row>
    <row r="11" spans="1:7" ht="19" customHeight="1" x14ac:dyDescent="0.3">
      <c r="A11">
        <v>6</v>
      </c>
      <c r="B11" s="1" t="s">
        <v>57</v>
      </c>
      <c r="C11" s="1">
        <v>18.155017444199999</v>
      </c>
      <c r="D11" s="1">
        <v>13.0210760977</v>
      </c>
      <c r="E11" s="1">
        <v>4.7863148127800001E-2</v>
      </c>
      <c r="F11" s="1">
        <v>6.7239918368400001E-2</v>
      </c>
      <c r="G11" s="1" t="s">
        <v>52</v>
      </c>
    </row>
    <row r="12" spans="1:7" ht="19" customHeight="1" x14ac:dyDescent="0.3">
      <c r="A12">
        <v>7</v>
      </c>
      <c r="B12" s="1" t="s">
        <v>58</v>
      </c>
      <c r="C12" s="1">
        <v>20.597052881</v>
      </c>
      <c r="D12" s="1">
        <v>17.672415490100001</v>
      </c>
      <c r="E12" s="1">
        <v>5.1296752585499997E-2</v>
      </c>
      <c r="F12" s="1">
        <v>7.6652360367599995E-2</v>
      </c>
      <c r="G12" s="1" t="s">
        <v>52</v>
      </c>
    </row>
    <row r="13" spans="1:7" ht="19" customHeight="1" x14ac:dyDescent="0.3">
      <c r="A13">
        <v>8</v>
      </c>
      <c r="B13" s="1" t="s">
        <v>59</v>
      </c>
      <c r="C13" s="1">
        <v>20.840601964899999</v>
      </c>
      <c r="D13" s="1">
        <v>15.114219325600001</v>
      </c>
      <c r="E13" s="1">
        <v>3.9201304089400001E-2</v>
      </c>
      <c r="F13" s="1">
        <v>4.6076935568299997E-2</v>
      </c>
      <c r="G13" s="1" t="s">
        <v>52</v>
      </c>
    </row>
    <row r="14" spans="1:7" ht="19" customHeight="1" x14ac:dyDescent="0.3">
      <c r="A14">
        <v>9</v>
      </c>
      <c r="B14" s="1" t="s">
        <v>60</v>
      </c>
      <c r="C14" s="1">
        <v>13.351473904800001</v>
      </c>
      <c r="D14" s="1">
        <v>22.928783251900001</v>
      </c>
      <c r="E14" s="1">
        <v>4.5874291741800001E-2</v>
      </c>
      <c r="F14" s="1">
        <v>7.93303503676E-2</v>
      </c>
      <c r="G14" s="1" t="s">
        <v>52</v>
      </c>
    </row>
    <row r="15" spans="1:7" ht="19" customHeight="1" x14ac:dyDescent="0.3">
      <c r="A15">
        <v>10</v>
      </c>
      <c r="B15" s="1" t="s">
        <v>61</v>
      </c>
      <c r="C15" s="1">
        <v>15.409904297700001</v>
      </c>
      <c r="D15" s="1">
        <v>17.927355296599998</v>
      </c>
      <c r="E15" s="1">
        <v>3.9269339470599997E-2</v>
      </c>
      <c r="F15" s="1">
        <v>5.1320968926999999E-2</v>
      </c>
      <c r="G15" s="1" t="s">
        <v>52</v>
      </c>
    </row>
    <row r="16" spans="1:7" ht="19" customHeight="1" x14ac:dyDescent="0.3">
      <c r="A16">
        <v>11</v>
      </c>
      <c r="B16" s="1" t="s">
        <v>62</v>
      </c>
      <c r="C16" s="1">
        <v>13.059058064</v>
      </c>
      <c r="D16" s="1">
        <v>19.611278819599999</v>
      </c>
      <c r="E16" s="1">
        <v>3.3445824377199999E-2</v>
      </c>
      <c r="F16" s="1">
        <v>6.8613303808600007E-2</v>
      </c>
      <c r="G16" s="1" t="s">
        <v>52</v>
      </c>
    </row>
    <row r="17" spans="1:7" ht="19" customHeight="1" x14ac:dyDescent="0.3">
      <c r="A17">
        <v>12</v>
      </c>
      <c r="B17" s="1" t="s">
        <v>63</v>
      </c>
      <c r="C17" s="1">
        <v>16.745823026499998</v>
      </c>
      <c r="D17" s="1">
        <v>25.322851136899999</v>
      </c>
      <c r="E17" s="1">
        <v>4.4806362448099997E-2</v>
      </c>
      <c r="F17" s="1">
        <v>5.5745199089800003E-2</v>
      </c>
      <c r="G17" s="1" t="s">
        <v>52</v>
      </c>
    </row>
    <row r="18" spans="1:7" ht="19" customHeight="1" x14ac:dyDescent="0.3">
      <c r="A18">
        <v>13</v>
      </c>
      <c r="B18" s="1" t="s">
        <v>64</v>
      </c>
      <c r="C18" s="1">
        <v>16.532279633400002</v>
      </c>
      <c r="D18" s="1">
        <v>15.1805919496</v>
      </c>
      <c r="E18" s="1">
        <v>3.5168956124399998E-2</v>
      </c>
      <c r="F18" s="1">
        <v>6.0726211297000003E-2</v>
      </c>
      <c r="G18" s="1" t="s">
        <v>52</v>
      </c>
    </row>
    <row r="19" spans="1:7" ht="19" customHeight="1" x14ac:dyDescent="0.3">
      <c r="A19">
        <v>14</v>
      </c>
      <c r="B19" s="1" t="s">
        <v>65</v>
      </c>
      <c r="C19" s="1">
        <v>15.6243405106</v>
      </c>
      <c r="D19" s="1">
        <v>14.458158019200001</v>
      </c>
      <c r="E19" s="1">
        <v>2.9872161578299999E-2</v>
      </c>
      <c r="F19" s="1">
        <v>5.8321284357999999E-2</v>
      </c>
      <c r="G19" s="1" t="s">
        <v>52</v>
      </c>
    </row>
    <row r="20" spans="1:7" ht="19" customHeight="1" x14ac:dyDescent="0.3">
      <c r="A20">
        <v>15</v>
      </c>
      <c r="B20" s="1" t="s">
        <v>66</v>
      </c>
      <c r="C20" s="1">
        <v>12.477897074099999</v>
      </c>
      <c r="D20" s="1">
        <v>10.0383875745</v>
      </c>
      <c r="E20" s="1">
        <v>3.8372824730399997E-2</v>
      </c>
      <c r="F20" s="1">
        <v>5.5092892684300003E-2</v>
      </c>
      <c r="G20" s="1" t="s">
        <v>52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8CAC"/>
    <pageSetUpPr fitToPage="1"/>
  </sheetPr>
  <dimension ref="A2:AE1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3" ht="19" customHeight="1" x14ac:dyDescent="0.35">
      <c r="A2" s="3" t="s">
        <v>3</v>
      </c>
    </row>
    <row r="3" spans="1:3" ht="19" customHeight="1" x14ac:dyDescent="0.3">
      <c r="A3" s="4" t="s">
        <v>1</v>
      </c>
    </row>
    <row r="5" spans="1:3" ht="34.049999999999997" customHeight="1" x14ac:dyDescent="0.3">
      <c r="A5" s="5" t="s">
        <v>88</v>
      </c>
      <c r="B5" s="5" t="s">
        <v>68</v>
      </c>
      <c r="C5" s="5" t="s">
        <v>89</v>
      </c>
    </row>
    <row r="6" spans="1:3" ht="19" customHeight="1" x14ac:dyDescent="0.3">
      <c r="A6" t="s">
        <v>90</v>
      </c>
      <c r="B6" s="6">
        <v>1.2250000000000001</v>
      </c>
      <c r="C6" s="1" t="s">
        <v>91</v>
      </c>
    </row>
    <row r="7" spans="1:3" ht="19" customHeight="1" x14ac:dyDescent="0.3">
      <c r="A7" t="s">
        <v>92</v>
      </c>
      <c r="B7" s="6">
        <v>1.5</v>
      </c>
      <c r="C7" s="1" t="s">
        <v>93</v>
      </c>
    </row>
    <row r="8" spans="1:3" ht="19" customHeight="1" x14ac:dyDescent="0.3">
      <c r="A8" t="s">
        <v>94</v>
      </c>
      <c r="B8" s="6">
        <v>3</v>
      </c>
      <c r="C8" s="1" t="s">
        <v>95</v>
      </c>
    </row>
    <row r="9" spans="1:3" ht="19" customHeight="1" x14ac:dyDescent="0.3">
      <c r="A9" t="s">
        <v>96</v>
      </c>
      <c r="B9" s="6">
        <v>0.9</v>
      </c>
      <c r="C9" s="1" t="s">
        <v>95</v>
      </c>
    </row>
    <row r="10" spans="1:3" ht="19" customHeight="1" x14ac:dyDescent="0.3">
      <c r="A10" t="s">
        <v>97</v>
      </c>
      <c r="B10" s="6">
        <v>0.44</v>
      </c>
      <c r="C10" s="1" t="s">
        <v>98</v>
      </c>
    </row>
    <row r="11" spans="1:3" ht="19" customHeight="1" x14ac:dyDescent="0.3">
      <c r="A11" t="s">
        <v>99</v>
      </c>
      <c r="B11" s="6">
        <v>9.8066499999999994</v>
      </c>
      <c r="C11" s="1" t="s">
        <v>100</v>
      </c>
    </row>
    <row r="12" spans="1:3" ht="19" customHeight="1" x14ac:dyDescent="0.3">
      <c r="A12" t="s">
        <v>101</v>
      </c>
      <c r="B12" s="6">
        <v>1.6</v>
      </c>
      <c r="C12" s="1" t="s">
        <v>102</v>
      </c>
    </row>
    <row r="13" spans="1:3" ht="19" customHeight="1" x14ac:dyDescent="0.3">
      <c r="A13" t="s">
        <v>103</v>
      </c>
      <c r="B13" s="6">
        <v>810</v>
      </c>
      <c r="C13" s="1" t="s">
        <v>104</v>
      </c>
    </row>
    <row r="14" spans="1:3" ht="19" customHeight="1" x14ac:dyDescent="0.3">
      <c r="A14" t="s">
        <v>105</v>
      </c>
      <c r="B14" s="6">
        <v>100</v>
      </c>
      <c r="C14" s="1" t="s">
        <v>106</v>
      </c>
    </row>
    <row r="15" spans="1:3" ht="19" customHeight="1" x14ac:dyDescent="0.3">
      <c r="A15" t="s">
        <v>107</v>
      </c>
      <c r="B15" s="6">
        <v>9.9999999999999995E-7</v>
      </c>
      <c r="C15" s="1" t="s">
        <v>108</v>
      </c>
    </row>
    <row r="16" spans="1:3" ht="19" customHeight="1" x14ac:dyDescent="0.3">
      <c r="A16" t="s">
        <v>109</v>
      </c>
      <c r="B16" s="6">
        <v>0.82</v>
      </c>
      <c r="C16" s="1" t="s">
        <v>98</v>
      </c>
    </row>
    <row r="17" spans="1:3" ht="19" customHeight="1" x14ac:dyDescent="0.3">
      <c r="A17" t="s">
        <v>110</v>
      </c>
      <c r="B17" s="6">
        <v>0.75</v>
      </c>
      <c r="C17" s="1" t="s">
        <v>98</v>
      </c>
    </row>
  </sheetData>
  <sheetProtection sheet="1" objects="1" scenarios="1" sort="0" autoFilter="0"/>
  <dataValidations count="1">
    <dataValidation type="decimal" operator="greaterThan" allowBlank="1" showInputMessage="1" showErrorMessage="1" sqref="B6:B17" xr:uid="{00000000-0002-0000-0200-000000000000}">
      <formula1>0</formula1>
    </dataValidation>
  </dataValidations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5DDE5"/>
    <pageSetUpPr fitToPage="1"/>
  </sheetPr>
  <dimension ref="A2:AE2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12" ht="19" customHeight="1" x14ac:dyDescent="0.35">
      <c r="A2" s="3" t="s">
        <v>4</v>
      </c>
    </row>
    <row r="3" spans="1:12" ht="19" customHeight="1" x14ac:dyDescent="0.3">
      <c r="A3" s="4" t="s">
        <v>1</v>
      </c>
    </row>
    <row r="4" spans="1:12" ht="19" customHeight="1" x14ac:dyDescent="0.3">
      <c r="A4" s="4" t="s">
        <v>111</v>
      </c>
    </row>
    <row r="5" spans="1:12" ht="34.049999999999997" customHeight="1" x14ac:dyDescent="0.3">
      <c r="A5" s="5" t="s">
        <v>112</v>
      </c>
      <c r="B5" s="5" t="s">
        <v>113</v>
      </c>
      <c r="C5" s="5" t="s">
        <v>114</v>
      </c>
      <c r="D5" s="5" t="s">
        <v>115</v>
      </c>
      <c r="E5" s="5" t="s">
        <v>116</v>
      </c>
      <c r="F5" s="5" t="s">
        <v>117</v>
      </c>
      <c r="G5" s="5" t="s">
        <v>118</v>
      </c>
      <c r="H5" s="5" t="s">
        <v>119</v>
      </c>
      <c r="I5" s="5" t="s">
        <v>120</v>
      </c>
      <c r="J5" s="5" t="s">
        <v>121</v>
      </c>
      <c r="K5" s="5" t="s">
        <v>122</v>
      </c>
      <c r="L5" s="5" t="s">
        <v>123</v>
      </c>
    </row>
    <row r="6" spans="1:12" ht="19" customHeight="1" x14ac:dyDescent="0.3">
      <c r="A6">
        <v>0</v>
      </c>
      <c r="B6" s="1">
        <f t="shared" ref="B6:B26" si="0">0.5*AirDensity*A6^2</f>
        <v>0</v>
      </c>
      <c r="C6" s="1">
        <f t="shared" ref="C6:C26" si="1">B6*ReferenceArea*ClDown</f>
        <v>0</v>
      </c>
      <c r="D6" s="1">
        <f t="shared" ref="D6:D26" si="2">B6*ReferenceArea*Cd</f>
        <v>0</v>
      </c>
      <c r="E6" s="1">
        <f t="shared" ref="E6:E26" si="3">C6*FrontFraction</f>
        <v>0</v>
      </c>
      <c r="F6" s="1">
        <f t="shared" ref="F6:F26" si="4">C6-E6</f>
        <v>0</v>
      </c>
      <c r="G6" s="1" t="str">
        <f t="shared" ref="G6:G26" si="5">IF(C6=0,"n.a.",E6/C6)</f>
        <v>n.a.</v>
      </c>
      <c r="H6" s="1" t="str">
        <f t="shared" ref="H6:H26" si="6">IF(C6=0,"n.a.",F6/C6)</f>
        <v>n.a.</v>
      </c>
      <c r="I6" s="1" t="str">
        <f t="shared" ref="I6:I26" si="7">IF(D6=0,"n.a.",C6/D6)</f>
        <v>n.a.</v>
      </c>
      <c r="J6" s="1">
        <f t="shared" ref="J6:J26" si="8">D6*A6</f>
        <v>0</v>
      </c>
      <c r="K6" s="1">
        <f t="shared" ref="K6:K26" si="9">D6*DRSDragMultiplier</f>
        <v>0</v>
      </c>
      <c r="L6" s="1">
        <f t="shared" ref="L6:L26" si="10">D6-K6</f>
        <v>0</v>
      </c>
    </row>
    <row r="7" spans="1:12" ht="19" customHeight="1" x14ac:dyDescent="0.3">
      <c r="A7">
        <v>5</v>
      </c>
      <c r="B7" s="1">
        <f t="shared" si="0"/>
        <v>15.312500000000002</v>
      </c>
      <c r="C7" s="1">
        <f t="shared" si="1"/>
        <v>68.906250000000014</v>
      </c>
      <c r="D7" s="1">
        <f t="shared" si="2"/>
        <v>20.671875000000004</v>
      </c>
      <c r="E7" s="1">
        <f t="shared" si="3"/>
        <v>30.318750000000005</v>
      </c>
      <c r="F7" s="1">
        <f t="shared" si="4"/>
        <v>38.587500000000006</v>
      </c>
      <c r="G7" s="1">
        <f t="shared" si="5"/>
        <v>0.44</v>
      </c>
      <c r="H7" s="1">
        <f t="shared" si="6"/>
        <v>0.55999999999999994</v>
      </c>
      <c r="I7" s="1">
        <f t="shared" si="7"/>
        <v>3.3333333333333335</v>
      </c>
      <c r="J7" s="1">
        <f t="shared" si="8"/>
        <v>103.35937500000001</v>
      </c>
      <c r="K7" s="1">
        <f t="shared" si="9"/>
        <v>16.950937500000002</v>
      </c>
      <c r="L7" s="1">
        <f t="shared" si="10"/>
        <v>3.7209375000000016</v>
      </c>
    </row>
    <row r="8" spans="1:12" ht="19" customHeight="1" x14ac:dyDescent="0.3">
      <c r="A8">
        <v>10</v>
      </c>
      <c r="B8" s="1">
        <f t="shared" si="0"/>
        <v>61.250000000000007</v>
      </c>
      <c r="C8" s="1">
        <f t="shared" si="1"/>
        <v>275.62500000000006</v>
      </c>
      <c r="D8" s="1">
        <f t="shared" si="2"/>
        <v>82.687500000000014</v>
      </c>
      <c r="E8" s="1">
        <f t="shared" si="3"/>
        <v>121.27500000000002</v>
      </c>
      <c r="F8" s="1">
        <f t="shared" si="4"/>
        <v>154.35000000000002</v>
      </c>
      <c r="G8" s="1">
        <f t="shared" si="5"/>
        <v>0.44</v>
      </c>
      <c r="H8" s="1">
        <f t="shared" si="6"/>
        <v>0.55999999999999994</v>
      </c>
      <c r="I8" s="1">
        <f t="shared" si="7"/>
        <v>3.3333333333333335</v>
      </c>
      <c r="J8" s="1">
        <f t="shared" si="8"/>
        <v>826.87500000000011</v>
      </c>
      <c r="K8" s="1">
        <f t="shared" si="9"/>
        <v>67.803750000000008</v>
      </c>
      <c r="L8" s="1">
        <f t="shared" si="10"/>
        <v>14.883750000000006</v>
      </c>
    </row>
    <row r="9" spans="1:12" ht="19" customHeight="1" x14ac:dyDescent="0.3">
      <c r="A9">
        <v>15</v>
      </c>
      <c r="B9" s="1">
        <f t="shared" si="0"/>
        <v>137.8125</v>
      </c>
      <c r="C9" s="1">
        <f t="shared" si="1"/>
        <v>620.15625</v>
      </c>
      <c r="D9" s="1">
        <f t="shared" si="2"/>
        <v>186.046875</v>
      </c>
      <c r="E9" s="1">
        <f t="shared" si="3"/>
        <v>272.86874999999998</v>
      </c>
      <c r="F9" s="1">
        <f t="shared" si="4"/>
        <v>347.28750000000002</v>
      </c>
      <c r="G9" s="1">
        <f t="shared" si="5"/>
        <v>0.43999999999999995</v>
      </c>
      <c r="H9" s="1">
        <f t="shared" si="6"/>
        <v>0.56000000000000005</v>
      </c>
      <c r="I9" s="1">
        <f t="shared" si="7"/>
        <v>3.3333333333333335</v>
      </c>
      <c r="J9" s="1">
        <f t="shared" si="8"/>
        <v>2790.703125</v>
      </c>
      <c r="K9" s="1">
        <f t="shared" si="9"/>
        <v>152.5584375</v>
      </c>
      <c r="L9" s="1">
        <f t="shared" si="10"/>
        <v>33.488437500000003</v>
      </c>
    </row>
    <row r="10" spans="1:12" ht="19" customHeight="1" x14ac:dyDescent="0.3">
      <c r="A10">
        <v>20</v>
      </c>
      <c r="B10" s="1">
        <f t="shared" si="0"/>
        <v>245.00000000000003</v>
      </c>
      <c r="C10" s="1">
        <f t="shared" si="1"/>
        <v>1102.5000000000002</v>
      </c>
      <c r="D10" s="1">
        <f t="shared" si="2"/>
        <v>330.75000000000006</v>
      </c>
      <c r="E10" s="1">
        <f t="shared" si="3"/>
        <v>485.10000000000008</v>
      </c>
      <c r="F10" s="1">
        <f t="shared" si="4"/>
        <v>617.40000000000009</v>
      </c>
      <c r="G10" s="1">
        <f t="shared" si="5"/>
        <v>0.44</v>
      </c>
      <c r="H10" s="1">
        <f t="shared" si="6"/>
        <v>0.55999999999999994</v>
      </c>
      <c r="I10" s="1">
        <f t="shared" si="7"/>
        <v>3.3333333333333335</v>
      </c>
      <c r="J10" s="1">
        <f t="shared" si="8"/>
        <v>6615.0000000000009</v>
      </c>
      <c r="K10" s="1">
        <f t="shared" si="9"/>
        <v>271.21500000000003</v>
      </c>
      <c r="L10" s="1">
        <f t="shared" si="10"/>
        <v>59.535000000000025</v>
      </c>
    </row>
    <row r="11" spans="1:12" ht="19" customHeight="1" x14ac:dyDescent="0.3">
      <c r="A11">
        <v>25</v>
      </c>
      <c r="B11" s="1">
        <f t="shared" si="0"/>
        <v>382.8125</v>
      </c>
      <c r="C11" s="1">
        <f t="shared" si="1"/>
        <v>1722.65625</v>
      </c>
      <c r="D11" s="1">
        <f t="shared" si="2"/>
        <v>516.796875</v>
      </c>
      <c r="E11" s="1">
        <f t="shared" si="3"/>
        <v>757.96875</v>
      </c>
      <c r="F11" s="1">
        <f t="shared" si="4"/>
        <v>964.6875</v>
      </c>
      <c r="G11" s="1">
        <f t="shared" si="5"/>
        <v>0.44</v>
      </c>
      <c r="H11" s="1">
        <f t="shared" si="6"/>
        <v>0.56000000000000005</v>
      </c>
      <c r="I11" s="1">
        <f t="shared" si="7"/>
        <v>3.3333333333333335</v>
      </c>
      <c r="J11" s="1">
        <f t="shared" si="8"/>
        <v>12919.921875</v>
      </c>
      <c r="K11" s="1">
        <f t="shared" si="9"/>
        <v>423.7734375</v>
      </c>
      <c r="L11" s="1">
        <f t="shared" si="10"/>
        <v>93.0234375</v>
      </c>
    </row>
    <row r="12" spans="1:12" ht="19" customHeight="1" x14ac:dyDescent="0.3">
      <c r="A12">
        <v>30</v>
      </c>
      <c r="B12" s="1">
        <f t="shared" si="0"/>
        <v>551.25</v>
      </c>
      <c r="C12" s="1">
        <f t="shared" si="1"/>
        <v>2480.625</v>
      </c>
      <c r="D12" s="1">
        <f t="shared" si="2"/>
        <v>744.1875</v>
      </c>
      <c r="E12" s="1">
        <f t="shared" si="3"/>
        <v>1091.4749999999999</v>
      </c>
      <c r="F12" s="1">
        <f t="shared" si="4"/>
        <v>1389.15</v>
      </c>
      <c r="G12" s="1">
        <f t="shared" si="5"/>
        <v>0.43999999999999995</v>
      </c>
      <c r="H12" s="1">
        <f t="shared" si="6"/>
        <v>0.56000000000000005</v>
      </c>
      <c r="I12" s="1">
        <f t="shared" si="7"/>
        <v>3.3333333333333335</v>
      </c>
      <c r="J12" s="1">
        <f t="shared" si="8"/>
        <v>22325.625</v>
      </c>
      <c r="K12" s="1">
        <f t="shared" si="9"/>
        <v>610.23374999999999</v>
      </c>
      <c r="L12" s="1">
        <f t="shared" si="10"/>
        <v>133.95375000000001</v>
      </c>
    </row>
    <row r="13" spans="1:12" ht="19" customHeight="1" x14ac:dyDescent="0.3">
      <c r="A13">
        <v>35</v>
      </c>
      <c r="B13" s="1">
        <f t="shared" si="0"/>
        <v>750.3125</v>
      </c>
      <c r="C13" s="1">
        <f t="shared" si="1"/>
        <v>3376.40625</v>
      </c>
      <c r="D13" s="1">
        <f t="shared" si="2"/>
        <v>1012.921875</v>
      </c>
      <c r="E13" s="1">
        <f t="shared" si="3"/>
        <v>1485.6187500000001</v>
      </c>
      <c r="F13" s="1">
        <f t="shared" si="4"/>
        <v>1890.7874999999999</v>
      </c>
      <c r="G13" s="1">
        <f t="shared" si="5"/>
        <v>0.44</v>
      </c>
      <c r="H13" s="1">
        <f t="shared" si="6"/>
        <v>0.55999999999999994</v>
      </c>
      <c r="I13" s="1">
        <f t="shared" si="7"/>
        <v>3.3333333333333335</v>
      </c>
      <c r="J13" s="1">
        <f t="shared" si="8"/>
        <v>35452.265625</v>
      </c>
      <c r="K13" s="1">
        <f t="shared" si="9"/>
        <v>830.59593749999999</v>
      </c>
      <c r="L13" s="1">
        <f t="shared" si="10"/>
        <v>182.32593750000001</v>
      </c>
    </row>
    <row r="14" spans="1:12" ht="19" customHeight="1" x14ac:dyDescent="0.3">
      <c r="A14">
        <v>40</v>
      </c>
      <c r="B14" s="1">
        <f t="shared" si="0"/>
        <v>980.00000000000011</v>
      </c>
      <c r="C14" s="1">
        <f t="shared" si="1"/>
        <v>4410.0000000000009</v>
      </c>
      <c r="D14" s="1">
        <f t="shared" si="2"/>
        <v>1323.0000000000002</v>
      </c>
      <c r="E14" s="1">
        <f t="shared" si="3"/>
        <v>1940.4000000000003</v>
      </c>
      <c r="F14" s="1">
        <f t="shared" si="4"/>
        <v>2469.6000000000004</v>
      </c>
      <c r="G14" s="1">
        <f t="shared" si="5"/>
        <v>0.44</v>
      </c>
      <c r="H14" s="1">
        <f t="shared" si="6"/>
        <v>0.55999999999999994</v>
      </c>
      <c r="I14" s="1">
        <f t="shared" si="7"/>
        <v>3.3333333333333335</v>
      </c>
      <c r="J14" s="1">
        <f t="shared" si="8"/>
        <v>52920.000000000007</v>
      </c>
      <c r="K14" s="1">
        <f t="shared" si="9"/>
        <v>1084.8600000000001</v>
      </c>
      <c r="L14" s="1">
        <f t="shared" si="10"/>
        <v>238.1400000000001</v>
      </c>
    </row>
    <row r="15" spans="1:12" ht="19" customHeight="1" x14ac:dyDescent="0.3">
      <c r="A15">
        <v>45</v>
      </c>
      <c r="B15" s="1">
        <f t="shared" si="0"/>
        <v>1240.3125</v>
      </c>
      <c r="C15" s="1">
        <f t="shared" si="1"/>
        <v>5581.40625</v>
      </c>
      <c r="D15" s="1">
        <f t="shared" si="2"/>
        <v>1674.421875</v>
      </c>
      <c r="E15" s="1">
        <f t="shared" si="3"/>
        <v>2455.8187499999999</v>
      </c>
      <c r="F15" s="1">
        <f t="shared" si="4"/>
        <v>3125.5875000000001</v>
      </c>
      <c r="G15" s="1">
        <f t="shared" si="5"/>
        <v>0.44</v>
      </c>
      <c r="H15" s="1">
        <f t="shared" si="6"/>
        <v>0.56000000000000005</v>
      </c>
      <c r="I15" s="1">
        <f t="shared" si="7"/>
        <v>3.3333333333333335</v>
      </c>
      <c r="J15" s="1">
        <f t="shared" si="8"/>
        <v>75348.984375</v>
      </c>
      <c r="K15" s="1">
        <f t="shared" si="9"/>
        <v>1373.0259374999998</v>
      </c>
      <c r="L15" s="1">
        <f t="shared" si="10"/>
        <v>301.39593750000017</v>
      </c>
    </row>
    <row r="16" spans="1:12" ht="19" customHeight="1" x14ac:dyDescent="0.3">
      <c r="A16">
        <v>50</v>
      </c>
      <c r="B16" s="1">
        <f t="shared" si="0"/>
        <v>1531.25</v>
      </c>
      <c r="C16" s="1">
        <f t="shared" si="1"/>
        <v>6890.625</v>
      </c>
      <c r="D16" s="1">
        <f t="shared" si="2"/>
        <v>2067.1875</v>
      </c>
      <c r="E16" s="1">
        <f t="shared" si="3"/>
        <v>3031.875</v>
      </c>
      <c r="F16" s="1">
        <f t="shared" si="4"/>
        <v>3858.75</v>
      </c>
      <c r="G16" s="1">
        <f t="shared" si="5"/>
        <v>0.44</v>
      </c>
      <c r="H16" s="1">
        <f t="shared" si="6"/>
        <v>0.56000000000000005</v>
      </c>
      <c r="I16" s="1">
        <f t="shared" si="7"/>
        <v>3.3333333333333335</v>
      </c>
      <c r="J16" s="1">
        <f t="shared" si="8"/>
        <v>103359.375</v>
      </c>
      <c r="K16" s="1">
        <f t="shared" si="9"/>
        <v>1695.09375</v>
      </c>
      <c r="L16" s="1">
        <f t="shared" si="10"/>
        <v>372.09375</v>
      </c>
    </row>
    <row r="17" spans="1:12" ht="19" customHeight="1" x14ac:dyDescent="0.3">
      <c r="A17">
        <v>55</v>
      </c>
      <c r="B17" s="1">
        <f t="shared" si="0"/>
        <v>1852.8125000000002</v>
      </c>
      <c r="C17" s="1">
        <f t="shared" si="1"/>
        <v>8337.6562500000018</v>
      </c>
      <c r="D17" s="1">
        <f t="shared" si="2"/>
        <v>2501.2968750000005</v>
      </c>
      <c r="E17" s="1">
        <f t="shared" si="3"/>
        <v>3668.5687500000008</v>
      </c>
      <c r="F17" s="1">
        <f t="shared" si="4"/>
        <v>4669.0875000000015</v>
      </c>
      <c r="G17" s="1">
        <f t="shared" si="5"/>
        <v>0.44</v>
      </c>
      <c r="H17" s="1">
        <f t="shared" si="6"/>
        <v>0.56000000000000005</v>
      </c>
      <c r="I17" s="1">
        <f t="shared" si="7"/>
        <v>3.3333333333333335</v>
      </c>
      <c r="J17" s="1">
        <f t="shared" si="8"/>
        <v>137571.32812500003</v>
      </c>
      <c r="K17" s="1">
        <f t="shared" si="9"/>
        <v>2051.0634375000004</v>
      </c>
      <c r="L17" s="1">
        <f t="shared" si="10"/>
        <v>450.23343750000004</v>
      </c>
    </row>
    <row r="18" spans="1:12" ht="19" customHeight="1" x14ac:dyDescent="0.3">
      <c r="A18">
        <v>60</v>
      </c>
      <c r="B18" s="1">
        <f t="shared" si="0"/>
        <v>2205</v>
      </c>
      <c r="C18" s="1">
        <f t="shared" si="1"/>
        <v>9922.5</v>
      </c>
      <c r="D18" s="1">
        <f t="shared" si="2"/>
        <v>2976.75</v>
      </c>
      <c r="E18" s="1">
        <f t="shared" si="3"/>
        <v>4365.8999999999996</v>
      </c>
      <c r="F18" s="1">
        <f t="shared" si="4"/>
        <v>5556.6</v>
      </c>
      <c r="G18" s="1">
        <f t="shared" si="5"/>
        <v>0.43999999999999995</v>
      </c>
      <c r="H18" s="1">
        <f t="shared" si="6"/>
        <v>0.56000000000000005</v>
      </c>
      <c r="I18" s="1">
        <f t="shared" si="7"/>
        <v>3.3333333333333335</v>
      </c>
      <c r="J18" s="1">
        <f t="shared" si="8"/>
        <v>178605</v>
      </c>
      <c r="K18" s="1">
        <f t="shared" si="9"/>
        <v>2440.9349999999999</v>
      </c>
      <c r="L18" s="1">
        <f t="shared" si="10"/>
        <v>535.81500000000005</v>
      </c>
    </row>
    <row r="19" spans="1:12" ht="19" customHeight="1" x14ac:dyDescent="0.3">
      <c r="A19">
        <v>65</v>
      </c>
      <c r="B19" s="1">
        <f t="shared" si="0"/>
        <v>2587.8125</v>
      </c>
      <c r="C19" s="1">
        <f t="shared" si="1"/>
        <v>11645.15625</v>
      </c>
      <c r="D19" s="1">
        <f t="shared" si="2"/>
        <v>3493.546875</v>
      </c>
      <c r="E19" s="1">
        <f t="shared" si="3"/>
        <v>5123.8687499999996</v>
      </c>
      <c r="F19" s="1">
        <f t="shared" si="4"/>
        <v>6521.2875000000004</v>
      </c>
      <c r="G19" s="1">
        <f t="shared" si="5"/>
        <v>0.43999999999999995</v>
      </c>
      <c r="H19" s="1">
        <f t="shared" si="6"/>
        <v>0.56000000000000005</v>
      </c>
      <c r="I19" s="1">
        <f t="shared" si="7"/>
        <v>3.3333333333333335</v>
      </c>
      <c r="J19" s="1">
        <f t="shared" si="8"/>
        <v>227080.546875</v>
      </c>
      <c r="K19" s="1">
        <f t="shared" si="9"/>
        <v>2864.7084374999999</v>
      </c>
      <c r="L19" s="1">
        <f t="shared" si="10"/>
        <v>628.83843750000005</v>
      </c>
    </row>
    <row r="20" spans="1:12" ht="19" customHeight="1" x14ac:dyDescent="0.3">
      <c r="A20">
        <v>70</v>
      </c>
      <c r="B20" s="1">
        <f t="shared" si="0"/>
        <v>3001.25</v>
      </c>
      <c r="C20" s="1">
        <f t="shared" si="1"/>
        <v>13505.625</v>
      </c>
      <c r="D20" s="1">
        <f t="shared" si="2"/>
        <v>4051.6875</v>
      </c>
      <c r="E20" s="1">
        <f t="shared" si="3"/>
        <v>5942.4750000000004</v>
      </c>
      <c r="F20" s="1">
        <f t="shared" si="4"/>
        <v>7563.15</v>
      </c>
      <c r="G20" s="1">
        <f t="shared" si="5"/>
        <v>0.44</v>
      </c>
      <c r="H20" s="1">
        <f t="shared" si="6"/>
        <v>0.55999999999999994</v>
      </c>
      <c r="I20" s="1">
        <f t="shared" si="7"/>
        <v>3.3333333333333335</v>
      </c>
      <c r="J20" s="1">
        <f t="shared" si="8"/>
        <v>283618.125</v>
      </c>
      <c r="K20" s="1">
        <f t="shared" si="9"/>
        <v>3322.38375</v>
      </c>
      <c r="L20" s="1">
        <f t="shared" si="10"/>
        <v>729.30375000000004</v>
      </c>
    </row>
    <row r="21" spans="1:12" ht="19" customHeight="1" x14ac:dyDescent="0.3">
      <c r="A21">
        <v>75</v>
      </c>
      <c r="B21" s="1">
        <f t="shared" si="0"/>
        <v>3445.3125000000005</v>
      </c>
      <c r="C21" s="1">
        <f t="shared" si="1"/>
        <v>15503.906250000004</v>
      </c>
      <c r="D21" s="1">
        <f t="shared" si="2"/>
        <v>4651.1718750000009</v>
      </c>
      <c r="E21" s="1">
        <f t="shared" si="3"/>
        <v>6821.7187500000018</v>
      </c>
      <c r="F21" s="1">
        <f t="shared" si="4"/>
        <v>8682.1875000000018</v>
      </c>
      <c r="G21" s="1">
        <f t="shared" si="5"/>
        <v>0.44</v>
      </c>
      <c r="H21" s="1">
        <f t="shared" si="6"/>
        <v>0.55999999999999994</v>
      </c>
      <c r="I21" s="1">
        <f t="shared" si="7"/>
        <v>3.3333333333333335</v>
      </c>
      <c r="J21" s="1">
        <f t="shared" si="8"/>
        <v>348837.89062500006</v>
      </c>
      <c r="K21" s="1">
        <f t="shared" si="9"/>
        <v>3813.9609375000005</v>
      </c>
      <c r="L21" s="1">
        <f t="shared" si="10"/>
        <v>837.21093750000045</v>
      </c>
    </row>
    <row r="22" spans="1:12" ht="19" customHeight="1" x14ac:dyDescent="0.3">
      <c r="A22">
        <v>80</v>
      </c>
      <c r="B22" s="1">
        <f t="shared" si="0"/>
        <v>3920.0000000000005</v>
      </c>
      <c r="C22" s="1">
        <f t="shared" si="1"/>
        <v>17640.000000000004</v>
      </c>
      <c r="D22" s="1">
        <f t="shared" si="2"/>
        <v>5292.0000000000009</v>
      </c>
      <c r="E22" s="1">
        <f t="shared" si="3"/>
        <v>7761.6000000000013</v>
      </c>
      <c r="F22" s="1">
        <f t="shared" si="4"/>
        <v>9878.4000000000015</v>
      </c>
      <c r="G22" s="1">
        <f t="shared" si="5"/>
        <v>0.44</v>
      </c>
      <c r="H22" s="1">
        <f t="shared" si="6"/>
        <v>0.55999999999999994</v>
      </c>
      <c r="I22" s="1">
        <f t="shared" si="7"/>
        <v>3.3333333333333335</v>
      </c>
      <c r="J22" s="1">
        <f t="shared" si="8"/>
        <v>423360.00000000006</v>
      </c>
      <c r="K22" s="1">
        <f t="shared" si="9"/>
        <v>4339.4400000000005</v>
      </c>
      <c r="L22" s="1">
        <f t="shared" si="10"/>
        <v>952.5600000000004</v>
      </c>
    </row>
    <row r="23" spans="1:12" ht="19" customHeight="1" x14ac:dyDescent="0.3">
      <c r="A23">
        <v>85</v>
      </c>
      <c r="B23" s="1">
        <f t="shared" si="0"/>
        <v>4425.3125</v>
      </c>
      <c r="C23" s="1">
        <f t="shared" si="1"/>
        <v>19913.90625</v>
      </c>
      <c r="D23" s="1">
        <f t="shared" si="2"/>
        <v>5974.171875</v>
      </c>
      <c r="E23" s="1">
        <f t="shared" si="3"/>
        <v>8762.1187499999996</v>
      </c>
      <c r="F23" s="1">
        <f t="shared" si="4"/>
        <v>11151.7875</v>
      </c>
      <c r="G23" s="1">
        <f t="shared" si="5"/>
        <v>0.44</v>
      </c>
      <c r="H23" s="1">
        <f t="shared" si="6"/>
        <v>0.56000000000000005</v>
      </c>
      <c r="I23" s="1">
        <f t="shared" si="7"/>
        <v>3.3333333333333335</v>
      </c>
      <c r="J23" s="1">
        <f t="shared" si="8"/>
        <v>507804.609375</v>
      </c>
      <c r="K23" s="1">
        <f t="shared" si="9"/>
        <v>4898.8209374999997</v>
      </c>
      <c r="L23" s="1">
        <f t="shared" si="10"/>
        <v>1075.3509375000003</v>
      </c>
    </row>
    <row r="24" spans="1:12" ht="19" customHeight="1" x14ac:dyDescent="0.3">
      <c r="A24">
        <v>90</v>
      </c>
      <c r="B24" s="1">
        <f t="shared" si="0"/>
        <v>4961.25</v>
      </c>
      <c r="C24" s="1">
        <f t="shared" si="1"/>
        <v>22325.625</v>
      </c>
      <c r="D24" s="1">
        <f t="shared" si="2"/>
        <v>6697.6875</v>
      </c>
      <c r="E24" s="1">
        <f t="shared" si="3"/>
        <v>9823.2749999999996</v>
      </c>
      <c r="F24" s="1">
        <f t="shared" si="4"/>
        <v>12502.35</v>
      </c>
      <c r="G24" s="1">
        <f t="shared" si="5"/>
        <v>0.44</v>
      </c>
      <c r="H24" s="1">
        <f t="shared" si="6"/>
        <v>0.56000000000000005</v>
      </c>
      <c r="I24" s="1">
        <f t="shared" si="7"/>
        <v>3.3333333333333335</v>
      </c>
      <c r="J24" s="1">
        <f t="shared" si="8"/>
        <v>602791.875</v>
      </c>
      <c r="K24" s="1">
        <f t="shared" si="9"/>
        <v>5492.1037499999993</v>
      </c>
      <c r="L24" s="1">
        <f t="shared" si="10"/>
        <v>1205.5837500000007</v>
      </c>
    </row>
    <row r="25" spans="1:12" ht="19" customHeight="1" x14ac:dyDescent="0.3">
      <c r="A25">
        <v>95</v>
      </c>
      <c r="B25" s="1">
        <f t="shared" si="0"/>
        <v>5527.8125</v>
      </c>
      <c r="C25" s="1">
        <f t="shared" si="1"/>
        <v>24875.15625</v>
      </c>
      <c r="D25" s="1">
        <f t="shared" si="2"/>
        <v>7462.546875</v>
      </c>
      <c r="E25" s="1">
        <f t="shared" si="3"/>
        <v>10945.06875</v>
      </c>
      <c r="F25" s="1">
        <f t="shared" si="4"/>
        <v>13930.0875</v>
      </c>
      <c r="G25" s="1">
        <f t="shared" si="5"/>
        <v>0.44</v>
      </c>
      <c r="H25" s="1">
        <f t="shared" si="6"/>
        <v>0.55999999999999994</v>
      </c>
      <c r="I25" s="1">
        <f t="shared" si="7"/>
        <v>3.3333333333333335</v>
      </c>
      <c r="J25" s="1">
        <f t="shared" si="8"/>
        <v>708941.953125</v>
      </c>
      <c r="K25" s="1">
        <f t="shared" si="9"/>
        <v>6119.2884374999994</v>
      </c>
      <c r="L25" s="1">
        <f t="shared" si="10"/>
        <v>1343.2584375000006</v>
      </c>
    </row>
    <row r="26" spans="1:12" ht="19" customHeight="1" x14ac:dyDescent="0.3">
      <c r="A26">
        <v>100</v>
      </c>
      <c r="B26" s="1">
        <f t="shared" si="0"/>
        <v>6125</v>
      </c>
      <c r="C26" s="1">
        <f t="shared" si="1"/>
        <v>27562.5</v>
      </c>
      <c r="D26" s="1">
        <f t="shared" si="2"/>
        <v>8268.75</v>
      </c>
      <c r="E26" s="1">
        <f t="shared" si="3"/>
        <v>12127.5</v>
      </c>
      <c r="F26" s="1">
        <f t="shared" si="4"/>
        <v>15435</v>
      </c>
      <c r="G26" s="1">
        <f t="shared" si="5"/>
        <v>0.44</v>
      </c>
      <c r="H26" s="1">
        <f t="shared" si="6"/>
        <v>0.56000000000000005</v>
      </c>
      <c r="I26" s="1">
        <f t="shared" si="7"/>
        <v>3.3333333333333335</v>
      </c>
      <c r="J26" s="1">
        <f t="shared" si="8"/>
        <v>826875</v>
      </c>
      <c r="K26" s="1">
        <f t="shared" si="9"/>
        <v>6780.375</v>
      </c>
      <c r="L26" s="1">
        <f t="shared" si="10"/>
        <v>1488.375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5DDE5"/>
    <pageSetUpPr fitToPage="1"/>
  </sheetPr>
  <dimension ref="A2:AE1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3" ht="19" customHeight="1" x14ac:dyDescent="0.35">
      <c r="A2" s="3" t="s">
        <v>5</v>
      </c>
    </row>
    <row r="3" spans="1:3" ht="19" customHeight="1" x14ac:dyDescent="0.3">
      <c r="A3" s="4" t="s">
        <v>1</v>
      </c>
    </row>
    <row r="4" spans="1:3" ht="19" customHeight="1" x14ac:dyDescent="0.3">
      <c r="A4" s="4" t="s">
        <v>124</v>
      </c>
    </row>
    <row r="5" spans="1:3" ht="34.049999999999997" customHeight="1" x14ac:dyDescent="0.3">
      <c r="A5" s="5" t="s">
        <v>125</v>
      </c>
      <c r="B5" s="5" t="s">
        <v>68</v>
      </c>
      <c r="C5" s="5" t="s">
        <v>89</v>
      </c>
    </row>
    <row r="6" spans="1:3" ht="19" customHeight="1" x14ac:dyDescent="0.3">
      <c r="A6" t="s">
        <v>126</v>
      </c>
      <c r="B6" s="1">
        <v>80</v>
      </c>
      <c r="C6" s="1" t="s">
        <v>127</v>
      </c>
    </row>
    <row r="7" spans="1:3" ht="19" customHeight="1" x14ac:dyDescent="0.3">
      <c r="A7" t="s">
        <v>128</v>
      </c>
      <c r="B7" s="1">
        <v>30</v>
      </c>
      <c r="C7" s="1" t="s">
        <v>127</v>
      </c>
    </row>
    <row r="8" spans="1:3" ht="19" customHeight="1" x14ac:dyDescent="0.3">
      <c r="A8" t="s">
        <v>129</v>
      </c>
      <c r="B8" s="1">
        <v>15</v>
      </c>
      <c r="C8" s="1" t="s">
        <v>100</v>
      </c>
    </row>
    <row r="9" spans="1:3" ht="19" customHeight="1" x14ac:dyDescent="0.3">
      <c r="A9" t="s">
        <v>130</v>
      </c>
      <c r="B9" s="1">
        <f>(B6^2-B7^2)/(2*B8)</f>
        <v>183.33333333333334</v>
      </c>
      <c r="C9" s="1" t="s">
        <v>106</v>
      </c>
    </row>
    <row r="10" spans="1:3" ht="19" customHeight="1" x14ac:dyDescent="0.3">
      <c r="A10" t="s">
        <v>131</v>
      </c>
      <c r="B10" s="1">
        <f>(B6-B7)/B8</f>
        <v>3.3333333333333335</v>
      </c>
      <c r="C10" s="1" t="s">
        <v>132</v>
      </c>
    </row>
    <row r="11" spans="1:3" ht="19" customHeight="1" x14ac:dyDescent="0.3">
      <c r="A11" t="s">
        <v>133</v>
      </c>
      <c r="B11" s="1">
        <v>500</v>
      </c>
      <c r="C11" s="1" t="s">
        <v>106</v>
      </c>
    </row>
    <row r="12" spans="1:3" ht="19" customHeight="1" x14ac:dyDescent="0.3">
      <c r="A12" t="s">
        <v>134</v>
      </c>
      <c r="B12" s="1">
        <v>50</v>
      </c>
      <c r="C12" s="1" t="s">
        <v>127</v>
      </c>
    </row>
    <row r="13" spans="1:3" ht="19" customHeight="1" x14ac:dyDescent="0.3">
      <c r="A13" t="s">
        <v>135</v>
      </c>
      <c r="B13" s="1">
        <f>B11/B12</f>
        <v>10</v>
      </c>
      <c r="C13" s="1" t="s">
        <v>132</v>
      </c>
    </row>
    <row r="14" spans="1:3" ht="19" customHeight="1" x14ac:dyDescent="0.3">
      <c r="A14" t="s">
        <v>136</v>
      </c>
      <c r="B14" s="1">
        <f>SQRT(Friction*Gravity*Radius)</f>
        <v>39.611412496905487</v>
      </c>
      <c r="C14" s="1" t="s">
        <v>127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5DDE5"/>
    <pageSetUpPr fitToPage="1"/>
  </sheetPr>
  <dimension ref="A2:AE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4" ht="19" customHeight="1" x14ac:dyDescent="0.35">
      <c r="A2" s="3" t="s">
        <v>6</v>
      </c>
    </row>
    <row r="3" spans="1:4" ht="19" customHeight="1" x14ac:dyDescent="0.3">
      <c r="A3" s="4" t="s">
        <v>1</v>
      </c>
    </row>
    <row r="5" spans="1:4" ht="34.049999999999997" customHeight="1" x14ac:dyDescent="0.3">
      <c r="A5" s="5" t="s">
        <v>137</v>
      </c>
      <c r="B5" s="5" t="s">
        <v>138</v>
      </c>
      <c r="C5" s="5" t="s">
        <v>139</v>
      </c>
      <c r="D5" s="5" t="s">
        <v>140</v>
      </c>
    </row>
    <row r="6" spans="1:4" ht="19" customHeight="1" x14ac:dyDescent="0.3">
      <c r="A6">
        <v>21</v>
      </c>
      <c r="B6" s="1">
        <v>12.30366148159847</v>
      </c>
      <c r="C6" s="1">
        <v>11.99931084588899</v>
      </c>
      <c r="D6" s="1">
        <f>C6-B6</f>
        <v>-0.30435063570947918</v>
      </c>
    </row>
    <row r="7" spans="1:4" ht="19" customHeight="1" x14ac:dyDescent="0.3">
      <c r="A7">
        <v>22</v>
      </c>
      <c r="B7" s="1">
        <v>14.54443549980301</v>
      </c>
      <c r="C7" s="1">
        <v>14.529981395798179</v>
      </c>
      <c r="D7" s="1">
        <f>C7-B7</f>
        <v>-1.445410400483027E-2</v>
      </c>
    </row>
    <row r="8" spans="1:4" ht="19" customHeight="1" x14ac:dyDescent="0.3">
      <c r="A8">
        <v>23</v>
      </c>
      <c r="B8" s="1">
        <v>12.02122991670835</v>
      </c>
      <c r="C8" s="1">
        <v>11.819116596062599</v>
      </c>
      <c r="D8" s="1">
        <f>C8-B8</f>
        <v>-0.2021133206457506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5DDE5"/>
    <pageSetUpPr fitToPage="1"/>
  </sheetPr>
  <dimension ref="A2:AE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7" ht="19" customHeight="1" x14ac:dyDescent="0.35">
      <c r="A2" s="3" t="s">
        <v>7</v>
      </c>
    </row>
    <row r="3" spans="1:7" ht="19" customHeight="1" x14ac:dyDescent="0.3">
      <c r="A3" s="4" t="s">
        <v>1</v>
      </c>
    </row>
    <row r="4" spans="1:7" ht="19" customHeight="1" x14ac:dyDescent="0.3">
      <c r="A4" s="4" t="s">
        <v>164</v>
      </c>
    </row>
    <row r="5" spans="1:7" ht="34.049999999999997" customHeight="1" x14ac:dyDescent="0.3">
      <c r="A5" s="5" t="s">
        <v>165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  <c r="G5" s="5" t="s">
        <v>171</v>
      </c>
    </row>
    <row r="6" spans="1:7" ht="19" customHeight="1" x14ac:dyDescent="0.3">
      <c r="A6">
        <v>1</v>
      </c>
      <c r="B6" s="1">
        <v>39.152517863600004</v>
      </c>
      <c r="C6" s="1">
        <v>80.965526279100004</v>
      </c>
      <c r="D6" s="1">
        <v>38.869326898099999</v>
      </c>
      <c r="E6" s="1">
        <v>84.174867704799993</v>
      </c>
      <c r="F6" s="1">
        <f>B6-D6</f>
        <v>0.28319096550000467</v>
      </c>
      <c r="G6" s="1">
        <v>3.2093414256999888</v>
      </c>
    </row>
    <row r="7" spans="1:7" ht="19" customHeight="1" x14ac:dyDescent="0.3">
      <c r="A7">
        <v>2</v>
      </c>
      <c r="B7" s="1">
        <v>39.430533037399996</v>
      </c>
      <c r="C7" s="1">
        <v>80.157976680399997</v>
      </c>
      <c r="D7" s="1">
        <v>39.1315688599</v>
      </c>
      <c r="E7" s="1">
        <v>83.656428188999996</v>
      </c>
      <c r="F7" s="1">
        <f>B7-D7</f>
        <v>0.29896417749999671</v>
      </c>
      <c r="G7" s="1">
        <v>3.4984515085999992</v>
      </c>
    </row>
    <row r="8" spans="1:7" ht="19" customHeight="1" x14ac:dyDescent="0.3">
      <c r="A8">
        <v>3</v>
      </c>
      <c r="B8" s="1">
        <v>40.511925302199998</v>
      </c>
      <c r="C8" s="1">
        <v>76.913433465500006</v>
      </c>
      <c r="D8" s="1">
        <v>40.088539162300002</v>
      </c>
      <c r="E8" s="1">
        <v>80.511994808799997</v>
      </c>
      <c r="F8" s="1">
        <f>B8-D8</f>
        <v>0.42338613989999629</v>
      </c>
      <c r="G8" s="1">
        <v>3.5985613432999912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5DDE5"/>
    <pageSetUpPr fitToPage="1"/>
  </sheetPr>
  <dimension ref="A2:AE1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5" ht="19" customHeight="1" x14ac:dyDescent="0.35">
      <c r="A2" s="3" t="s">
        <v>8</v>
      </c>
    </row>
    <row r="3" spans="1:5" ht="19" customHeight="1" x14ac:dyDescent="0.3">
      <c r="A3" s="4" t="s">
        <v>1</v>
      </c>
    </row>
    <row r="4" spans="1:5" ht="19" customHeight="1" x14ac:dyDescent="0.3">
      <c r="A4" s="4" t="s">
        <v>172</v>
      </c>
    </row>
    <row r="5" spans="1:5" ht="34.049999999999997" customHeight="1" x14ac:dyDescent="0.3">
      <c r="A5" s="5" t="s">
        <v>67</v>
      </c>
      <c r="B5" s="5" t="s">
        <v>173</v>
      </c>
      <c r="C5" s="5" t="s">
        <v>174</v>
      </c>
      <c r="D5" s="5" t="s">
        <v>140</v>
      </c>
      <c r="E5" s="5" t="s">
        <v>175</v>
      </c>
    </row>
    <row r="6" spans="1:5" ht="19" customHeight="1" x14ac:dyDescent="0.3">
      <c r="A6" t="s">
        <v>46</v>
      </c>
      <c r="B6" s="1">
        <v>-1</v>
      </c>
      <c r="C6" s="1">
        <v>-0.75</v>
      </c>
      <c r="D6" s="1">
        <v>4.9061995741595803E-2</v>
      </c>
      <c r="E6" s="1" t="s">
        <v>176</v>
      </c>
    </row>
    <row r="7" spans="1:5" ht="19" customHeight="1" x14ac:dyDescent="0.3">
      <c r="A7" t="s">
        <v>46</v>
      </c>
      <c r="B7" s="1">
        <v>1</v>
      </c>
      <c r="C7" s="1">
        <v>0.75</v>
      </c>
      <c r="D7" s="1">
        <v>3.76873509271149E-2</v>
      </c>
      <c r="E7" s="1" t="s">
        <v>176</v>
      </c>
    </row>
    <row r="8" spans="1:5" ht="19" customHeight="1" x14ac:dyDescent="0.3">
      <c r="A8" t="s">
        <v>47</v>
      </c>
      <c r="B8" s="1">
        <v>-1</v>
      </c>
      <c r="C8" s="1">
        <v>-1</v>
      </c>
      <c r="D8" s="1">
        <v>6.8386389248672602E-2</v>
      </c>
      <c r="E8" s="1" t="s">
        <v>176</v>
      </c>
    </row>
    <row r="9" spans="1:5" ht="19" customHeight="1" x14ac:dyDescent="0.3">
      <c r="A9" t="s">
        <v>47</v>
      </c>
      <c r="B9" s="1">
        <v>1</v>
      </c>
      <c r="C9" s="1">
        <v>1</v>
      </c>
      <c r="D9" s="1">
        <v>4.5123005370804402E-2</v>
      </c>
      <c r="E9" s="1" t="s">
        <v>176</v>
      </c>
    </row>
    <row r="10" spans="1:5" ht="19" customHeight="1" x14ac:dyDescent="0.3">
      <c r="A10" t="s">
        <v>48</v>
      </c>
      <c r="B10" s="1">
        <v>-1</v>
      </c>
      <c r="C10" s="1">
        <v>-1.5E-3</v>
      </c>
      <c r="D10" s="1">
        <v>4.8253910162010499E-2</v>
      </c>
      <c r="E10" s="1" t="s">
        <v>176</v>
      </c>
    </row>
    <row r="11" spans="1:5" ht="19" customHeight="1" x14ac:dyDescent="0.3">
      <c r="A11" t="s">
        <v>48</v>
      </c>
      <c r="B11" s="1">
        <v>1</v>
      </c>
      <c r="C11" s="1">
        <v>1.5E-3</v>
      </c>
      <c r="D11" s="1">
        <v>-2.8087859784406501E-2</v>
      </c>
      <c r="E11" s="1" t="s">
        <v>176</v>
      </c>
    </row>
    <row r="12" spans="1:5" ht="19" customHeight="1" x14ac:dyDescent="0.3">
      <c r="A12" t="s">
        <v>49</v>
      </c>
      <c r="B12" s="1">
        <v>-1</v>
      </c>
      <c r="C12" s="1">
        <v>-2.2499999999999998E-3</v>
      </c>
      <c r="D12" s="1">
        <v>1.2236074573046001E-2</v>
      </c>
      <c r="E12" s="1" t="s">
        <v>176</v>
      </c>
    </row>
    <row r="13" spans="1:5" ht="19" customHeight="1" x14ac:dyDescent="0.3">
      <c r="A13" t="s">
        <v>49</v>
      </c>
      <c r="B13" s="1">
        <v>1</v>
      </c>
      <c r="C13" s="1">
        <v>2.2499999999999998E-3</v>
      </c>
      <c r="D13" s="1">
        <v>-3.5691185987687E-3</v>
      </c>
      <c r="E13" s="1" t="s">
        <v>176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5DDE5"/>
    <pageSetUpPr fitToPage="1"/>
  </sheetPr>
  <dimension ref="A2:AE72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12" ht="19" customHeight="1" x14ac:dyDescent="0.35">
      <c r="A2" s="3" t="s">
        <v>9</v>
      </c>
    </row>
    <row r="3" spans="1:12" ht="19" customHeight="1" x14ac:dyDescent="0.3">
      <c r="A3" s="4" t="s">
        <v>1</v>
      </c>
    </row>
    <row r="5" spans="1:12" ht="34.049999999999997" customHeight="1" x14ac:dyDescent="0.3">
      <c r="A5" s="5" t="s">
        <v>177</v>
      </c>
      <c r="B5" s="5" t="s">
        <v>178</v>
      </c>
      <c r="C5" s="5" t="s">
        <v>179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180</v>
      </c>
      <c r="I5" s="5" t="s">
        <v>181</v>
      </c>
      <c r="J5" s="5" t="s">
        <v>182</v>
      </c>
      <c r="K5" s="5" t="s">
        <v>183</v>
      </c>
      <c r="L5" s="5" t="s">
        <v>184</v>
      </c>
    </row>
    <row r="6" spans="1:12" ht="19" customHeight="1" x14ac:dyDescent="0.3">
      <c r="A6" t="s">
        <v>41</v>
      </c>
      <c r="B6" s="1">
        <v>42</v>
      </c>
      <c r="C6" s="1" t="s">
        <v>185</v>
      </c>
      <c r="D6" s="1">
        <v>16.53227963339361</v>
      </c>
      <c r="E6" s="1">
        <v>15.18059194959374</v>
      </c>
      <c r="F6" s="1">
        <v>3.5168956124439203E-2</v>
      </c>
      <c r="G6" s="1">
        <v>6.0726211297007199E-2</v>
      </c>
      <c r="H6" s="1">
        <v>49.067067571816203</v>
      </c>
      <c r="I6" s="1">
        <v>49.067067571816203</v>
      </c>
      <c r="J6" s="1" t="b">
        <v>1</v>
      </c>
      <c r="K6" s="1" t="b">
        <v>1</v>
      </c>
    </row>
    <row r="7" spans="1:12" ht="19" customHeight="1" x14ac:dyDescent="0.3">
      <c r="A7" t="s">
        <v>41</v>
      </c>
      <c r="B7" s="1">
        <v>42</v>
      </c>
      <c r="C7" s="1" t="s">
        <v>185</v>
      </c>
      <c r="D7" s="1">
        <v>16.53227963339361</v>
      </c>
      <c r="E7" s="1">
        <v>15.160531944187991</v>
      </c>
      <c r="F7" s="1">
        <v>3.5168956124439203E-2</v>
      </c>
      <c r="G7" s="1">
        <v>6.0726211297007199E-2</v>
      </c>
      <c r="H7" s="1">
        <v>49.067521699573803</v>
      </c>
      <c r="I7" s="1">
        <v>49.067521699573803</v>
      </c>
      <c r="J7" s="1" t="b">
        <v>1</v>
      </c>
      <c r="K7" s="1" t="b">
        <v>1</v>
      </c>
    </row>
    <row r="8" spans="1:12" ht="19" customHeight="1" x14ac:dyDescent="0.3">
      <c r="A8" t="s">
        <v>41</v>
      </c>
      <c r="B8" s="1">
        <v>42</v>
      </c>
      <c r="C8" s="1" t="s">
        <v>185</v>
      </c>
      <c r="D8" s="1">
        <v>16.53227963339361</v>
      </c>
      <c r="E8" s="1">
        <v>15.198032032642329</v>
      </c>
      <c r="F8" s="1">
        <v>3.5168956124439203E-2</v>
      </c>
      <c r="G8" s="1">
        <v>6.0726211297007199E-2</v>
      </c>
      <c r="H8" s="1">
        <v>49.067637554199322</v>
      </c>
      <c r="I8" s="1">
        <v>49.067637554199322</v>
      </c>
      <c r="J8" s="1" t="b">
        <v>1</v>
      </c>
      <c r="K8" s="1" t="b">
        <v>0</v>
      </c>
    </row>
    <row r="9" spans="1:12" ht="19" customHeight="1" x14ac:dyDescent="0.3">
      <c r="A9" t="s">
        <v>41</v>
      </c>
      <c r="B9" s="1">
        <v>42</v>
      </c>
      <c r="C9" s="1" t="s">
        <v>185</v>
      </c>
      <c r="D9" s="1">
        <v>16.53227963339361</v>
      </c>
      <c r="E9" s="1">
        <v>15.15471555757817</v>
      </c>
      <c r="F9" s="1">
        <v>3.5168956124439203E-2</v>
      </c>
      <c r="G9" s="1">
        <v>6.0726211297007199E-2</v>
      </c>
      <c r="H9" s="1">
        <v>49.067689098683367</v>
      </c>
      <c r="I9" s="1">
        <v>49.067689098683367</v>
      </c>
      <c r="J9" s="1" t="b">
        <v>1</v>
      </c>
      <c r="K9" s="1" t="b">
        <v>1</v>
      </c>
    </row>
    <row r="10" spans="1:12" ht="19" customHeight="1" x14ac:dyDescent="0.3">
      <c r="A10" t="s">
        <v>41</v>
      </c>
      <c r="B10" s="1">
        <v>42</v>
      </c>
      <c r="C10" s="1" t="s">
        <v>185</v>
      </c>
      <c r="D10" s="1">
        <v>16.53227963339361</v>
      </c>
      <c r="E10" s="1">
        <v>15.22625067978155</v>
      </c>
      <c r="F10" s="1">
        <v>3.5168956124439203E-2</v>
      </c>
      <c r="G10" s="1">
        <v>6.0726211297007199E-2</v>
      </c>
      <c r="H10" s="1">
        <v>49.068575723514691</v>
      </c>
      <c r="I10" s="1">
        <v>49.068575723514691</v>
      </c>
      <c r="J10" s="1" t="b">
        <v>1</v>
      </c>
      <c r="K10" s="1" t="b">
        <v>0</v>
      </c>
    </row>
    <row r="11" spans="1:12" ht="19" customHeight="1" x14ac:dyDescent="0.3">
      <c r="A11" t="s">
        <v>41</v>
      </c>
      <c r="B11" s="1">
        <v>42</v>
      </c>
      <c r="C11" s="1" t="s">
        <v>185</v>
      </c>
      <c r="D11" s="1">
        <v>16.53227963339361</v>
      </c>
      <c r="E11" s="1">
        <v>15.025857899182361</v>
      </c>
      <c r="F11" s="1">
        <v>3.5168956124439203E-2</v>
      </c>
      <c r="G11" s="1">
        <v>6.0726211297007199E-2</v>
      </c>
      <c r="H11" s="1">
        <v>49.071434804761402</v>
      </c>
      <c r="I11" s="1">
        <v>49.071434804761402</v>
      </c>
      <c r="J11" s="1" t="b">
        <v>1</v>
      </c>
      <c r="K11" s="1" t="b">
        <v>1</v>
      </c>
    </row>
    <row r="12" spans="1:12" ht="19" customHeight="1" x14ac:dyDescent="0.3">
      <c r="A12" t="s">
        <v>41</v>
      </c>
      <c r="B12" s="1">
        <v>42</v>
      </c>
      <c r="C12" s="1" t="s">
        <v>186</v>
      </c>
      <c r="D12" s="1">
        <v>17.92905683698018</v>
      </c>
      <c r="E12" s="1">
        <v>15.675506962100931</v>
      </c>
      <c r="F12" s="1">
        <v>3.5168956124439203E-2</v>
      </c>
      <c r="G12" s="1">
        <v>6.0726211297007199E-2</v>
      </c>
      <c r="H12" s="1">
        <v>49.079237787382063</v>
      </c>
      <c r="I12" s="1">
        <v>49.079237787382063</v>
      </c>
      <c r="J12" s="1" t="b">
        <v>1</v>
      </c>
      <c r="K12" s="1" t="b">
        <v>0</v>
      </c>
    </row>
    <row r="13" spans="1:12" ht="19" customHeight="1" x14ac:dyDescent="0.3">
      <c r="A13" t="s">
        <v>41</v>
      </c>
      <c r="B13" s="1">
        <v>42</v>
      </c>
      <c r="C13" s="1" t="s">
        <v>185</v>
      </c>
      <c r="D13" s="1">
        <v>16.53227963339361</v>
      </c>
      <c r="E13" s="1">
        <v>15.58349439136299</v>
      </c>
      <c r="F13" s="1">
        <v>3.5168956124439203E-2</v>
      </c>
      <c r="G13" s="1">
        <v>6.0726211297007199E-2</v>
      </c>
      <c r="H13" s="1">
        <v>49.080784726478583</v>
      </c>
      <c r="I13" s="1">
        <v>49.080784726478583</v>
      </c>
      <c r="J13" s="1" t="b">
        <v>1</v>
      </c>
      <c r="K13" s="1" t="b">
        <v>0</v>
      </c>
    </row>
    <row r="14" spans="1:12" ht="19" customHeight="1" x14ac:dyDescent="0.3">
      <c r="A14" t="s">
        <v>41</v>
      </c>
      <c r="B14" s="1">
        <v>42</v>
      </c>
      <c r="C14" s="1" t="s">
        <v>185</v>
      </c>
      <c r="D14" s="1">
        <v>16.53227963339361</v>
      </c>
      <c r="E14" s="1">
        <v>14.721359549995791</v>
      </c>
      <c r="F14" s="1">
        <v>3.5168956124439203E-2</v>
      </c>
      <c r="G14" s="1">
        <v>6.0726211297007199E-2</v>
      </c>
      <c r="H14" s="1">
        <v>49.081005334987047</v>
      </c>
      <c r="I14" s="1">
        <v>49.081005334987047</v>
      </c>
      <c r="J14" s="1" t="b">
        <v>1</v>
      </c>
      <c r="K14" s="1" t="b">
        <v>1</v>
      </c>
    </row>
    <row r="15" spans="1:12" ht="19" customHeight="1" x14ac:dyDescent="0.3">
      <c r="A15" t="s">
        <v>41</v>
      </c>
      <c r="B15" s="1">
        <v>42</v>
      </c>
      <c r="C15" s="1" t="s">
        <v>185</v>
      </c>
      <c r="D15" s="1">
        <v>16.53227963339361</v>
      </c>
      <c r="E15" s="1">
        <v>15.675506962100931</v>
      </c>
      <c r="F15" s="1">
        <v>3.5168956124439203E-2</v>
      </c>
      <c r="G15" s="1">
        <v>6.0726211297007199E-2</v>
      </c>
      <c r="H15" s="1">
        <v>49.084033274501493</v>
      </c>
      <c r="I15" s="1">
        <v>49.084033274501493</v>
      </c>
      <c r="J15" s="1" t="b">
        <v>1</v>
      </c>
      <c r="K15" s="1" t="b">
        <v>0</v>
      </c>
    </row>
    <row r="16" spans="1:12" ht="19" customHeight="1" x14ac:dyDescent="0.3">
      <c r="A16" t="s">
        <v>41</v>
      </c>
      <c r="B16" s="1">
        <v>42</v>
      </c>
      <c r="C16" s="1" t="s">
        <v>185</v>
      </c>
      <c r="D16" s="1">
        <v>16.52894627929329</v>
      </c>
      <c r="E16" s="1">
        <v>15.675506962100931</v>
      </c>
      <c r="F16" s="1">
        <v>3.5168956124439203E-2</v>
      </c>
      <c r="G16" s="1">
        <v>6.0726211297007199E-2</v>
      </c>
      <c r="H16" s="1">
        <v>49.084040057268602</v>
      </c>
      <c r="I16" s="1">
        <v>49.084040057268602</v>
      </c>
      <c r="J16" s="1" t="b">
        <v>1</v>
      </c>
      <c r="K16" s="1" t="b">
        <v>0</v>
      </c>
    </row>
    <row r="17" spans="1:11" ht="19" customHeight="1" x14ac:dyDescent="0.3">
      <c r="A17" t="s">
        <v>41</v>
      </c>
      <c r="B17" s="1">
        <v>42</v>
      </c>
      <c r="C17" s="1" t="s">
        <v>185</v>
      </c>
      <c r="D17" s="1">
        <v>16.53586357622472</v>
      </c>
      <c r="E17" s="1">
        <v>15.675506962100931</v>
      </c>
      <c r="F17" s="1">
        <v>3.5168956124439203E-2</v>
      </c>
      <c r="G17" s="1">
        <v>6.0726211297007199E-2</v>
      </c>
      <c r="H17" s="1">
        <v>49.084071759985861</v>
      </c>
      <c r="I17" s="1">
        <v>49.084071759985861</v>
      </c>
      <c r="J17" s="1" t="b">
        <v>1</v>
      </c>
      <c r="K17" s="1" t="b">
        <v>0</v>
      </c>
    </row>
    <row r="18" spans="1:11" ht="19" customHeight="1" x14ac:dyDescent="0.3">
      <c r="A18" t="s">
        <v>41</v>
      </c>
      <c r="B18" s="1">
        <v>42</v>
      </c>
      <c r="C18" s="1" t="s">
        <v>185</v>
      </c>
      <c r="D18" s="1">
        <v>16.525612925192959</v>
      </c>
      <c r="E18" s="1">
        <v>15.675506962100931</v>
      </c>
      <c r="F18" s="1">
        <v>3.5168956124439203E-2</v>
      </c>
      <c r="G18" s="1">
        <v>6.0726211297007199E-2</v>
      </c>
      <c r="H18" s="1">
        <v>49.084110571350671</v>
      </c>
      <c r="I18" s="1">
        <v>49.084110571350671</v>
      </c>
      <c r="J18" s="1" t="b">
        <v>1</v>
      </c>
      <c r="K18" s="1" t="b">
        <v>0</v>
      </c>
    </row>
    <row r="19" spans="1:11" ht="19" customHeight="1" x14ac:dyDescent="0.3">
      <c r="A19" t="s">
        <v>41</v>
      </c>
      <c r="B19" s="1">
        <v>42</v>
      </c>
      <c r="C19" s="1" t="s">
        <v>185</v>
      </c>
      <c r="D19" s="1">
        <v>16.54217852937105</v>
      </c>
      <c r="E19" s="1">
        <v>15.675506962100931</v>
      </c>
      <c r="F19" s="1">
        <v>3.5168956124439203E-2</v>
      </c>
      <c r="G19" s="1">
        <v>6.0726211297007199E-2</v>
      </c>
      <c r="H19" s="1">
        <v>49.084147602298863</v>
      </c>
      <c r="I19" s="1">
        <v>49.084147602298863</v>
      </c>
      <c r="J19" s="1" t="b">
        <v>1</v>
      </c>
      <c r="K19" s="1" t="b">
        <v>0</v>
      </c>
    </row>
    <row r="20" spans="1:11" ht="19" customHeight="1" x14ac:dyDescent="0.3">
      <c r="A20" t="s">
        <v>41</v>
      </c>
      <c r="B20" s="1">
        <v>42</v>
      </c>
      <c r="C20" s="1" t="s">
        <v>185</v>
      </c>
      <c r="D20" s="1">
        <v>16.551675542860149</v>
      </c>
      <c r="E20" s="1">
        <v>15.675506962100931</v>
      </c>
      <c r="F20" s="1">
        <v>3.5168956124439203E-2</v>
      </c>
      <c r="G20" s="1">
        <v>6.0726211297007199E-2</v>
      </c>
      <c r="H20" s="1">
        <v>49.084261889291007</v>
      </c>
      <c r="I20" s="1">
        <v>49.084261889291007</v>
      </c>
      <c r="J20" s="1" t="b">
        <v>1</v>
      </c>
      <c r="K20" s="1" t="b">
        <v>0</v>
      </c>
    </row>
    <row r="21" spans="1:11" ht="19" customHeight="1" x14ac:dyDescent="0.3">
      <c r="A21" t="s">
        <v>41</v>
      </c>
      <c r="B21" s="1">
        <v>42</v>
      </c>
      <c r="C21" s="1" t="s">
        <v>185</v>
      </c>
      <c r="D21" s="1">
        <v>16.517753857747959</v>
      </c>
      <c r="E21" s="1">
        <v>15.675506962100931</v>
      </c>
      <c r="F21" s="1">
        <v>3.5168956124439203E-2</v>
      </c>
      <c r="G21" s="1">
        <v>6.0726211297007199E-2</v>
      </c>
      <c r="H21" s="1">
        <v>49.084304279868</v>
      </c>
      <c r="I21" s="1">
        <v>49.084304279868</v>
      </c>
      <c r="J21" s="1" t="b">
        <v>1</v>
      </c>
      <c r="K21" s="1" t="b">
        <v>0</v>
      </c>
    </row>
    <row r="22" spans="1:11" ht="19" customHeight="1" x14ac:dyDescent="0.3">
      <c r="A22" t="s">
        <v>41</v>
      </c>
      <c r="B22" s="1">
        <v>42</v>
      </c>
      <c r="C22" s="1" t="s">
        <v>185</v>
      </c>
      <c r="D22" s="1">
        <v>16.6179730369685</v>
      </c>
      <c r="E22" s="1">
        <v>15.675506962100931</v>
      </c>
      <c r="F22" s="1">
        <v>3.5168956124439203E-2</v>
      </c>
      <c r="G22" s="1">
        <v>6.0726211297007199E-2</v>
      </c>
      <c r="H22" s="1">
        <v>49.085068017761778</v>
      </c>
      <c r="I22" s="1">
        <v>49.085068017761778</v>
      </c>
      <c r="J22" s="1" t="b">
        <v>1</v>
      </c>
      <c r="K22" s="1" t="b">
        <v>0</v>
      </c>
    </row>
    <row r="23" spans="1:11" ht="19" customHeight="1" x14ac:dyDescent="0.3">
      <c r="A23" t="s">
        <v>41</v>
      </c>
      <c r="B23" s="1">
        <v>42</v>
      </c>
      <c r="C23" s="1" t="s">
        <v>185</v>
      </c>
      <c r="D23" s="1">
        <v>16.478233908897739</v>
      </c>
      <c r="E23" s="1">
        <v>15.675506962100931</v>
      </c>
      <c r="F23" s="1">
        <v>3.5168956124439203E-2</v>
      </c>
      <c r="G23" s="1">
        <v>6.0726211297007199E-2</v>
      </c>
      <c r="H23" s="1">
        <v>49.085281451040792</v>
      </c>
      <c r="I23" s="1">
        <v>49.085281451040792</v>
      </c>
      <c r="J23" s="1" t="b">
        <v>1</v>
      </c>
      <c r="K23" s="1" t="b">
        <v>0</v>
      </c>
    </row>
    <row r="24" spans="1:11" ht="19" customHeight="1" x14ac:dyDescent="0.3">
      <c r="A24" t="s">
        <v>41</v>
      </c>
      <c r="B24" s="1">
        <v>42</v>
      </c>
      <c r="C24" s="1" t="s">
        <v>185</v>
      </c>
      <c r="D24" s="1">
        <v>16.845802361816698</v>
      </c>
      <c r="E24" s="1">
        <v>15.675506962100931</v>
      </c>
      <c r="F24" s="1">
        <v>3.5168956124439203E-2</v>
      </c>
      <c r="G24" s="1">
        <v>6.0726211297007199E-2</v>
      </c>
      <c r="H24" s="1">
        <v>49.087945252571849</v>
      </c>
      <c r="I24" s="1">
        <v>49.087945252571849</v>
      </c>
      <c r="J24" s="1" t="b">
        <v>1</v>
      </c>
      <c r="K24" s="1" t="b">
        <v>0</v>
      </c>
    </row>
    <row r="25" spans="1:11" ht="19" customHeight="1" x14ac:dyDescent="0.3">
      <c r="A25" t="s">
        <v>41</v>
      </c>
      <c r="B25" s="1">
        <v>42</v>
      </c>
      <c r="C25" s="1" t="s">
        <v>185</v>
      </c>
      <c r="D25" s="1">
        <v>15.72949016875158</v>
      </c>
      <c r="E25" s="1">
        <v>15.675506962100931</v>
      </c>
      <c r="F25" s="1">
        <v>3.5168956124439203E-2</v>
      </c>
      <c r="G25" s="1">
        <v>6.0726211297007199E-2</v>
      </c>
      <c r="H25" s="1">
        <v>49.105127966923583</v>
      </c>
      <c r="I25" s="1">
        <v>49.105127966923583</v>
      </c>
      <c r="J25" s="1" t="b">
        <v>1</v>
      </c>
      <c r="K25" s="1" t="b">
        <v>1</v>
      </c>
    </row>
    <row r="26" spans="1:11" ht="19" customHeight="1" x14ac:dyDescent="0.3">
      <c r="A26" t="s">
        <v>41</v>
      </c>
      <c r="B26" s="1">
        <v>42</v>
      </c>
      <c r="C26" s="1" t="s">
        <v>186</v>
      </c>
      <c r="D26" s="1">
        <v>17.5609858684237</v>
      </c>
      <c r="E26" s="1">
        <v>15.6559455395403</v>
      </c>
      <c r="F26" s="1">
        <v>3.3309896909953902E-2</v>
      </c>
      <c r="G26" s="1">
        <v>5.8321284358038197E-2</v>
      </c>
      <c r="H26" s="1">
        <v>49.127422156850173</v>
      </c>
      <c r="I26" s="1">
        <v>49.127422156850173</v>
      </c>
      <c r="J26" s="1" t="b">
        <v>1</v>
      </c>
      <c r="K26" s="1" t="b">
        <v>0</v>
      </c>
    </row>
    <row r="27" spans="1:11" ht="19" customHeight="1" x14ac:dyDescent="0.3">
      <c r="A27" t="s">
        <v>41</v>
      </c>
      <c r="B27" s="1">
        <v>42</v>
      </c>
      <c r="C27" s="1" t="s">
        <v>186</v>
      </c>
      <c r="D27" s="1">
        <v>15.325458995305389</v>
      </c>
      <c r="E27" s="1">
        <v>15.6559455395403</v>
      </c>
      <c r="F27" s="1">
        <v>2.9872161578330399E-2</v>
      </c>
      <c r="G27" s="1">
        <v>5.8321284358038197E-2</v>
      </c>
      <c r="H27" s="1">
        <v>49.135426852701229</v>
      </c>
      <c r="I27" s="1">
        <v>49.135426852701229</v>
      </c>
      <c r="J27" s="1" t="b">
        <v>1</v>
      </c>
      <c r="K27" s="1" t="b">
        <v>1</v>
      </c>
    </row>
    <row r="28" spans="1:11" ht="19" customHeight="1" x14ac:dyDescent="0.3">
      <c r="A28" t="s">
        <v>41</v>
      </c>
      <c r="B28" s="1">
        <v>42</v>
      </c>
      <c r="C28" s="1" t="s">
        <v>187</v>
      </c>
      <c r="D28" s="1">
        <v>13.75</v>
      </c>
      <c r="E28" s="1">
        <v>15</v>
      </c>
      <c r="F28" s="1">
        <v>3.2500000000000001E-2</v>
      </c>
      <c r="G28" s="1">
        <v>5.1249999999999997E-2</v>
      </c>
      <c r="H28" s="1">
        <v>49.15059652807831</v>
      </c>
      <c r="I28" s="1">
        <v>49.15059652807831</v>
      </c>
      <c r="J28" s="1" t="b">
        <v>1</v>
      </c>
      <c r="K28" s="1" t="b">
        <v>1</v>
      </c>
    </row>
    <row r="29" spans="1:11" ht="19" customHeight="1" x14ac:dyDescent="0.3">
      <c r="A29" t="s">
        <v>41</v>
      </c>
      <c r="B29" s="1">
        <v>42</v>
      </c>
      <c r="C29" s="1" t="s">
        <v>185</v>
      </c>
      <c r="D29" s="1">
        <v>16.53227963339361</v>
      </c>
      <c r="E29" s="1">
        <v>17.639320225002098</v>
      </c>
      <c r="F29" s="1">
        <v>3.5168956124439203E-2</v>
      </c>
      <c r="G29" s="1">
        <v>6.0726211297007199E-2</v>
      </c>
      <c r="H29" s="1">
        <v>49.158114145707003</v>
      </c>
      <c r="I29" s="1">
        <v>49.158114145707003</v>
      </c>
      <c r="J29" s="1" t="b">
        <v>1</v>
      </c>
      <c r="K29" s="1" t="b">
        <v>0</v>
      </c>
    </row>
    <row r="30" spans="1:11" ht="19" customHeight="1" x14ac:dyDescent="0.3">
      <c r="A30" t="s">
        <v>41</v>
      </c>
      <c r="B30" s="1">
        <v>42</v>
      </c>
      <c r="C30" s="1" t="s">
        <v>186</v>
      </c>
      <c r="D30" s="1">
        <v>14.03522710277457</v>
      </c>
      <c r="E30" s="1">
        <v>11.444993150420251</v>
      </c>
      <c r="F30" s="1">
        <v>4.18105600620148E-2</v>
      </c>
      <c r="G30" s="1">
        <v>5.5092892684263498E-2</v>
      </c>
      <c r="H30" s="1">
        <v>49.168434517704007</v>
      </c>
      <c r="I30" s="1">
        <v>49.168434517704007</v>
      </c>
      <c r="J30" s="1" t="b">
        <v>1</v>
      </c>
      <c r="K30" s="1" t="b">
        <v>1</v>
      </c>
    </row>
    <row r="31" spans="1:11" ht="19" customHeight="1" x14ac:dyDescent="0.3">
      <c r="A31" t="s">
        <v>41</v>
      </c>
      <c r="B31" s="1">
        <v>42</v>
      </c>
      <c r="C31" s="1" t="s">
        <v>186</v>
      </c>
      <c r="D31" s="1">
        <v>17.759809761440781</v>
      </c>
      <c r="E31" s="1">
        <v>16.474526867492951</v>
      </c>
      <c r="F31" s="1">
        <v>4.1093501273014602E-2</v>
      </c>
      <c r="G31" s="1">
        <v>5.0679930838774E-2</v>
      </c>
      <c r="H31" s="1">
        <v>49.18107077268354</v>
      </c>
      <c r="I31" s="1">
        <v>49.18107077268354</v>
      </c>
      <c r="J31" s="1" t="b">
        <v>1</v>
      </c>
      <c r="K31" s="1" t="b">
        <v>0</v>
      </c>
    </row>
    <row r="32" spans="1:11" ht="19" customHeight="1" x14ac:dyDescent="0.3">
      <c r="A32" t="s">
        <v>41</v>
      </c>
      <c r="B32" s="1">
        <v>42</v>
      </c>
      <c r="C32" s="1" t="s">
        <v>185</v>
      </c>
      <c r="D32" s="1">
        <v>19.270509831248422</v>
      </c>
      <c r="E32" s="1">
        <v>15.675506962100931</v>
      </c>
      <c r="F32" s="1">
        <v>3.5168956124439203E-2</v>
      </c>
      <c r="G32" s="1">
        <v>6.0726211297007199E-2</v>
      </c>
      <c r="H32" s="1">
        <v>49.187887762063987</v>
      </c>
      <c r="I32" s="1">
        <v>49.187887762063987</v>
      </c>
      <c r="J32" s="1" t="b">
        <v>1</v>
      </c>
      <c r="K32" s="1" t="b">
        <v>0</v>
      </c>
    </row>
    <row r="33" spans="1:11" ht="19" customHeight="1" x14ac:dyDescent="0.3">
      <c r="A33" t="s">
        <v>41</v>
      </c>
      <c r="B33" s="1">
        <v>42</v>
      </c>
      <c r="C33" s="1" t="s">
        <v>185</v>
      </c>
      <c r="D33" s="1">
        <v>13.54101966249684</v>
      </c>
      <c r="E33" s="1">
        <v>15.675506962100931</v>
      </c>
      <c r="F33" s="1">
        <v>3.5168956124439203E-2</v>
      </c>
      <c r="G33" s="1">
        <v>6.0726211297007199E-2</v>
      </c>
      <c r="H33" s="1">
        <v>49.197385251100201</v>
      </c>
      <c r="I33" s="1">
        <v>49.197385251100201</v>
      </c>
      <c r="J33" s="1" t="b">
        <v>1</v>
      </c>
      <c r="K33" s="1" t="b">
        <v>0</v>
      </c>
    </row>
    <row r="34" spans="1:11" ht="19" customHeight="1" x14ac:dyDescent="0.3">
      <c r="A34" t="s">
        <v>41</v>
      </c>
      <c r="B34" s="1">
        <v>42</v>
      </c>
      <c r="C34" s="1" t="s">
        <v>188</v>
      </c>
      <c r="D34" s="1">
        <v>16.692344133610462</v>
      </c>
      <c r="E34" s="1">
        <v>17.62042452192965</v>
      </c>
      <c r="F34" s="1">
        <v>3.4045362674436197E-2</v>
      </c>
      <c r="G34" s="1">
        <v>6.8362716690349906E-2</v>
      </c>
      <c r="H34" s="1">
        <v>49.20224425897252</v>
      </c>
      <c r="I34" s="1">
        <v>49.20224425897252</v>
      </c>
      <c r="J34" s="1" t="b">
        <v>1</v>
      </c>
      <c r="K34" s="1" t="b">
        <v>0</v>
      </c>
    </row>
    <row r="35" spans="1:11" ht="19" customHeight="1" x14ac:dyDescent="0.3">
      <c r="A35" t="s">
        <v>41</v>
      </c>
      <c r="B35" s="1">
        <v>42</v>
      </c>
      <c r="C35" s="1" t="s">
        <v>186</v>
      </c>
      <c r="D35" s="1">
        <v>13.999607117419099</v>
      </c>
      <c r="E35" s="1">
        <v>15.77211923587733</v>
      </c>
      <c r="F35" s="1">
        <v>2.9478208149437302E-2</v>
      </c>
      <c r="G35" s="1">
        <v>5.15809296329078E-2</v>
      </c>
      <c r="H35" s="1">
        <v>49.228486796239601</v>
      </c>
      <c r="I35" s="1">
        <v>49.228486796239601</v>
      </c>
      <c r="J35" s="1" t="b">
        <v>1</v>
      </c>
      <c r="K35" s="1" t="b">
        <v>1</v>
      </c>
    </row>
    <row r="36" spans="1:11" ht="19" customHeight="1" x14ac:dyDescent="0.3">
      <c r="A36" t="s">
        <v>41</v>
      </c>
      <c r="B36" s="1">
        <v>42</v>
      </c>
      <c r="C36" s="1" t="s">
        <v>187</v>
      </c>
      <c r="D36" s="1">
        <v>13.75</v>
      </c>
      <c r="E36" s="1">
        <v>15</v>
      </c>
      <c r="F36" s="1">
        <v>3.2500000000000001E-2</v>
      </c>
      <c r="G36" s="1">
        <v>7.3749999999999996E-2</v>
      </c>
      <c r="H36" s="1">
        <v>49.255289313693289</v>
      </c>
      <c r="I36" s="1">
        <v>49.255289313693289</v>
      </c>
      <c r="J36" s="1" t="b">
        <v>1</v>
      </c>
      <c r="K36" s="1" t="b">
        <v>1</v>
      </c>
    </row>
    <row r="37" spans="1:11" ht="19" customHeight="1" x14ac:dyDescent="0.3">
      <c r="A37" t="s">
        <v>41</v>
      </c>
      <c r="B37" s="1">
        <v>42</v>
      </c>
      <c r="C37" s="1" t="s">
        <v>186</v>
      </c>
      <c r="D37" s="1">
        <v>18.541583067089121</v>
      </c>
      <c r="E37" s="1">
        <v>18.8080630159</v>
      </c>
      <c r="F37" s="1">
        <v>3.8262714202300603E-2</v>
      </c>
      <c r="G37" s="1">
        <v>6.4728376524520903E-2</v>
      </c>
      <c r="H37" s="1">
        <v>49.260691706754891</v>
      </c>
      <c r="I37" s="1">
        <v>49.260691706754891</v>
      </c>
      <c r="J37" s="1" t="b">
        <v>1</v>
      </c>
      <c r="K37" s="1" t="b">
        <v>0</v>
      </c>
    </row>
    <row r="38" spans="1:11" ht="19" customHeight="1" x14ac:dyDescent="0.3">
      <c r="A38" t="s">
        <v>41</v>
      </c>
      <c r="B38" s="1">
        <v>42</v>
      </c>
      <c r="C38" s="1" t="s">
        <v>188</v>
      </c>
      <c r="D38" s="1">
        <v>14.887380372072281</v>
      </c>
      <c r="E38" s="1">
        <v>17.409194120697379</v>
      </c>
      <c r="F38" s="1">
        <v>3.9086674338274202E-2</v>
      </c>
      <c r="G38" s="1">
        <v>4.8526211158792798E-2</v>
      </c>
      <c r="H38" s="1">
        <v>49.297895226875617</v>
      </c>
      <c r="I38" s="1">
        <v>49.297895226875617</v>
      </c>
      <c r="J38" s="1" t="b">
        <v>1</v>
      </c>
      <c r="K38" s="1" t="b">
        <v>0</v>
      </c>
    </row>
    <row r="39" spans="1:11" ht="19" customHeight="1" x14ac:dyDescent="0.3">
      <c r="A39" t="s">
        <v>41</v>
      </c>
      <c r="B39" s="1">
        <v>42</v>
      </c>
      <c r="C39" s="1" t="s">
        <v>186</v>
      </c>
      <c r="D39" s="1">
        <v>19.13083025836837</v>
      </c>
      <c r="E39" s="1">
        <v>18.839379023642969</v>
      </c>
      <c r="F39" s="1">
        <v>4.1238894108185001E-2</v>
      </c>
      <c r="G39" s="1">
        <v>6.8578439596805305E-2</v>
      </c>
      <c r="H39" s="1">
        <v>49.343414149155421</v>
      </c>
      <c r="I39" s="1">
        <v>49.343414149155421</v>
      </c>
      <c r="J39" s="1" t="b">
        <v>1</v>
      </c>
      <c r="K39" s="1" t="b">
        <v>0</v>
      </c>
    </row>
    <row r="40" spans="1:11" ht="19" customHeight="1" x14ac:dyDescent="0.3">
      <c r="A40" t="s">
        <v>41</v>
      </c>
      <c r="B40" s="1">
        <v>42</v>
      </c>
      <c r="C40" s="1" t="s">
        <v>186</v>
      </c>
      <c r="D40" s="1">
        <v>18.997593088875881</v>
      </c>
      <c r="E40" s="1">
        <v>14.4853861892112</v>
      </c>
      <c r="F40" s="1">
        <v>3.47740518466048E-2</v>
      </c>
      <c r="G40" s="1">
        <v>4.7322030405186503E-2</v>
      </c>
      <c r="H40" s="1">
        <v>49.363282128056781</v>
      </c>
      <c r="I40" s="1">
        <v>49.363282128056781</v>
      </c>
      <c r="J40" s="1" t="b">
        <v>1</v>
      </c>
      <c r="K40" s="1" t="b">
        <v>0</v>
      </c>
    </row>
    <row r="41" spans="1:11" ht="19" customHeight="1" x14ac:dyDescent="0.3">
      <c r="A41" t="s">
        <v>41</v>
      </c>
      <c r="B41" s="1">
        <v>42</v>
      </c>
      <c r="C41" s="1" t="s">
        <v>187</v>
      </c>
      <c r="D41" s="1">
        <v>21.25</v>
      </c>
      <c r="E41" s="1">
        <v>15</v>
      </c>
      <c r="F41" s="1">
        <v>3.2500000000000001E-2</v>
      </c>
      <c r="G41" s="1">
        <v>5.1249999999999997E-2</v>
      </c>
      <c r="H41" s="1">
        <v>49.422275027598367</v>
      </c>
      <c r="I41" s="1">
        <v>49.422275027598367</v>
      </c>
      <c r="J41" s="1" t="b">
        <v>1</v>
      </c>
      <c r="K41" s="1" t="b">
        <v>0</v>
      </c>
    </row>
    <row r="42" spans="1:11" ht="19" customHeight="1" x14ac:dyDescent="0.3">
      <c r="A42" t="s">
        <v>41</v>
      </c>
      <c r="B42" s="1">
        <v>42</v>
      </c>
      <c r="C42" s="1" t="s">
        <v>189</v>
      </c>
      <c r="D42" s="1">
        <v>17.5</v>
      </c>
      <c r="E42" s="1">
        <v>20</v>
      </c>
      <c r="F42" s="1">
        <v>0.04</v>
      </c>
      <c r="G42" s="1">
        <v>0.06</v>
      </c>
      <c r="H42" s="1">
        <v>49.42405591403282</v>
      </c>
      <c r="I42" s="1">
        <v>49.42405591403282</v>
      </c>
      <c r="J42" s="1" t="b">
        <v>1</v>
      </c>
      <c r="K42" s="1" t="b">
        <v>0</v>
      </c>
    </row>
    <row r="43" spans="1:11" ht="19" customHeight="1" x14ac:dyDescent="0.3">
      <c r="A43" t="s">
        <v>41</v>
      </c>
      <c r="B43" s="1">
        <v>42</v>
      </c>
      <c r="C43" s="1" t="s">
        <v>187</v>
      </c>
      <c r="D43" s="1">
        <v>13.75</v>
      </c>
      <c r="E43" s="1">
        <v>15</v>
      </c>
      <c r="F43" s="1">
        <v>4.7500000000000001E-2</v>
      </c>
      <c r="G43" s="1">
        <v>5.1249999999999997E-2</v>
      </c>
      <c r="H43" s="1">
        <v>49.424585690320519</v>
      </c>
      <c r="I43" s="1">
        <v>49.424585690320519</v>
      </c>
      <c r="J43" s="1" t="b">
        <v>1</v>
      </c>
      <c r="K43" s="1" t="b">
        <v>1</v>
      </c>
    </row>
    <row r="44" spans="1:11" ht="19" customHeight="1" x14ac:dyDescent="0.3">
      <c r="A44" t="s">
        <v>41</v>
      </c>
      <c r="B44" s="1">
        <v>42</v>
      </c>
      <c r="C44" s="1" t="s">
        <v>186</v>
      </c>
      <c r="D44" s="1">
        <v>20.55510623275002</v>
      </c>
      <c r="E44" s="1">
        <v>13.38509072224506</v>
      </c>
      <c r="F44" s="1">
        <v>3.6624388341546903E-2</v>
      </c>
      <c r="G44" s="1">
        <v>4.8352871459205603E-2</v>
      </c>
      <c r="H44" s="1">
        <v>49.453560593226122</v>
      </c>
      <c r="I44" s="1">
        <v>49.453560593226122</v>
      </c>
      <c r="J44" s="1" t="b">
        <v>1</v>
      </c>
      <c r="K44" s="1" t="b">
        <v>0</v>
      </c>
    </row>
    <row r="45" spans="1:11" ht="19" customHeight="1" x14ac:dyDescent="0.3">
      <c r="A45" t="s">
        <v>41</v>
      </c>
      <c r="B45" s="1">
        <v>42</v>
      </c>
      <c r="C45" s="1" t="s">
        <v>188</v>
      </c>
      <c r="D45" s="1">
        <v>20.02604442685708</v>
      </c>
      <c r="E45" s="1">
        <v>19.421924122862649</v>
      </c>
      <c r="F45" s="1">
        <v>4.1957083194435599E-2</v>
      </c>
      <c r="G45" s="1">
        <v>7.4424948583721104E-2</v>
      </c>
      <c r="H45" s="1">
        <v>49.492850851251013</v>
      </c>
      <c r="I45" s="1">
        <v>49.492850851251013</v>
      </c>
      <c r="J45" s="1" t="b">
        <v>1</v>
      </c>
      <c r="K45" s="1" t="b">
        <v>0</v>
      </c>
    </row>
    <row r="46" spans="1:11" ht="19" customHeight="1" x14ac:dyDescent="0.3">
      <c r="A46" t="s">
        <v>41</v>
      </c>
      <c r="B46" s="1">
        <v>42</v>
      </c>
      <c r="C46" s="1" t="s">
        <v>186</v>
      </c>
      <c r="D46" s="1">
        <v>18.723075408600039</v>
      </c>
      <c r="E46" s="1">
        <v>16.424367325815052</v>
      </c>
      <c r="F46" s="1">
        <v>4.6209458267667598E-2</v>
      </c>
      <c r="G46" s="1">
        <v>4.5248620409992002E-2</v>
      </c>
      <c r="H46" s="1">
        <v>49.507044974729361</v>
      </c>
      <c r="I46" s="1">
        <v>49.507044974729361</v>
      </c>
      <c r="J46" s="1" t="b">
        <v>1</v>
      </c>
      <c r="K46" s="1" t="b">
        <v>0</v>
      </c>
    </row>
    <row r="47" spans="1:11" ht="19" customHeight="1" x14ac:dyDescent="0.3">
      <c r="A47" t="s">
        <v>41</v>
      </c>
      <c r="B47" s="1">
        <v>42</v>
      </c>
      <c r="C47" s="1" t="s">
        <v>187</v>
      </c>
      <c r="D47" s="1">
        <v>13.75</v>
      </c>
      <c r="E47" s="1">
        <v>15</v>
      </c>
      <c r="F47" s="1">
        <v>4.7500000000000001E-2</v>
      </c>
      <c r="G47" s="1">
        <v>7.3749999999999996E-2</v>
      </c>
      <c r="H47" s="1">
        <v>49.520236823244034</v>
      </c>
      <c r="I47" s="1">
        <v>49.520236823244034</v>
      </c>
      <c r="J47" s="1" t="b">
        <v>1</v>
      </c>
      <c r="K47" s="1" t="b">
        <v>1</v>
      </c>
    </row>
    <row r="48" spans="1:11" ht="19" customHeight="1" x14ac:dyDescent="0.3">
      <c r="A48" t="s">
        <v>41</v>
      </c>
      <c r="B48" s="1">
        <v>42</v>
      </c>
      <c r="C48" s="1" t="s">
        <v>188</v>
      </c>
      <c r="D48" s="1">
        <v>19.520774800008869</v>
      </c>
      <c r="E48" s="1">
        <v>21.071588013159921</v>
      </c>
      <c r="F48" s="1">
        <v>4.1776214822362399E-2</v>
      </c>
      <c r="G48" s="1">
        <v>5.3677754412817497E-2</v>
      </c>
      <c r="H48" s="1">
        <v>49.529531942086258</v>
      </c>
      <c r="I48" s="1">
        <v>49.529531942086258</v>
      </c>
      <c r="J48" s="1" t="b">
        <v>1</v>
      </c>
      <c r="K48" s="1" t="b">
        <v>0</v>
      </c>
    </row>
    <row r="49" spans="1:11" ht="19" customHeight="1" x14ac:dyDescent="0.3">
      <c r="A49" t="s">
        <v>41</v>
      </c>
      <c r="B49" s="1">
        <v>42</v>
      </c>
      <c r="C49" s="1" t="s">
        <v>186</v>
      </c>
      <c r="D49" s="1">
        <v>19.489410845166979</v>
      </c>
      <c r="E49" s="1">
        <v>14.01542388834784</v>
      </c>
      <c r="F49" s="1">
        <v>4.3814478477091003E-2</v>
      </c>
      <c r="G49" s="1">
        <v>7.0682463630846501E-2</v>
      </c>
      <c r="H49" s="1">
        <v>49.534817105691737</v>
      </c>
      <c r="I49" s="1">
        <v>49.534817105691737</v>
      </c>
      <c r="J49" s="1" t="b">
        <v>1</v>
      </c>
      <c r="K49" s="1" t="b">
        <v>0</v>
      </c>
    </row>
    <row r="50" spans="1:11" ht="19" customHeight="1" x14ac:dyDescent="0.3">
      <c r="A50" t="s">
        <v>41</v>
      </c>
      <c r="B50" s="1">
        <v>42</v>
      </c>
      <c r="C50" s="1" t="s">
        <v>187</v>
      </c>
      <c r="D50" s="1">
        <v>21.25</v>
      </c>
      <c r="E50" s="1">
        <v>15</v>
      </c>
      <c r="F50" s="1">
        <v>3.2500000000000001E-2</v>
      </c>
      <c r="G50" s="1">
        <v>7.3749999999999996E-2</v>
      </c>
      <c r="H50" s="1">
        <v>49.545848135883482</v>
      </c>
      <c r="I50" s="1">
        <v>49.545848135883482</v>
      </c>
      <c r="J50" s="1" t="b">
        <v>1</v>
      </c>
      <c r="K50" s="1" t="b">
        <v>0</v>
      </c>
    </row>
    <row r="51" spans="1:11" ht="19" customHeight="1" x14ac:dyDescent="0.3">
      <c r="A51" t="s">
        <v>41</v>
      </c>
      <c r="B51" s="1">
        <v>42</v>
      </c>
      <c r="C51" s="1" t="s">
        <v>186</v>
      </c>
      <c r="D51" s="1">
        <v>21.76254088688432</v>
      </c>
      <c r="E51" s="1">
        <v>23.11897113763909</v>
      </c>
      <c r="F51" s="1">
        <v>3.9264146597315197E-2</v>
      </c>
      <c r="G51" s="1">
        <v>6.6550428888642599E-2</v>
      </c>
      <c r="H51" s="1">
        <v>49.618438176412553</v>
      </c>
      <c r="I51" s="1">
        <v>49.618438176412553</v>
      </c>
      <c r="J51" s="1" t="b">
        <v>1</v>
      </c>
      <c r="K51" s="1" t="b">
        <v>0</v>
      </c>
    </row>
    <row r="52" spans="1:11" ht="19" customHeight="1" x14ac:dyDescent="0.3">
      <c r="A52" t="s">
        <v>41</v>
      </c>
      <c r="B52" s="1">
        <v>42</v>
      </c>
      <c r="C52" s="1" t="s">
        <v>188</v>
      </c>
      <c r="D52" s="1">
        <v>11.948822580032081</v>
      </c>
      <c r="E52" s="1">
        <v>19.51409852451868</v>
      </c>
      <c r="F52" s="1">
        <v>3.1807280471526499E-2</v>
      </c>
      <c r="G52" s="1">
        <v>7.0141629760712906E-2</v>
      </c>
      <c r="H52" s="1">
        <v>49.658969917497153</v>
      </c>
      <c r="I52" s="1">
        <v>49.658969917497153</v>
      </c>
      <c r="J52" s="1" t="b">
        <v>1</v>
      </c>
      <c r="K52" s="1" t="b">
        <v>0</v>
      </c>
    </row>
    <row r="53" spans="1:11" ht="19" customHeight="1" x14ac:dyDescent="0.3">
      <c r="A53" t="s">
        <v>41</v>
      </c>
      <c r="B53" s="1">
        <v>42</v>
      </c>
      <c r="C53" s="1" t="s">
        <v>188</v>
      </c>
      <c r="D53" s="1">
        <v>22.801046099022489</v>
      </c>
      <c r="E53" s="1">
        <v>14.67878971730682</v>
      </c>
      <c r="F53" s="1">
        <v>2.67490822506719E-2</v>
      </c>
      <c r="G53" s="1">
        <v>5.2662275140989798E-2</v>
      </c>
      <c r="H53" s="1">
        <v>49.671167658349049</v>
      </c>
      <c r="I53" s="1">
        <v>49.671167658349049</v>
      </c>
      <c r="J53" s="1" t="b">
        <v>1</v>
      </c>
      <c r="K53" s="1" t="b">
        <v>0</v>
      </c>
    </row>
    <row r="54" spans="1:11" ht="19" customHeight="1" x14ac:dyDescent="0.3">
      <c r="A54" t="s">
        <v>41</v>
      </c>
      <c r="B54" s="1">
        <v>42</v>
      </c>
      <c r="C54" s="1" t="s">
        <v>188</v>
      </c>
      <c r="D54" s="1">
        <v>10.46226751851909</v>
      </c>
      <c r="E54" s="1">
        <v>18.734347784647252</v>
      </c>
      <c r="F54" s="1">
        <v>3.1437540184585798E-2</v>
      </c>
      <c r="G54" s="1">
        <v>5.8383788967608603E-2</v>
      </c>
      <c r="H54" s="1">
        <v>49.672724316743732</v>
      </c>
      <c r="I54" s="1">
        <v>49.672724316743732</v>
      </c>
      <c r="J54" s="1" t="b">
        <v>1</v>
      </c>
      <c r="K54" s="1" t="b">
        <v>0</v>
      </c>
    </row>
    <row r="55" spans="1:11" ht="19" customHeight="1" x14ac:dyDescent="0.3">
      <c r="A55" t="s">
        <v>41</v>
      </c>
      <c r="B55" s="1">
        <v>42</v>
      </c>
      <c r="C55" s="1" t="s">
        <v>188</v>
      </c>
      <c r="D55" s="1">
        <v>20.23743255962464</v>
      </c>
      <c r="E55" s="1">
        <v>12.795049672186201</v>
      </c>
      <c r="F55" s="1">
        <v>3.09972460742532E-2</v>
      </c>
      <c r="G55" s="1">
        <v>4.0331302138795197E-2</v>
      </c>
      <c r="H55" s="1">
        <v>49.685762678694402</v>
      </c>
      <c r="I55" s="1">
        <v>49.685762678694402</v>
      </c>
      <c r="J55" s="1" t="b">
        <v>1</v>
      </c>
      <c r="K55" s="1" t="b">
        <v>0</v>
      </c>
    </row>
    <row r="56" spans="1:11" ht="19" customHeight="1" x14ac:dyDescent="0.3">
      <c r="A56" t="s">
        <v>41</v>
      </c>
      <c r="B56" s="1">
        <v>42</v>
      </c>
      <c r="C56" s="1" t="s">
        <v>188</v>
      </c>
      <c r="D56" s="1">
        <v>21.67575245610643</v>
      </c>
      <c r="E56" s="1">
        <v>13.89277415703935</v>
      </c>
      <c r="F56" s="1">
        <v>3.9001630111811E-2</v>
      </c>
      <c r="G56" s="1">
        <v>4.1971169460425298E-2</v>
      </c>
      <c r="H56" s="1">
        <v>49.685767669952682</v>
      </c>
      <c r="I56" s="1">
        <v>49.685767669952682</v>
      </c>
      <c r="J56" s="1" t="b">
        <v>1</v>
      </c>
      <c r="K56" s="1" t="b">
        <v>0</v>
      </c>
    </row>
    <row r="57" spans="1:11" ht="19" customHeight="1" x14ac:dyDescent="0.3">
      <c r="A57" t="s">
        <v>41</v>
      </c>
      <c r="B57" s="1">
        <v>42</v>
      </c>
      <c r="C57" s="1" t="s">
        <v>188</v>
      </c>
      <c r="D57" s="1">
        <v>16.883736633075099</v>
      </c>
      <c r="E57" s="1">
        <v>21.374823919057871</v>
      </c>
      <c r="F57" s="1">
        <v>2.9193909943829699E-2</v>
      </c>
      <c r="G57" s="1">
        <v>4.5153853309118801E-2</v>
      </c>
      <c r="H57" s="1">
        <v>49.68705104626541</v>
      </c>
      <c r="I57" s="1">
        <v>49.68705104626541</v>
      </c>
      <c r="J57" s="1" t="b">
        <v>1</v>
      </c>
      <c r="K57" s="1" t="b">
        <v>0</v>
      </c>
    </row>
    <row r="58" spans="1:11" ht="19" customHeight="1" x14ac:dyDescent="0.3">
      <c r="A58" t="s">
        <v>41</v>
      </c>
      <c r="B58" s="1">
        <v>42</v>
      </c>
      <c r="C58" s="1" t="s">
        <v>186</v>
      </c>
      <c r="D58" s="1">
        <v>23.20796172067368</v>
      </c>
      <c r="E58" s="1">
        <v>14.448589416970689</v>
      </c>
      <c r="F58" s="1">
        <v>3.05980736461085E-2</v>
      </c>
      <c r="G58" s="1">
        <v>6.8715670450579899E-2</v>
      </c>
      <c r="H58" s="1">
        <v>49.687637212929033</v>
      </c>
      <c r="I58" s="1">
        <v>49.687637212929033</v>
      </c>
      <c r="J58" s="1" t="b">
        <v>1</v>
      </c>
      <c r="K58" s="1" t="b">
        <v>0</v>
      </c>
    </row>
    <row r="59" spans="1:11" ht="19" customHeight="1" x14ac:dyDescent="0.3">
      <c r="A59" t="s">
        <v>41</v>
      </c>
      <c r="B59" s="1">
        <v>42</v>
      </c>
      <c r="C59" s="1" t="s">
        <v>188</v>
      </c>
      <c r="D59" s="1">
        <v>19.964703104910811</v>
      </c>
      <c r="E59" s="1">
        <v>18.127737228801411</v>
      </c>
      <c r="F59" s="1">
        <v>4.9420611539981001E-2</v>
      </c>
      <c r="G59" s="1">
        <v>4.7513781395846597E-2</v>
      </c>
      <c r="H59" s="1">
        <v>49.693899088965658</v>
      </c>
      <c r="I59" s="1">
        <v>49.693899088965658</v>
      </c>
      <c r="J59" s="1" t="b">
        <v>1</v>
      </c>
      <c r="K59" s="1" t="b">
        <v>0</v>
      </c>
    </row>
    <row r="60" spans="1:11" ht="19" customHeight="1" x14ac:dyDescent="0.3">
      <c r="A60" t="s">
        <v>41</v>
      </c>
      <c r="B60" s="1">
        <v>42</v>
      </c>
      <c r="C60" s="1" t="s">
        <v>185</v>
      </c>
      <c r="D60" s="1">
        <v>16.53227963339361</v>
      </c>
      <c r="E60" s="1">
        <v>22.360679774997891</v>
      </c>
      <c r="F60" s="1">
        <v>3.5168956124439203E-2</v>
      </c>
      <c r="G60" s="1">
        <v>6.0726211297007199E-2</v>
      </c>
      <c r="H60" s="1">
        <v>49.695668855729991</v>
      </c>
      <c r="I60" s="1">
        <v>49.695668855729991</v>
      </c>
      <c r="J60" s="1" t="b">
        <v>1</v>
      </c>
      <c r="K60" s="1" t="b">
        <v>0</v>
      </c>
    </row>
    <row r="61" spans="1:11" ht="19" customHeight="1" x14ac:dyDescent="0.3">
      <c r="A61" t="s">
        <v>41</v>
      </c>
      <c r="B61" s="1">
        <v>42</v>
      </c>
      <c r="C61" s="1" t="s">
        <v>188</v>
      </c>
      <c r="D61" s="1">
        <v>12.419076685504031</v>
      </c>
      <c r="E61" s="1">
        <v>20.020895502067269</v>
      </c>
      <c r="F61" s="1">
        <v>2.9569363081395E-2</v>
      </c>
      <c r="G61" s="1">
        <v>7.1334416878498105E-2</v>
      </c>
      <c r="H61" s="1">
        <v>49.722635378123449</v>
      </c>
      <c r="I61" s="1">
        <v>49.722635378123449</v>
      </c>
      <c r="J61" s="1" t="b">
        <v>1</v>
      </c>
      <c r="K61" s="1" t="b">
        <v>0</v>
      </c>
    </row>
    <row r="62" spans="1:11" ht="19" customHeight="1" x14ac:dyDescent="0.3">
      <c r="A62" t="s">
        <v>41</v>
      </c>
      <c r="B62" s="1">
        <v>42</v>
      </c>
      <c r="C62" s="1" t="s">
        <v>187</v>
      </c>
      <c r="D62" s="1">
        <v>21.25</v>
      </c>
      <c r="E62" s="1">
        <v>15</v>
      </c>
      <c r="F62" s="1">
        <v>4.7500000000000001E-2</v>
      </c>
      <c r="G62" s="1">
        <v>5.1249999999999997E-2</v>
      </c>
      <c r="H62" s="1">
        <v>49.743846458699231</v>
      </c>
      <c r="I62" s="1">
        <v>49.743846458699231</v>
      </c>
      <c r="J62" s="1" t="b">
        <v>1</v>
      </c>
      <c r="K62" s="1" t="b">
        <v>0</v>
      </c>
    </row>
    <row r="63" spans="1:11" ht="19" customHeight="1" x14ac:dyDescent="0.3">
      <c r="A63" t="s">
        <v>41</v>
      </c>
      <c r="B63" s="1">
        <v>42</v>
      </c>
      <c r="C63" s="1" t="s">
        <v>187</v>
      </c>
      <c r="D63" s="1">
        <v>21.25</v>
      </c>
      <c r="E63" s="1">
        <v>15</v>
      </c>
      <c r="F63" s="1">
        <v>4.7500000000000001E-2</v>
      </c>
      <c r="G63" s="1">
        <v>7.3749999999999996E-2</v>
      </c>
      <c r="H63" s="1">
        <v>49.855819292079971</v>
      </c>
      <c r="I63" s="1">
        <v>49.855819292079971</v>
      </c>
      <c r="J63" s="1" t="b">
        <v>1</v>
      </c>
      <c r="K63" s="1" t="b">
        <v>0</v>
      </c>
    </row>
    <row r="64" spans="1:11" ht="19" customHeight="1" x14ac:dyDescent="0.3">
      <c r="A64" t="s">
        <v>41</v>
      </c>
      <c r="B64" s="1">
        <v>42</v>
      </c>
      <c r="C64" s="1" t="s">
        <v>187</v>
      </c>
      <c r="D64" s="1">
        <v>21.25</v>
      </c>
      <c r="E64" s="1">
        <v>25</v>
      </c>
      <c r="F64" s="1">
        <v>3.2500000000000001E-2</v>
      </c>
      <c r="G64" s="1">
        <v>5.1249999999999997E-2</v>
      </c>
      <c r="H64" s="1">
        <v>49.864053662541629</v>
      </c>
      <c r="I64" s="1">
        <v>49.864053662541629</v>
      </c>
      <c r="J64" s="1" t="b">
        <v>1</v>
      </c>
      <c r="K64" s="1" t="b">
        <v>0</v>
      </c>
    </row>
    <row r="65" spans="1:11" ht="19" customHeight="1" x14ac:dyDescent="0.3">
      <c r="A65" t="s">
        <v>41</v>
      </c>
      <c r="B65" s="1">
        <v>42</v>
      </c>
      <c r="C65" s="1" t="s">
        <v>186</v>
      </c>
      <c r="D65" s="1">
        <v>16.05256561020347</v>
      </c>
      <c r="E65" s="1">
        <v>21.186106921566669</v>
      </c>
      <c r="F65" s="1">
        <v>3.4922771216003498E-2</v>
      </c>
      <c r="G65" s="1">
        <v>8.3190868731325696E-2</v>
      </c>
      <c r="H65" s="1">
        <v>49.877038871128548</v>
      </c>
      <c r="I65" s="1">
        <v>49.877038871128548</v>
      </c>
      <c r="J65" s="1" t="b">
        <v>1</v>
      </c>
      <c r="K65" s="1" t="b">
        <v>0</v>
      </c>
    </row>
    <row r="66" spans="1:11" ht="19" customHeight="1" x14ac:dyDescent="0.3">
      <c r="A66" t="s">
        <v>41</v>
      </c>
      <c r="B66" s="1">
        <v>42</v>
      </c>
      <c r="C66" s="1" t="s">
        <v>188</v>
      </c>
      <c r="D66" s="1">
        <v>21.803865662532079</v>
      </c>
      <c r="E66" s="1">
        <v>23.29701713184064</v>
      </c>
      <c r="F66" s="1">
        <v>4.6154961358789999E-2</v>
      </c>
      <c r="G66" s="1">
        <v>7.5132806395988502E-2</v>
      </c>
      <c r="H66" s="1">
        <v>49.923274914786802</v>
      </c>
      <c r="I66" s="1">
        <v>49.923274914786802</v>
      </c>
      <c r="J66" s="1" t="b">
        <v>1</v>
      </c>
      <c r="K66" s="1" t="b">
        <v>0</v>
      </c>
    </row>
    <row r="67" spans="1:11" ht="19" customHeight="1" x14ac:dyDescent="0.3">
      <c r="A67" t="s">
        <v>41</v>
      </c>
      <c r="B67" s="1">
        <v>42</v>
      </c>
      <c r="C67" s="1" t="s">
        <v>186</v>
      </c>
      <c r="D67" s="1">
        <v>23.068280257716431</v>
      </c>
      <c r="E67" s="1">
        <v>18.481469951741271</v>
      </c>
      <c r="F67" s="1">
        <v>4.9317971177058502E-2</v>
      </c>
      <c r="G67" s="1">
        <v>6.4773617541577497E-2</v>
      </c>
      <c r="H67" s="1">
        <v>49.926186748897202</v>
      </c>
      <c r="I67" s="1">
        <v>49.926186748897202</v>
      </c>
      <c r="J67" s="1" t="b">
        <v>1</v>
      </c>
      <c r="K67" s="1" t="b">
        <v>0</v>
      </c>
    </row>
    <row r="68" spans="1:11" ht="19" customHeight="1" x14ac:dyDescent="0.3">
      <c r="A68" t="s">
        <v>41</v>
      </c>
      <c r="B68" s="1">
        <v>42</v>
      </c>
      <c r="C68" s="1" t="s">
        <v>188</v>
      </c>
      <c r="D68" s="1">
        <v>21.609340728339451</v>
      </c>
      <c r="E68" s="1">
        <v>18.777568795041049</v>
      </c>
      <c r="F68" s="1">
        <v>5.0757937597341402E-2</v>
      </c>
      <c r="G68" s="1">
        <v>7.1381561307671301E-2</v>
      </c>
      <c r="H68" s="1">
        <v>49.927229264541452</v>
      </c>
      <c r="I68" s="1">
        <v>49.927229264541452</v>
      </c>
      <c r="J68" s="1" t="b">
        <v>1</v>
      </c>
      <c r="K68" s="1" t="b">
        <v>0</v>
      </c>
    </row>
    <row r="69" spans="1:11" ht="19" customHeight="1" x14ac:dyDescent="0.3">
      <c r="A69" t="s">
        <v>41</v>
      </c>
      <c r="B69" s="1">
        <v>42</v>
      </c>
      <c r="C69" s="1" t="s">
        <v>187</v>
      </c>
      <c r="D69" s="1">
        <v>21.25</v>
      </c>
      <c r="E69" s="1">
        <v>25</v>
      </c>
      <c r="F69" s="1">
        <v>3.2500000000000001E-2</v>
      </c>
      <c r="G69" s="1">
        <v>7.3749999999999996E-2</v>
      </c>
      <c r="H69" s="1">
        <v>49.94779057641</v>
      </c>
      <c r="I69" s="1">
        <v>49.94779057641</v>
      </c>
      <c r="J69" s="1" t="b">
        <v>1</v>
      </c>
      <c r="K69" s="1" t="b">
        <v>0</v>
      </c>
    </row>
    <row r="70" spans="1:11" ht="19" customHeight="1" x14ac:dyDescent="0.3">
      <c r="A70" t="s">
        <v>41</v>
      </c>
      <c r="B70" s="1">
        <v>42</v>
      </c>
      <c r="C70" s="1" t="s">
        <v>188</v>
      </c>
      <c r="D70" s="1">
        <v>18.318771805237521</v>
      </c>
      <c r="E70" s="1">
        <v>11.27634512208351</v>
      </c>
      <c r="F70" s="1">
        <v>4.9828935159777397E-2</v>
      </c>
      <c r="G70" s="1">
        <v>6.8424897960492906E-2</v>
      </c>
      <c r="H70" s="1">
        <v>49.950906459883122</v>
      </c>
      <c r="I70" s="1">
        <v>49.950906459883122</v>
      </c>
      <c r="J70" s="1" t="b">
        <v>1</v>
      </c>
      <c r="K70" s="1" t="b">
        <v>1</v>
      </c>
    </row>
    <row r="71" spans="1:11" ht="19" customHeight="1" x14ac:dyDescent="0.3">
      <c r="A71" t="s">
        <v>41</v>
      </c>
      <c r="B71" s="1">
        <v>42</v>
      </c>
      <c r="C71" s="1" t="s">
        <v>188</v>
      </c>
      <c r="D71" s="1">
        <v>11.921704490133189</v>
      </c>
      <c r="E71" s="1">
        <v>19.007718757911341</v>
      </c>
      <c r="F71" s="1">
        <v>3.6123940726977402E-2</v>
      </c>
      <c r="G71" s="1">
        <v>8.1704424498187003E-2</v>
      </c>
      <c r="H71" s="1">
        <v>49.973767168567512</v>
      </c>
      <c r="I71" s="1">
        <v>49.973767168567512</v>
      </c>
      <c r="J71" s="1" t="b">
        <v>1</v>
      </c>
      <c r="K71" s="1" t="b">
        <v>0</v>
      </c>
    </row>
    <row r="72" spans="1:11" ht="19" customHeight="1" x14ac:dyDescent="0.3">
      <c r="A72" t="s">
        <v>41</v>
      </c>
      <c r="B72" s="1">
        <v>42</v>
      </c>
      <c r="C72" s="1" t="s">
        <v>188</v>
      </c>
      <c r="D72" s="1">
        <v>22.483897020928019</v>
      </c>
      <c r="E72" s="1">
        <v>26.095287149936041</v>
      </c>
      <c r="F72" s="1">
        <v>3.6624351370905202E-2</v>
      </c>
      <c r="G72" s="1">
        <v>5.2974764676860901E-2</v>
      </c>
      <c r="H72" s="1">
        <v>49.986052249415323</v>
      </c>
      <c r="I72" s="1">
        <v>49.986052249415323</v>
      </c>
      <c r="J72" s="1" t="b">
        <v>1</v>
      </c>
      <c r="K72" s="1" t="b">
        <v>0</v>
      </c>
    </row>
    <row r="73" spans="1:11" ht="19" customHeight="1" x14ac:dyDescent="0.3">
      <c r="A73" t="s">
        <v>41</v>
      </c>
      <c r="B73" s="1">
        <v>42</v>
      </c>
      <c r="C73" s="1" t="s">
        <v>186</v>
      </c>
      <c r="D73" s="1">
        <v>11.8090229438771</v>
      </c>
      <c r="E73" s="1">
        <v>18.51915239612984</v>
      </c>
      <c r="F73" s="1">
        <v>4.9317971177058502E-2</v>
      </c>
      <c r="G73" s="1">
        <v>6.4773617541577497E-2</v>
      </c>
      <c r="H73" s="1">
        <v>50.000576551457108</v>
      </c>
      <c r="I73" s="1">
        <v>50.000576551457108</v>
      </c>
      <c r="J73" s="1" t="b">
        <v>1</v>
      </c>
      <c r="K73" s="1" t="b">
        <v>0</v>
      </c>
    </row>
    <row r="74" spans="1:11" ht="19" customHeight="1" x14ac:dyDescent="0.3">
      <c r="A74" t="s">
        <v>41</v>
      </c>
      <c r="B74" s="1">
        <v>42</v>
      </c>
      <c r="C74" s="1" t="s">
        <v>186</v>
      </c>
      <c r="D74" s="1">
        <v>16.79959020358627</v>
      </c>
      <c r="E74" s="1">
        <v>23.92059593349946</v>
      </c>
      <c r="F74" s="1">
        <v>3.0697114418252201E-2</v>
      </c>
      <c r="G74" s="1">
        <v>7.2400191309562503E-2</v>
      </c>
      <c r="H74" s="1">
        <v>50.004417175491483</v>
      </c>
      <c r="I74" s="1">
        <v>50.004417175491483</v>
      </c>
      <c r="J74" s="1" t="b">
        <v>1</v>
      </c>
      <c r="K74" s="1" t="b">
        <v>0</v>
      </c>
    </row>
    <row r="75" spans="1:11" ht="19" customHeight="1" x14ac:dyDescent="0.3">
      <c r="A75" t="s">
        <v>41</v>
      </c>
      <c r="B75" s="1">
        <v>42</v>
      </c>
      <c r="C75" s="1" t="s">
        <v>186</v>
      </c>
      <c r="D75" s="1">
        <v>11.047627279039659</v>
      </c>
      <c r="E75" s="1">
        <v>21.816665211380212</v>
      </c>
      <c r="F75" s="1">
        <v>2.59150074981714E-2</v>
      </c>
      <c r="G75" s="1">
        <v>6.4503533536082694E-2</v>
      </c>
      <c r="H75" s="1">
        <v>50.041537784217446</v>
      </c>
      <c r="I75" s="1">
        <v>50.041537784217446</v>
      </c>
      <c r="J75" s="1" t="b">
        <v>1</v>
      </c>
      <c r="K75" s="1" t="b">
        <v>0</v>
      </c>
    </row>
    <row r="76" spans="1:11" ht="19" customHeight="1" x14ac:dyDescent="0.3">
      <c r="A76" t="s">
        <v>41</v>
      </c>
      <c r="B76" s="1">
        <v>42</v>
      </c>
      <c r="C76" s="1" t="s">
        <v>186</v>
      </c>
      <c r="D76" s="1">
        <v>12.43854532350926</v>
      </c>
      <c r="E76" s="1">
        <v>18.8080630159</v>
      </c>
      <c r="F76" s="1">
        <v>5.1334801166707203E-2</v>
      </c>
      <c r="G76" s="1">
        <v>4.8953325183962698E-2</v>
      </c>
      <c r="H76" s="1">
        <v>50.09030972022525</v>
      </c>
      <c r="I76" s="1">
        <v>50.09030972022525</v>
      </c>
      <c r="J76" s="1" t="b">
        <v>1</v>
      </c>
      <c r="K76" s="1" t="b">
        <v>1</v>
      </c>
    </row>
    <row r="77" spans="1:11" ht="19" customHeight="1" x14ac:dyDescent="0.3">
      <c r="A77" t="s">
        <v>41</v>
      </c>
      <c r="B77" s="1">
        <v>42</v>
      </c>
      <c r="C77" s="1" t="s">
        <v>186</v>
      </c>
      <c r="D77" s="1">
        <v>17.117888658308161</v>
      </c>
      <c r="E77" s="1">
        <v>25.231068069406909</v>
      </c>
      <c r="F77" s="1">
        <v>4.3157936924710198E-2</v>
      </c>
      <c r="G77" s="1">
        <v>6.0167099097870498E-2</v>
      </c>
      <c r="H77" s="1">
        <v>50.103104101153072</v>
      </c>
      <c r="I77" s="1">
        <v>50.103104101153072</v>
      </c>
      <c r="J77" s="1" t="b">
        <v>1</v>
      </c>
      <c r="K77" s="1" t="b">
        <v>0</v>
      </c>
    </row>
    <row r="78" spans="1:11" ht="19" customHeight="1" x14ac:dyDescent="0.3">
      <c r="A78" t="s">
        <v>41</v>
      </c>
      <c r="B78" s="1">
        <v>42</v>
      </c>
      <c r="C78" s="1" t="s">
        <v>186</v>
      </c>
      <c r="D78" s="1">
        <v>10.3511313614194</v>
      </c>
      <c r="E78" s="1">
        <v>21.372090142507979</v>
      </c>
      <c r="F78" s="1">
        <v>2.8788595926804599E-2</v>
      </c>
      <c r="G78" s="1">
        <v>7.2400191309562503E-2</v>
      </c>
      <c r="H78" s="1">
        <v>50.103229248931243</v>
      </c>
      <c r="I78" s="1">
        <v>50.103229248931243</v>
      </c>
      <c r="J78" s="1" t="b">
        <v>1</v>
      </c>
      <c r="K78" s="1" t="b">
        <v>0</v>
      </c>
    </row>
    <row r="79" spans="1:11" ht="19" customHeight="1" x14ac:dyDescent="0.3">
      <c r="A79" t="s">
        <v>41</v>
      </c>
      <c r="B79" s="1">
        <v>42</v>
      </c>
      <c r="C79" s="1" t="s">
        <v>187</v>
      </c>
      <c r="D79" s="1">
        <v>21.25</v>
      </c>
      <c r="E79" s="1">
        <v>25</v>
      </c>
      <c r="F79" s="1">
        <v>4.7500000000000001E-2</v>
      </c>
      <c r="G79" s="1">
        <v>5.1249999999999997E-2</v>
      </c>
      <c r="H79" s="1">
        <v>50.111278011336303</v>
      </c>
      <c r="I79" s="1">
        <v>50.111278011336303</v>
      </c>
      <c r="J79" s="1" t="b">
        <v>1</v>
      </c>
      <c r="K79" s="1" t="b">
        <v>0</v>
      </c>
    </row>
    <row r="80" spans="1:11" ht="19" customHeight="1" x14ac:dyDescent="0.3">
      <c r="A80" t="s">
        <v>41</v>
      </c>
      <c r="B80" s="1">
        <v>42</v>
      </c>
      <c r="C80" s="1" t="s">
        <v>186</v>
      </c>
      <c r="D80" s="1">
        <v>17.117888658308161</v>
      </c>
      <c r="E80" s="1">
        <v>25.231068069406909</v>
      </c>
      <c r="F80" s="1">
        <v>3.2380602350089598E-2</v>
      </c>
      <c r="G80" s="1">
        <v>4.3111694015280297E-2</v>
      </c>
      <c r="H80" s="1">
        <v>50.115774346835458</v>
      </c>
      <c r="I80" s="1">
        <v>50.115774346835458</v>
      </c>
      <c r="J80" s="1" t="b">
        <v>1</v>
      </c>
      <c r="K80" s="1" t="b">
        <v>0</v>
      </c>
    </row>
    <row r="81" spans="1:12" ht="19" customHeight="1" x14ac:dyDescent="0.3">
      <c r="A81" t="s">
        <v>41</v>
      </c>
      <c r="B81" s="1">
        <v>42</v>
      </c>
      <c r="C81" s="1" t="s">
        <v>188</v>
      </c>
      <c r="D81" s="1">
        <v>14.40390636650026</v>
      </c>
      <c r="E81" s="1">
        <v>23.238330294537899</v>
      </c>
      <c r="F81" s="1">
        <v>4.1710964570238297E-2</v>
      </c>
      <c r="G81" s="1">
        <v>7.5275419409788602E-2</v>
      </c>
      <c r="H81" s="1">
        <v>50.131452890674737</v>
      </c>
      <c r="I81" s="1">
        <v>50.131452890674737</v>
      </c>
      <c r="J81" s="1" t="b">
        <v>1</v>
      </c>
      <c r="K81" s="1" t="b">
        <v>0</v>
      </c>
    </row>
    <row r="82" spans="1:12" ht="19" customHeight="1" x14ac:dyDescent="0.3">
      <c r="A82" t="s">
        <v>41</v>
      </c>
      <c r="B82" s="1">
        <v>42</v>
      </c>
      <c r="C82" s="1" t="s">
        <v>188</v>
      </c>
      <c r="D82" s="1">
        <v>19.657976801209969</v>
      </c>
      <c r="E82" s="1">
        <v>26.455232265416601</v>
      </c>
      <c r="F82" s="1">
        <v>3.8302425964819899E-2</v>
      </c>
      <c r="G82" s="1">
        <v>5.0225742480314903E-2</v>
      </c>
      <c r="H82" s="1">
        <v>50.146575768285118</v>
      </c>
      <c r="I82" s="1">
        <v>50.146575768285118</v>
      </c>
      <c r="J82" s="1" t="b">
        <v>1</v>
      </c>
      <c r="K82" s="1" t="b">
        <v>0</v>
      </c>
    </row>
    <row r="83" spans="1:12" ht="19" customHeight="1" x14ac:dyDescent="0.3">
      <c r="A83" t="s">
        <v>41</v>
      </c>
      <c r="B83" s="1">
        <v>42</v>
      </c>
      <c r="C83" s="1" t="s">
        <v>187</v>
      </c>
      <c r="D83" s="1">
        <v>21.25</v>
      </c>
      <c r="E83" s="1">
        <v>25</v>
      </c>
      <c r="F83" s="1">
        <v>4.7500000000000001E-2</v>
      </c>
      <c r="G83" s="1">
        <v>7.3749999999999996E-2</v>
      </c>
      <c r="H83" s="1">
        <v>50.189247672824081</v>
      </c>
      <c r="I83" s="1">
        <v>50.189247672824081</v>
      </c>
      <c r="J83" s="1" t="b">
        <v>1</v>
      </c>
      <c r="K83" s="1" t="b">
        <v>0</v>
      </c>
    </row>
    <row r="84" spans="1:12" ht="19" customHeight="1" x14ac:dyDescent="0.3">
      <c r="A84" t="s">
        <v>41</v>
      </c>
      <c r="B84" s="1">
        <v>42</v>
      </c>
      <c r="C84" s="1" t="s">
        <v>187</v>
      </c>
      <c r="D84" s="1">
        <v>13.75</v>
      </c>
      <c r="E84" s="1">
        <v>25</v>
      </c>
      <c r="F84" s="1">
        <v>3.2500000000000001E-2</v>
      </c>
      <c r="G84" s="1">
        <v>5.1249999999999997E-2</v>
      </c>
      <c r="H84" s="1">
        <v>50.201969502742607</v>
      </c>
      <c r="I84" s="1">
        <v>50.201969502742607</v>
      </c>
      <c r="J84" s="1" t="b">
        <v>1</v>
      </c>
      <c r="K84" s="1" t="b">
        <v>0</v>
      </c>
    </row>
    <row r="85" spans="1:12" ht="19" customHeight="1" x14ac:dyDescent="0.3">
      <c r="A85" t="s">
        <v>41</v>
      </c>
      <c r="B85" s="1">
        <v>42</v>
      </c>
      <c r="C85" s="1" t="s">
        <v>186</v>
      </c>
      <c r="D85" s="1">
        <v>18.32238153326113</v>
      </c>
      <c r="E85" s="1">
        <v>26.83760658883827</v>
      </c>
      <c r="F85" s="1">
        <v>3.5922679401655597E-2</v>
      </c>
      <c r="G85" s="1">
        <v>5.1834112727549599E-2</v>
      </c>
      <c r="H85" s="1">
        <v>50.209962491136622</v>
      </c>
      <c r="I85" s="1">
        <v>50.209962491136622</v>
      </c>
      <c r="J85" s="1" t="b">
        <v>1</v>
      </c>
      <c r="K85" s="1" t="b">
        <v>0</v>
      </c>
    </row>
    <row r="86" spans="1:12" ht="19" customHeight="1" x14ac:dyDescent="0.3">
      <c r="A86" t="s">
        <v>41</v>
      </c>
      <c r="B86" s="1">
        <v>42</v>
      </c>
      <c r="C86" s="1" t="s">
        <v>187</v>
      </c>
      <c r="D86" s="1">
        <v>13.75</v>
      </c>
      <c r="E86" s="1">
        <v>25</v>
      </c>
      <c r="F86" s="1">
        <v>3.2500000000000001E-2</v>
      </c>
      <c r="G86" s="1">
        <v>7.3749999999999996E-2</v>
      </c>
      <c r="H86" s="1">
        <v>50.29379779204757</v>
      </c>
      <c r="I86" s="1">
        <v>50.29379779204757</v>
      </c>
      <c r="J86" s="1" t="b">
        <v>1</v>
      </c>
      <c r="K86" s="1" t="b">
        <v>0</v>
      </c>
    </row>
    <row r="87" spans="1:12" ht="19" customHeight="1" x14ac:dyDescent="0.3">
      <c r="A87" t="s">
        <v>41</v>
      </c>
      <c r="B87" s="1">
        <v>42</v>
      </c>
      <c r="C87" s="1" t="s">
        <v>188</v>
      </c>
      <c r="D87" s="1">
        <v>21.371316101280609</v>
      </c>
      <c r="E87" s="1">
        <v>17.090519362597369</v>
      </c>
      <c r="F87" s="1">
        <v>5.4120940731847103E-2</v>
      </c>
      <c r="G87" s="1">
        <v>8.0190450459498894E-2</v>
      </c>
      <c r="H87" s="1">
        <v>50.330030545547373</v>
      </c>
      <c r="I87" s="1">
        <v>50.330030545547373</v>
      </c>
      <c r="J87" s="1" t="b">
        <v>1</v>
      </c>
      <c r="K87" s="1" t="b">
        <v>1</v>
      </c>
    </row>
    <row r="88" spans="1:12" ht="19" customHeight="1" x14ac:dyDescent="0.3">
      <c r="A88" t="s">
        <v>41</v>
      </c>
      <c r="B88" s="1">
        <v>42</v>
      </c>
      <c r="C88" s="1" t="s">
        <v>188</v>
      </c>
      <c r="D88" s="1">
        <v>16.557278783084961</v>
      </c>
      <c r="E88" s="1">
        <v>26.653563921156749</v>
      </c>
      <c r="F88" s="1">
        <v>4.60079530600674E-2</v>
      </c>
      <c r="G88" s="1">
        <v>5.4056498862191799E-2</v>
      </c>
      <c r="H88" s="1">
        <v>50.430917245879712</v>
      </c>
      <c r="I88" s="1">
        <v>50.430917245879712</v>
      </c>
      <c r="J88" s="1" t="b">
        <v>1</v>
      </c>
      <c r="K88" s="1" t="b">
        <v>0</v>
      </c>
    </row>
    <row r="89" spans="1:12" ht="19" customHeight="1" x14ac:dyDescent="0.3">
      <c r="A89" t="s">
        <v>41</v>
      </c>
      <c r="B89" s="1">
        <v>42</v>
      </c>
      <c r="C89" s="1" t="s">
        <v>187</v>
      </c>
      <c r="D89" s="1">
        <v>13.75</v>
      </c>
      <c r="E89" s="1">
        <v>25</v>
      </c>
      <c r="F89" s="1">
        <v>4.7500000000000001E-2</v>
      </c>
      <c r="G89" s="1">
        <v>5.1249999999999997E-2</v>
      </c>
      <c r="H89" s="1">
        <v>50.456615917004022</v>
      </c>
      <c r="I89" s="1">
        <v>50.456615917004022</v>
      </c>
      <c r="J89" s="1" t="b">
        <v>1</v>
      </c>
      <c r="K89" s="1" t="b">
        <v>0</v>
      </c>
    </row>
    <row r="90" spans="1:12" ht="19" customHeight="1" x14ac:dyDescent="0.3">
      <c r="A90" t="s">
        <v>41</v>
      </c>
      <c r="B90" s="1">
        <v>42</v>
      </c>
      <c r="C90" s="1" t="s">
        <v>187</v>
      </c>
      <c r="D90" s="1">
        <v>13.75</v>
      </c>
      <c r="E90" s="1">
        <v>25</v>
      </c>
      <c r="F90" s="1">
        <v>4.7500000000000001E-2</v>
      </c>
      <c r="G90" s="1">
        <v>7.3749999999999996E-2</v>
      </c>
      <c r="H90" s="1">
        <v>50.53901893968915</v>
      </c>
      <c r="I90" s="1">
        <v>50.53901893968915</v>
      </c>
      <c r="J90" s="1" t="b">
        <v>1</v>
      </c>
      <c r="K90" s="1" t="b">
        <v>0</v>
      </c>
    </row>
    <row r="91" spans="1:12" ht="19" customHeight="1" x14ac:dyDescent="0.3">
      <c r="A91" t="s">
        <v>41</v>
      </c>
      <c r="B91" s="1">
        <v>42</v>
      </c>
      <c r="C91" s="1" t="s">
        <v>186</v>
      </c>
      <c r="D91" s="1">
        <v>15.26111208880223</v>
      </c>
      <c r="E91" s="1">
        <v>27.744978578023929</v>
      </c>
      <c r="F91" s="1">
        <v>3.0965921813513299E-2</v>
      </c>
      <c r="G91" s="1">
        <v>7.5930061065703103E-2</v>
      </c>
      <c r="H91" s="1">
        <v>50.600932052965199</v>
      </c>
      <c r="I91" s="1">
        <v>50.600932052965199</v>
      </c>
      <c r="J91" s="1" t="b">
        <v>1</v>
      </c>
      <c r="K91" s="1" t="b">
        <v>0</v>
      </c>
    </row>
    <row r="92" spans="1:12" ht="19" customHeight="1" x14ac:dyDescent="0.3">
      <c r="A92" t="s">
        <v>41</v>
      </c>
      <c r="B92" s="1">
        <v>42</v>
      </c>
      <c r="C92" s="1" t="s">
        <v>186</v>
      </c>
      <c r="D92" s="1">
        <v>11.083767475414779</v>
      </c>
      <c r="E92" s="1">
        <v>24.578152855442479</v>
      </c>
      <c r="F92" s="1">
        <v>2.69839067728153E-2</v>
      </c>
      <c r="G92" s="1">
        <v>7.9155271286002499E-2</v>
      </c>
      <c r="H92" s="1">
        <v>50.607243606572318</v>
      </c>
      <c r="I92" s="1">
        <v>50.607243606572318</v>
      </c>
      <c r="J92" s="1" t="b">
        <v>1</v>
      </c>
      <c r="K92" s="1" t="b">
        <v>0</v>
      </c>
    </row>
    <row r="93" spans="1:12" ht="19" customHeight="1" x14ac:dyDescent="0.3">
      <c r="A93" t="s">
        <v>41</v>
      </c>
      <c r="B93" s="1">
        <v>42</v>
      </c>
      <c r="C93" s="1" t="s">
        <v>188</v>
      </c>
      <c r="D93" s="1">
        <v>12.314342381013221</v>
      </c>
      <c r="E93" s="1">
        <v>23.660979064849091</v>
      </c>
      <c r="F93" s="1">
        <v>4.7342864677234503E-2</v>
      </c>
      <c r="G93" s="1">
        <v>8.3537937959539399E-2</v>
      </c>
      <c r="H93" s="1">
        <v>50.666681064390467</v>
      </c>
      <c r="I93" s="1">
        <v>50.666681064390467</v>
      </c>
      <c r="J93" s="1" t="b">
        <v>1</v>
      </c>
      <c r="K93" s="1" t="b">
        <v>0</v>
      </c>
    </row>
    <row r="94" spans="1:12" ht="19" customHeight="1" x14ac:dyDescent="0.3">
      <c r="A94" t="s">
        <v>41</v>
      </c>
      <c r="B94" s="1">
        <v>42</v>
      </c>
      <c r="C94" s="1" t="s">
        <v>186</v>
      </c>
      <c r="D94" s="1">
        <v>13.5929149757504</v>
      </c>
      <c r="E94" s="1">
        <v>27.368534188034559</v>
      </c>
      <c r="F94" s="1">
        <v>2.6372488640896301E-2</v>
      </c>
      <c r="G94" s="1">
        <v>8.0289991555271598E-2</v>
      </c>
      <c r="H94" s="1">
        <v>50.758607046006347</v>
      </c>
      <c r="I94" s="1">
        <v>50.758607046006347</v>
      </c>
      <c r="J94" s="1" t="b">
        <v>1</v>
      </c>
      <c r="K94" s="1" t="b">
        <v>0</v>
      </c>
    </row>
    <row r="95" spans="1:12" ht="19" customHeight="1" x14ac:dyDescent="0.3">
      <c r="A95" t="s">
        <v>41</v>
      </c>
      <c r="B95" s="1">
        <v>42</v>
      </c>
      <c r="C95" s="1" t="s">
        <v>186</v>
      </c>
      <c r="D95" s="1">
        <v>24.426884959083889</v>
      </c>
      <c r="E95" s="1">
        <v>29.089186289717372</v>
      </c>
      <c r="F95" s="1">
        <v>5.4678882829659797E-2</v>
      </c>
      <c r="G95" s="1">
        <v>4.1683726986804101E-2</v>
      </c>
      <c r="H95" s="1">
        <v>51.080237218927842</v>
      </c>
      <c r="I95" s="1">
        <v>51.080237218927842</v>
      </c>
      <c r="J95" s="1" t="b">
        <v>1</v>
      </c>
      <c r="K95" s="1" t="b">
        <v>0</v>
      </c>
    </row>
    <row r="96" spans="1:12" ht="19" customHeight="1" x14ac:dyDescent="0.3">
      <c r="A96" t="s">
        <v>41</v>
      </c>
      <c r="B96" s="1">
        <v>42</v>
      </c>
      <c r="C96" s="1" t="s">
        <v>188</v>
      </c>
      <c r="D96" s="1">
        <v>10.340681097007909</v>
      </c>
      <c r="E96" s="1">
        <v>11.80095721551284</v>
      </c>
      <c r="F96" s="1">
        <v>4.6670780517893501E-2</v>
      </c>
      <c r="G96" s="1">
        <v>6.0784475361312401E-2</v>
      </c>
      <c r="H96" s="1">
        <v>49.486470513433147</v>
      </c>
      <c r="I96" s="1">
        <v>49.486470513433147</v>
      </c>
      <c r="J96" s="1" t="b">
        <v>0</v>
      </c>
      <c r="K96" s="1" t="b">
        <v>0</v>
      </c>
      <c r="L96" s="1" t="s">
        <v>190</v>
      </c>
    </row>
    <row r="97" spans="1:12" ht="19" customHeight="1" x14ac:dyDescent="0.3">
      <c r="A97" t="s">
        <v>41</v>
      </c>
      <c r="B97" s="1">
        <v>42</v>
      </c>
      <c r="C97" s="1" t="s">
        <v>186</v>
      </c>
      <c r="D97" s="1">
        <v>19.978190287541288</v>
      </c>
      <c r="E97" s="1">
        <v>10.09309737994039</v>
      </c>
      <c r="F97" s="1">
        <v>3.4922771216003498E-2</v>
      </c>
      <c r="G97" s="1">
        <v>5.3729122571669202E-2</v>
      </c>
      <c r="H97" s="1">
        <v>49.572644891545202</v>
      </c>
      <c r="I97" s="1">
        <v>49.572644891545202</v>
      </c>
      <c r="J97" s="1" t="b">
        <v>0</v>
      </c>
      <c r="K97" s="1" t="b">
        <v>0</v>
      </c>
      <c r="L97" s="1" t="s">
        <v>191</v>
      </c>
    </row>
    <row r="98" spans="1:12" ht="19" customHeight="1" x14ac:dyDescent="0.3">
      <c r="A98" t="s">
        <v>41</v>
      </c>
      <c r="B98" s="1">
        <v>42</v>
      </c>
      <c r="C98" s="1" t="s">
        <v>186</v>
      </c>
      <c r="D98" s="1">
        <v>20.37348037401097</v>
      </c>
      <c r="E98" s="1">
        <v>10.783071080901809</v>
      </c>
      <c r="F98" s="1">
        <v>3.4372805435917898E-2</v>
      </c>
      <c r="G98" s="1">
        <v>6.7518116988955601E-2</v>
      </c>
      <c r="H98" s="1">
        <v>49.614930489994173</v>
      </c>
      <c r="I98" s="1">
        <v>49.614930489994173</v>
      </c>
      <c r="J98" s="1" t="b">
        <v>0</v>
      </c>
      <c r="K98" s="1" t="b">
        <v>0</v>
      </c>
      <c r="L98" s="1" t="s">
        <v>191</v>
      </c>
    </row>
    <row r="99" spans="1:12" ht="19" customHeight="1" x14ac:dyDescent="0.3">
      <c r="A99" t="s">
        <v>41</v>
      </c>
      <c r="B99" s="1">
        <v>42</v>
      </c>
      <c r="C99" s="1" t="s">
        <v>186</v>
      </c>
      <c r="D99" s="1">
        <v>23.20796172067368</v>
      </c>
      <c r="E99" s="1">
        <v>11.188392883012391</v>
      </c>
      <c r="F99" s="1">
        <v>5.0496062460270698E-2</v>
      </c>
      <c r="G99" s="1">
        <v>5.2069081956806901E-2</v>
      </c>
      <c r="H99" s="1">
        <v>50.305805297935613</v>
      </c>
      <c r="I99" s="1">
        <v>50.305805297935613</v>
      </c>
      <c r="J99" s="1" t="b">
        <v>0</v>
      </c>
      <c r="K99" s="1" t="b">
        <v>0</v>
      </c>
      <c r="L99" s="1" t="s">
        <v>192</v>
      </c>
    </row>
    <row r="100" spans="1:12" ht="19" customHeight="1" x14ac:dyDescent="0.3">
      <c r="A100" t="s">
        <v>41</v>
      </c>
      <c r="B100" s="1">
        <v>42</v>
      </c>
      <c r="C100" s="1" t="s">
        <v>188</v>
      </c>
      <c r="D100" s="1">
        <v>11.412660218314739</v>
      </c>
      <c r="E100" s="1">
        <v>29.512447032735121</v>
      </c>
      <c r="F100" s="1">
        <v>4.7834191059710499E-2</v>
      </c>
      <c r="G100" s="1">
        <v>7.5372893737462907E-2</v>
      </c>
      <c r="H100" s="1">
        <v>51.344784306660642</v>
      </c>
      <c r="I100" s="1">
        <v>51.344784306660642</v>
      </c>
      <c r="J100" s="1" t="b">
        <v>0</v>
      </c>
      <c r="K100" s="1" t="b">
        <v>0</v>
      </c>
      <c r="L100" s="1" t="s">
        <v>193</v>
      </c>
    </row>
    <row r="101" spans="1:12" ht="19" customHeight="1" x14ac:dyDescent="0.3">
      <c r="A101" t="s">
        <v>42</v>
      </c>
      <c r="B101" s="1">
        <v>42</v>
      </c>
      <c r="C101" s="1" t="s">
        <v>185</v>
      </c>
      <c r="D101" s="1">
        <v>15.62434051064092</v>
      </c>
      <c r="E101" s="1">
        <v>14.45815801919931</v>
      </c>
      <c r="F101" s="1">
        <v>2.9872161578330399E-2</v>
      </c>
      <c r="G101" s="1">
        <v>5.8321284358038197E-2</v>
      </c>
      <c r="H101" s="1">
        <v>38.233458558371389</v>
      </c>
      <c r="I101" s="1">
        <v>38.233458558371389</v>
      </c>
      <c r="J101" s="1" t="b">
        <v>1</v>
      </c>
      <c r="K101" s="1" t="b">
        <v>1</v>
      </c>
    </row>
    <row r="102" spans="1:12" ht="19" customHeight="1" x14ac:dyDescent="0.3">
      <c r="A102" t="s">
        <v>42</v>
      </c>
      <c r="B102" s="1">
        <v>42</v>
      </c>
      <c r="C102" s="1" t="s">
        <v>185</v>
      </c>
      <c r="D102" s="1">
        <v>15.62434051064092</v>
      </c>
      <c r="E102" s="1">
        <v>14.27827106965457</v>
      </c>
      <c r="F102" s="1">
        <v>2.9872161578330399E-2</v>
      </c>
      <c r="G102" s="1">
        <v>5.8321284358038197E-2</v>
      </c>
      <c r="H102" s="1">
        <v>38.23631830216349</v>
      </c>
      <c r="I102" s="1">
        <v>38.23631830216349</v>
      </c>
      <c r="J102" s="1" t="b">
        <v>1</v>
      </c>
      <c r="K102" s="1" t="b">
        <v>1</v>
      </c>
    </row>
    <row r="103" spans="1:12" ht="19" customHeight="1" x14ac:dyDescent="0.3">
      <c r="A103" t="s">
        <v>42</v>
      </c>
      <c r="B103" s="1">
        <v>42</v>
      </c>
      <c r="C103" s="1" t="s">
        <v>185</v>
      </c>
      <c r="D103" s="1">
        <v>15.62434051064092</v>
      </c>
      <c r="E103" s="1">
        <v>14.64803898075632</v>
      </c>
      <c r="F103" s="1">
        <v>2.9872161578330399E-2</v>
      </c>
      <c r="G103" s="1">
        <v>5.8321284358038197E-2</v>
      </c>
      <c r="H103" s="1">
        <v>38.23983798942762</v>
      </c>
      <c r="I103" s="1">
        <v>38.23983798942762</v>
      </c>
      <c r="J103" s="1" t="b">
        <v>1</v>
      </c>
      <c r="K103" s="1" t="b">
        <v>0</v>
      </c>
    </row>
    <row r="104" spans="1:12" ht="19" customHeight="1" x14ac:dyDescent="0.3">
      <c r="A104" t="s">
        <v>42</v>
      </c>
      <c r="B104" s="1">
        <v>42</v>
      </c>
      <c r="C104" s="1" t="s">
        <v>185</v>
      </c>
      <c r="D104" s="1">
        <v>15.62434051064092</v>
      </c>
      <c r="E104" s="1">
        <v>14.721359549995791</v>
      </c>
      <c r="F104" s="1">
        <v>2.9872161578330399E-2</v>
      </c>
      <c r="G104" s="1">
        <v>5.8321284358038197E-2</v>
      </c>
      <c r="H104" s="1">
        <v>38.24274288199814</v>
      </c>
      <c r="I104" s="1">
        <v>38.24274288199814</v>
      </c>
      <c r="J104" s="1" t="b">
        <v>1</v>
      </c>
      <c r="K104" s="1" t="b">
        <v>0</v>
      </c>
    </row>
    <row r="105" spans="1:12" ht="19" customHeight="1" x14ac:dyDescent="0.3">
      <c r="A105" t="s">
        <v>42</v>
      </c>
      <c r="B105" s="1">
        <v>42</v>
      </c>
      <c r="C105" s="1" t="s">
        <v>185</v>
      </c>
      <c r="D105" s="1">
        <v>15.62434051064092</v>
      </c>
      <c r="E105" s="1">
        <v>13.98720787115864</v>
      </c>
      <c r="F105" s="1">
        <v>2.9872161578330399E-2</v>
      </c>
      <c r="G105" s="1">
        <v>5.8321284358038197E-2</v>
      </c>
      <c r="H105" s="1">
        <v>38.256079659474608</v>
      </c>
      <c r="I105" s="1">
        <v>38.256079659474608</v>
      </c>
      <c r="J105" s="1" t="b">
        <v>1</v>
      </c>
      <c r="K105" s="1" t="b">
        <v>1</v>
      </c>
    </row>
    <row r="106" spans="1:12" ht="19" customHeight="1" x14ac:dyDescent="0.3">
      <c r="A106" t="s">
        <v>42</v>
      </c>
      <c r="B106" s="1">
        <v>42</v>
      </c>
      <c r="C106" s="1" t="s">
        <v>185</v>
      </c>
      <c r="D106" s="1">
        <v>15.62434051064092</v>
      </c>
      <c r="E106" s="1">
        <v>15.19424713236843</v>
      </c>
      <c r="F106" s="1">
        <v>2.9872161578330399E-2</v>
      </c>
      <c r="G106" s="1">
        <v>5.8321284358038197E-2</v>
      </c>
      <c r="H106" s="1">
        <v>38.261995612752202</v>
      </c>
      <c r="I106" s="1">
        <v>38.261995612752202</v>
      </c>
      <c r="J106" s="1" t="b">
        <v>1</v>
      </c>
      <c r="K106" s="1" t="b">
        <v>0</v>
      </c>
    </row>
    <row r="107" spans="1:12" ht="19" customHeight="1" x14ac:dyDescent="0.3">
      <c r="A107" t="s">
        <v>42</v>
      </c>
      <c r="B107" s="1">
        <v>42</v>
      </c>
      <c r="C107" s="1" t="s">
        <v>185</v>
      </c>
      <c r="D107" s="1">
        <v>15.62434051064092</v>
      </c>
      <c r="E107" s="1">
        <v>15.6559455395403</v>
      </c>
      <c r="F107" s="1">
        <v>2.9872161578330399E-2</v>
      </c>
      <c r="G107" s="1">
        <v>5.8321284358038197E-2</v>
      </c>
      <c r="H107" s="1">
        <v>38.282508507277853</v>
      </c>
      <c r="I107" s="1">
        <v>38.282508507277853</v>
      </c>
      <c r="J107" s="1" t="b">
        <v>1</v>
      </c>
      <c r="K107" s="1" t="b">
        <v>0</v>
      </c>
    </row>
    <row r="108" spans="1:12" ht="19" customHeight="1" x14ac:dyDescent="0.3">
      <c r="A108" t="s">
        <v>42</v>
      </c>
      <c r="B108" s="1">
        <v>42</v>
      </c>
      <c r="C108" s="1" t="s">
        <v>185</v>
      </c>
      <c r="D108" s="1">
        <v>15.62767384840738</v>
      </c>
      <c r="E108" s="1">
        <v>15.6559455395403</v>
      </c>
      <c r="F108" s="1">
        <v>2.9872161578330399E-2</v>
      </c>
      <c r="G108" s="1">
        <v>5.8321284358038197E-2</v>
      </c>
      <c r="H108" s="1">
        <v>38.282555376612457</v>
      </c>
      <c r="I108" s="1">
        <v>38.282555376612457</v>
      </c>
      <c r="J108" s="1" t="b">
        <v>1</v>
      </c>
      <c r="K108" s="1" t="b">
        <v>0</v>
      </c>
    </row>
    <row r="109" spans="1:12" ht="19" customHeight="1" x14ac:dyDescent="0.3">
      <c r="A109" t="s">
        <v>42</v>
      </c>
      <c r="B109" s="1">
        <v>42</v>
      </c>
      <c r="C109" s="1" t="s">
        <v>185</v>
      </c>
      <c r="D109" s="1">
        <v>15.61799072237009</v>
      </c>
      <c r="E109" s="1">
        <v>15.6559455395403</v>
      </c>
      <c r="F109" s="1">
        <v>2.9872161578330399E-2</v>
      </c>
      <c r="G109" s="1">
        <v>5.8321284358038197E-2</v>
      </c>
      <c r="H109" s="1">
        <v>38.282614716673592</v>
      </c>
      <c r="I109" s="1">
        <v>38.282614716673592</v>
      </c>
      <c r="J109" s="1" t="b">
        <v>1</v>
      </c>
      <c r="K109" s="1" t="b">
        <v>0</v>
      </c>
    </row>
    <row r="110" spans="1:12" ht="19" customHeight="1" x14ac:dyDescent="0.3">
      <c r="A110" t="s">
        <v>42</v>
      </c>
      <c r="B110" s="1">
        <v>42</v>
      </c>
      <c r="C110" s="1" t="s">
        <v>185</v>
      </c>
      <c r="D110" s="1">
        <v>15.634614683884481</v>
      </c>
      <c r="E110" s="1">
        <v>15.6559455395403</v>
      </c>
      <c r="F110" s="1">
        <v>2.9872161578330399E-2</v>
      </c>
      <c r="G110" s="1">
        <v>5.8321284358038197E-2</v>
      </c>
      <c r="H110" s="1">
        <v>38.282653150047899</v>
      </c>
      <c r="I110" s="1">
        <v>38.282653150047899</v>
      </c>
      <c r="J110" s="1" t="b">
        <v>1</v>
      </c>
      <c r="K110" s="1" t="b">
        <v>0</v>
      </c>
    </row>
    <row r="111" spans="1:12" ht="19" customHeight="1" x14ac:dyDescent="0.3">
      <c r="A111" t="s">
        <v>42</v>
      </c>
      <c r="B111" s="1">
        <v>42</v>
      </c>
      <c r="C111" s="1" t="s">
        <v>185</v>
      </c>
      <c r="D111" s="1">
        <v>15.6442940743483</v>
      </c>
      <c r="E111" s="1">
        <v>15.6559455395403</v>
      </c>
      <c r="F111" s="1">
        <v>2.9872161578330399E-2</v>
      </c>
      <c r="G111" s="1">
        <v>5.8321284358038197E-2</v>
      </c>
      <c r="H111" s="1">
        <v>38.28278975236087</v>
      </c>
      <c r="I111" s="1">
        <v>38.28278975236087</v>
      </c>
      <c r="J111" s="1" t="b">
        <v>1</v>
      </c>
      <c r="K111" s="1" t="b">
        <v>0</v>
      </c>
    </row>
    <row r="112" spans="1:12" ht="19" customHeight="1" x14ac:dyDescent="0.3">
      <c r="A112" t="s">
        <v>42</v>
      </c>
      <c r="B112" s="1">
        <v>42</v>
      </c>
      <c r="C112" s="1" t="s">
        <v>185</v>
      </c>
      <c r="D112" s="1">
        <v>15.64762741246016</v>
      </c>
      <c r="E112" s="1">
        <v>15.6559455395403</v>
      </c>
      <c r="F112" s="1">
        <v>2.9872161578330399E-2</v>
      </c>
      <c r="G112" s="1">
        <v>5.8321284358038197E-2</v>
      </c>
      <c r="H112" s="1">
        <v>38.282836788471521</v>
      </c>
      <c r="I112" s="1">
        <v>38.282836788471521</v>
      </c>
      <c r="J112" s="1" t="b">
        <v>1</v>
      </c>
      <c r="K112" s="1" t="b">
        <v>0</v>
      </c>
    </row>
    <row r="113" spans="1:11" ht="19" customHeight="1" x14ac:dyDescent="0.3">
      <c r="A113" t="s">
        <v>42</v>
      </c>
      <c r="B113" s="1">
        <v>42</v>
      </c>
      <c r="C113" s="1" t="s">
        <v>185</v>
      </c>
      <c r="D113" s="1">
        <v>15.607716549126531</v>
      </c>
      <c r="E113" s="1">
        <v>15.6559455395403</v>
      </c>
      <c r="F113" s="1">
        <v>2.9872161578330399E-2</v>
      </c>
      <c r="G113" s="1">
        <v>5.8321284358038197E-2</v>
      </c>
      <c r="H113" s="1">
        <v>38.283181397533113</v>
      </c>
      <c r="I113" s="1">
        <v>38.283181397533113</v>
      </c>
      <c r="J113" s="1" t="b">
        <v>1</v>
      </c>
      <c r="K113" s="1" t="b">
        <v>0</v>
      </c>
    </row>
    <row r="114" spans="1:11" ht="19" customHeight="1" x14ac:dyDescent="0.3">
      <c r="A114" t="s">
        <v>42</v>
      </c>
      <c r="B114" s="1">
        <v>42</v>
      </c>
      <c r="C114" s="1" t="s">
        <v>185</v>
      </c>
      <c r="D114" s="1">
        <v>15.71220454585433</v>
      </c>
      <c r="E114" s="1">
        <v>15.6559455395403</v>
      </c>
      <c r="F114" s="1">
        <v>2.9872161578330399E-2</v>
      </c>
      <c r="G114" s="1">
        <v>5.8321284358038197E-2</v>
      </c>
      <c r="H114" s="1">
        <v>38.283757472994978</v>
      </c>
      <c r="I114" s="1">
        <v>38.283757472994978</v>
      </c>
      <c r="J114" s="1" t="b">
        <v>1</v>
      </c>
      <c r="K114" s="1" t="b">
        <v>0</v>
      </c>
    </row>
    <row r="115" spans="1:11" ht="19" customHeight="1" x14ac:dyDescent="0.3">
      <c r="A115" t="s">
        <v>42</v>
      </c>
      <c r="B115" s="1">
        <v>42</v>
      </c>
      <c r="C115" s="1" t="s">
        <v>185</v>
      </c>
      <c r="D115" s="1">
        <v>15.72949016875158</v>
      </c>
      <c r="E115" s="1">
        <v>15.6559455395403</v>
      </c>
      <c r="F115" s="1">
        <v>2.9872161578330399E-2</v>
      </c>
      <c r="G115" s="1">
        <v>5.8321284358038197E-2</v>
      </c>
      <c r="H115" s="1">
        <v>38.284006479152779</v>
      </c>
      <c r="I115" s="1">
        <v>38.284006479152779</v>
      </c>
      <c r="J115" s="1" t="b">
        <v>1</v>
      </c>
      <c r="K115" s="1" t="b">
        <v>0</v>
      </c>
    </row>
    <row r="116" spans="1:11" ht="19" customHeight="1" x14ac:dyDescent="0.3">
      <c r="A116" t="s">
        <v>42</v>
      </c>
      <c r="B116" s="1">
        <v>42</v>
      </c>
      <c r="C116" s="1" t="s">
        <v>185</v>
      </c>
      <c r="D116" s="1">
        <v>15.84599422444775</v>
      </c>
      <c r="E116" s="1">
        <v>15.6559455395403</v>
      </c>
      <c r="F116" s="1">
        <v>2.9872161578330399E-2</v>
      </c>
      <c r="G116" s="1">
        <v>5.8321284358038197E-2</v>
      </c>
      <c r="H116" s="1">
        <v>38.285712306570943</v>
      </c>
      <c r="I116" s="1">
        <v>38.285712306570943</v>
      </c>
      <c r="J116" s="1" t="b">
        <v>1</v>
      </c>
      <c r="K116" s="1" t="b">
        <v>0</v>
      </c>
    </row>
    <row r="117" spans="1:11" ht="19" customHeight="1" x14ac:dyDescent="0.3">
      <c r="A117" t="s">
        <v>42</v>
      </c>
      <c r="B117" s="1">
        <v>42</v>
      </c>
      <c r="C117" s="1" t="s">
        <v>185</v>
      </c>
      <c r="D117" s="1">
        <v>15.543139415732361</v>
      </c>
      <c r="E117" s="1">
        <v>15.6559455395403</v>
      </c>
      <c r="F117" s="1">
        <v>2.9872161578330399E-2</v>
      </c>
      <c r="G117" s="1">
        <v>5.8321284358038197E-2</v>
      </c>
      <c r="H117" s="1">
        <v>38.28674770531093</v>
      </c>
      <c r="I117" s="1">
        <v>38.28674770531093</v>
      </c>
      <c r="J117" s="1" t="b">
        <v>1</v>
      </c>
      <c r="K117" s="1" t="b">
        <v>0</v>
      </c>
    </row>
    <row r="118" spans="1:11" ht="19" customHeight="1" x14ac:dyDescent="0.3">
      <c r="A118" t="s">
        <v>42</v>
      </c>
      <c r="B118" s="1">
        <v>42</v>
      </c>
      <c r="C118" s="1" t="s">
        <v>185</v>
      </c>
      <c r="D118" s="1">
        <v>16.408478362212421</v>
      </c>
      <c r="E118" s="1">
        <v>15.6559455395403</v>
      </c>
      <c r="F118" s="1">
        <v>2.9872161578330399E-2</v>
      </c>
      <c r="G118" s="1">
        <v>5.8321284358038197E-2</v>
      </c>
      <c r="H118" s="1">
        <v>38.294628461457293</v>
      </c>
      <c r="I118" s="1">
        <v>38.294628461457293</v>
      </c>
      <c r="J118" s="1" t="b">
        <v>1</v>
      </c>
      <c r="K118" s="1" t="b">
        <v>0</v>
      </c>
    </row>
    <row r="119" spans="1:11" ht="19" customHeight="1" x14ac:dyDescent="0.3">
      <c r="A119" t="s">
        <v>42</v>
      </c>
      <c r="B119" s="1">
        <v>42</v>
      </c>
      <c r="C119" s="1" t="s">
        <v>186</v>
      </c>
      <c r="D119" s="1">
        <v>15.325458995305389</v>
      </c>
      <c r="E119" s="1">
        <v>15.6559455395403</v>
      </c>
      <c r="F119" s="1">
        <v>2.9872161578330399E-2</v>
      </c>
      <c r="G119" s="1">
        <v>5.8321284358038197E-2</v>
      </c>
      <c r="H119" s="1">
        <v>38.302703978297231</v>
      </c>
      <c r="I119" s="1">
        <v>38.302703978297231</v>
      </c>
      <c r="J119" s="1" t="b">
        <v>1</v>
      </c>
      <c r="K119" s="1" t="b">
        <v>0</v>
      </c>
    </row>
    <row r="120" spans="1:11" ht="19" customHeight="1" x14ac:dyDescent="0.3">
      <c r="A120" t="s">
        <v>42</v>
      </c>
      <c r="B120" s="1">
        <v>42</v>
      </c>
      <c r="C120" s="1" t="s">
        <v>186</v>
      </c>
      <c r="D120" s="1">
        <v>17.5609858684237</v>
      </c>
      <c r="E120" s="1">
        <v>15.6559455395403</v>
      </c>
      <c r="F120" s="1">
        <v>3.3309896909953902E-2</v>
      </c>
      <c r="G120" s="1">
        <v>5.8321284358038197E-2</v>
      </c>
      <c r="H120" s="1">
        <v>38.32798116563287</v>
      </c>
      <c r="I120" s="1">
        <v>38.32798116563287</v>
      </c>
      <c r="J120" s="1" t="b">
        <v>1</v>
      </c>
      <c r="K120" s="1" t="b">
        <v>0</v>
      </c>
    </row>
    <row r="121" spans="1:11" ht="19" customHeight="1" x14ac:dyDescent="0.3">
      <c r="A121" t="s">
        <v>42</v>
      </c>
      <c r="B121" s="1">
        <v>42</v>
      </c>
      <c r="C121" s="1" t="s">
        <v>185</v>
      </c>
      <c r="D121" s="1">
        <v>15.62434051064092</v>
      </c>
      <c r="E121" s="1">
        <v>12.917960675006309</v>
      </c>
      <c r="F121" s="1">
        <v>2.9872161578330399E-2</v>
      </c>
      <c r="G121" s="1">
        <v>5.8321284358038197E-2</v>
      </c>
      <c r="H121" s="1">
        <v>38.439089662416727</v>
      </c>
      <c r="I121" s="1">
        <v>38.439089662416727</v>
      </c>
      <c r="J121" s="1" t="b">
        <v>1</v>
      </c>
      <c r="K121" s="1" t="b">
        <v>1</v>
      </c>
    </row>
    <row r="122" spans="1:11" ht="19" customHeight="1" x14ac:dyDescent="0.3">
      <c r="A122" t="s">
        <v>42</v>
      </c>
      <c r="B122" s="1">
        <v>42</v>
      </c>
      <c r="C122" s="1" t="s">
        <v>185</v>
      </c>
      <c r="D122" s="1">
        <v>15.62434051064092</v>
      </c>
      <c r="E122" s="1">
        <v>17.639320225002098</v>
      </c>
      <c r="F122" s="1">
        <v>2.9872161578330399E-2</v>
      </c>
      <c r="G122" s="1">
        <v>5.8321284358038197E-2</v>
      </c>
      <c r="H122" s="1">
        <v>38.470649509212642</v>
      </c>
      <c r="I122" s="1">
        <v>38.470649509212642</v>
      </c>
      <c r="J122" s="1" t="b">
        <v>1</v>
      </c>
      <c r="K122" s="1" t="b">
        <v>0</v>
      </c>
    </row>
    <row r="123" spans="1:11" ht="19" customHeight="1" x14ac:dyDescent="0.3">
      <c r="A123" t="s">
        <v>42</v>
      </c>
      <c r="B123" s="1">
        <v>42</v>
      </c>
      <c r="C123" s="1" t="s">
        <v>188</v>
      </c>
      <c r="D123" s="1">
        <v>16.692344133610462</v>
      </c>
      <c r="E123" s="1">
        <v>17.62042452192965</v>
      </c>
      <c r="F123" s="1">
        <v>3.4045362674436197E-2</v>
      </c>
      <c r="G123" s="1">
        <v>6.8362716690349906E-2</v>
      </c>
      <c r="H123" s="1">
        <v>38.480816861747563</v>
      </c>
      <c r="I123" s="1">
        <v>38.480816861747563</v>
      </c>
      <c r="J123" s="1" t="b">
        <v>1</v>
      </c>
      <c r="K123" s="1" t="b">
        <v>0</v>
      </c>
    </row>
    <row r="124" spans="1:11" ht="19" customHeight="1" x14ac:dyDescent="0.3">
      <c r="A124" t="s">
        <v>42</v>
      </c>
      <c r="B124" s="1">
        <v>42</v>
      </c>
      <c r="C124" s="1" t="s">
        <v>185</v>
      </c>
      <c r="D124" s="1">
        <v>19.270509831248422</v>
      </c>
      <c r="E124" s="1">
        <v>15.6559455395403</v>
      </c>
      <c r="F124" s="1">
        <v>2.9872161578330399E-2</v>
      </c>
      <c r="G124" s="1">
        <v>5.8321284358038197E-2</v>
      </c>
      <c r="H124" s="1">
        <v>38.490152022467292</v>
      </c>
      <c r="I124" s="1">
        <v>38.490152022467292</v>
      </c>
      <c r="J124" s="1" t="b">
        <v>1</v>
      </c>
      <c r="K124" s="1" t="b">
        <v>0</v>
      </c>
    </row>
    <row r="125" spans="1:11" ht="19" customHeight="1" x14ac:dyDescent="0.3">
      <c r="A125" t="s">
        <v>42</v>
      </c>
      <c r="B125" s="1">
        <v>42</v>
      </c>
      <c r="C125" s="1" t="s">
        <v>186</v>
      </c>
      <c r="D125" s="1">
        <v>15.36565304043747</v>
      </c>
      <c r="E125" s="1">
        <v>14.4853861892112</v>
      </c>
      <c r="F125" s="1">
        <v>2.91889484971475E-2</v>
      </c>
      <c r="G125" s="1">
        <v>4.7322030405186503E-2</v>
      </c>
      <c r="H125" s="1">
        <v>38.490879510294512</v>
      </c>
      <c r="I125" s="1">
        <v>38.490879510294512</v>
      </c>
      <c r="J125" s="1" t="b">
        <v>1</v>
      </c>
      <c r="K125" s="1" t="b">
        <v>1</v>
      </c>
    </row>
    <row r="126" spans="1:11" ht="19" customHeight="1" x14ac:dyDescent="0.3">
      <c r="A126" t="s">
        <v>42</v>
      </c>
      <c r="B126" s="1">
        <v>42</v>
      </c>
      <c r="C126" s="1" t="s">
        <v>185</v>
      </c>
      <c r="D126" s="1">
        <v>13.54101966249684</v>
      </c>
      <c r="E126" s="1">
        <v>15.6559455395403</v>
      </c>
      <c r="F126" s="1">
        <v>2.9872161578330399E-2</v>
      </c>
      <c r="G126" s="1">
        <v>5.8321284358038197E-2</v>
      </c>
      <c r="H126" s="1">
        <v>38.490981257280801</v>
      </c>
      <c r="I126" s="1">
        <v>38.490981257280801</v>
      </c>
      <c r="J126" s="1" t="b">
        <v>1</v>
      </c>
      <c r="K126" s="1" t="b">
        <v>1</v>
      </c>
    </row>
    <row r="127" spans="1:11" ht="19" customHeight="1" x14ac:dyDescent="0.3">
      <c r="A127" t="s">
        <v>42</v>
      </c>
      <c r="B127" s="1">
        <v>42</v>
      </c>
      <c r="C127" s="1" t="s">
        <v>187</v>
      </c>
      <c r="D127" s="1">
        <v>13.75</v>
      </c>
      <c r="E127" s="1">
        <v>15</v>
      </c>
      <c r="F127" s="1">
        <v>3.2500000000000001E-2</v>
      </c>
      <c r="G127" s="1">
        <v>5.1249999999999997E-2</v>
      </c>
      <c r="H127" s="1">
        <v>38.521634787179742</v>
      </c>
      <c r="I127" s="1">
        <v>38.521634787179742</v>
      </c>
      <c r="J127" s="1" t="b">
        <v>1</v>
      </c>
      <c r="K127" s="1" t="b">
        <v>1</v>
      </c>
    </row>
    <row r="128" spans="1:11" ht="19" customHeight="1" x14ac:dyDescent="0.3">
      <c r="A128" t="s">
        <v>42</v>
      </c>
      <c r="B128" s="1">
        <v>42</v>
      </c>
      <c r="C128" s="1" t="s">
        <v>188</v>
      </c>
      <c r="D128" s="1">
        <v>14.887380372072281</v>
      </c>
      <c r="E128" s="1">
        <v>17.409194120697379</v>
      </c>
      <c r="F128" s="1">
        <v>3.9086674338274202E-2</v>
      </c>
      <c r="G128" s="1">
        <v>4.8526211158792798E-2</v>
      </c>
      <c r="H128" s="1">
        <v>38.526442857023802</v>
      </c>
      <c r="I128" s="1">
        <v>38.526442857023802</v>
      </c>
      <c r="J128" s="1" t="b">
        <v>1</v>
      </c>
      <c r="K128" s="1" t="b">
        <v>0</v>
      </c>
    </row>
    <row r="129" spans="1:11" ht="19" customHeight="1" x14ac:dyDescent="0.3">
      <c r="A129" t="s">
        <v>42</v>
      </c>
      <c r="B129" s="1">
        <v>42</v>
      </c>
      <c r="C129" s="1" t="s">
        <v>186</v>
      </c>
      <c r="D129" s="1">
        <v>14.03522710277457</v>
      </c>
      <c r="E129" s="1">
        <v>11.444993150420251</v>
      </c>
      <c r="F129" s="1">
        <v>4.18105600620148E-2</v>
      </c>
      <c r="G129" s="1">
        <v>5.5092892684263498E-2</v>
      </c>
      <c r="H129" s="1">
        <v>38.559524534501918</v>
      </c>
      <c r="I129" s="1">
        <v>38.559524534501918</v>
      </c>
      <c r="J129" s="1" t="b">
        <v>1</v>
      </c>
      <c r="K129" s="1" t="b">
        <v>1</v>
      </c>
    </row>
    <row r="130" spans="1:11" ht="19" customHeight="1" x14ac:dyDescent="0.3">
      <c r="A130" t="s">
        <v>42</v>
      </c>
      <c r="B130" s="1">
        <v>42</v>
      </c>
      <c r="C130" s="1" t="s">
        <v>186</v>
      </c>
      <c r="D130" s="1">
        <v>16.3060561939708</v>
      </c>
      <c r="E130" s="1">
        <v>18.8080630159</v>
      </c>
      <c r="F130" s="1">
        <v>3.4824978870677099E-2</v>
      </c>
      <c r="G130" s="1">
        <v>6.4728376524520903E-2</v>
      </c>
      <c r="H130" s="1">
        <v>38.582422394310683</v>
      </c>
      <c r="I130" s="1">
        <v>38.582422394310683</v>
      </c>
      <c r="J130" s="1" t="b">
        <v>1</v>
      </c>
      <c r="K130" s="1" t="b">
        <v>0</v>
      </c>
    </row>
    <row r="131" spans="1:11" ht="19" customHeight="1" x14ac:dyDescent="0.3">
      <c r="A131" t="s">
        <v>42</v>
      </c>
      <c r="B131" s="1">
        <v>42</v>
      </c>
      <c r="C131" s="1" t="s">
        <v>187</v>
      </c>
      <c r="D131" s="1">
        <v>13.75</v>
      </c>
      <c r="E131" s="1">
        <v>15</v>
      </c>
      <c r="F131" s="1">
        <v>3.2500000000000001E-2</v>
      </c>
      <c r="G131" s="1">
        <v>7.3749999999999996E-2</v>
      </c>
      <c r="H131" s="1">
        <v>38.584273997893767</v>
      </c>
      <c r="I131" s="1">
        <v>38.584273997893767</v>
      </c>
      <c r="J131" s="1" t="b">
        <v>1</v>
      </c>
      <c r="K131" s="1" t="b">
        <v>0</v>
      </c>
    </row>
    <row r="132" spans="1:11" ht="19" customHeight="1" x14ac:dyDescent="0.3">
      <c r="A132" t="s">
        <v>42</v>
      </c>
      <c r="B132" s="1">
        <v>42</v>
      </c>
      <c r="C132" s="1" t="s">
        <v>186</v>
      </c>
      <c r="D132" s="1">
        <v>20.55510623275002</v>
      </c>
      <c r="E132" s="1">
        <v>13.38509072224506</v>
      </c>
      <c r="F132" s="1">
        <v>3.6624388341546903E-2</v>
      </c>
      <c r="G132" s="1">
        <v>4.8352871459205603E-2</v>
      </c>
      <c r="H132" s="1">
        <v>38.642898329653327</v>
      </c>
      <c r="I132" s="1">
        <v>38.642898329653327</v>
      </c>
      <c r="J132" s="1" t="b">
        <v>1</v>
      </c>
      <c r="K132" s="1" t="b">
        <v>0</v>
      </c>
    </row>
    <row r="133" spans="1:11" ht="19" customHeight="1" x14ac:dyDescent="0.3">
      <c r="A133" t="s">
        <v>42</v>
      </c>
      <c r="B133" s="1">
        <v>42</v>
      </c>
      <c r="C133" s="1" t="s">
        <v>186</v>
      </c>
      <c r="D133" s="1">
        <v>16.89530338525006</v>
      </c>
      <c r="E133" s="1">
        <v>18.839379023642969</v>
      </c>
      <c r="F133" s="1">
        <v>3.7801158776561497E-2</v>
      </c>
      <c r="G133" s="1">
        <v>6.8578439596805305E-2</v>
      </c>
      <c r="H133" s="1">
        <v>38.661980641369453</v>
      </c>
      <c r="I133" s="1">
        <v>38.661980641369453</v>
      </c>
      <c r="J133" s="1" t="b">
        <v>1</v>
      </c>
      <c r="K133" s="1" t="b">
        <v>0</v>
      </c>
    </row>
    <row r="134" spans="1:11" ht="19" customHeight="1" x14ac:dyDescent="0.3">
      <c r="A134" t="s">
        <v>42</v>
      </c>
      <c r="B134" s="1">
        <v>42</v>
      </c>
      <c r="C134" s="1" t="s">
        <v>187</v>
      </c>
      <c r="D134" s="1">
        <v>21.25</v>
      </c>
      <c r="E134" s="1">
        <v>15</v>
      </c>
      <c r="F134" s="1">
        <v>3.2500000000000001E-2</v>
      </c>
      <c r="G134" s="1">
        <v>5.1249999999999997E-2</v>
      </c>
      <c r="H134" s="1">
        <v>38.669429829942402</v>
      </c>
      <c r="I134" s="1">
        <v>38.669429829942402</v>
      </c>
      <c r="J134" s="1" t="b">
        <v>1</v>
      </c>
      <c r="K134" s="1" t="b">
        <v>0</v>
      </c>
    </row>
    <row r="135" spans="1:11" ht="19" customHeight="1" x14ac:dyDescent="0.3">
      <c r="A135" t="s">
        <v>42</v>
      </c>
      <c r="B135" s="1">
        <v>42</v>
      </c>
      <c r="C135" s="1" t="s">
        <v>186</v>
      </c>
      <c r="D135" s="1">
        <v>16.346250239102879</v>
      </c>
      <c r="E135" s="1">
        <v>10.09309737994039</v>
      </c>
      <c r="F135" s="1">
        <v>3.4922771216003498E-2</v>
      </c>
      <c r="G135" s="1">
        <v>5.3729122571669202E-2</v>
      </c>
      <c r="H135" s="1">
        <v>38.674550809781692</v>
      </c>
      <c r="I135" s="1">
        <v>38.674550809781692</v>
      </c>
      <c r="J135" s="1" t="b">
        <v>1</v>
      </c>
      <c r="K135" s="1" t="b">
        <v>1</v>
      </c>
    </row>
    <row r="136" spans="1:11" ht="19" customHeight="1" x14ac:dyDescent="0.3">
      <c r="A136" t="s">
        <v>42</v>
      </c>
      <c r="B136" s="1">
        <v>42</v>
      </c>
      <c r="C136" s="1" t="s">
        <v>186</v>
      </c>
      <c r="D136" s="1">
        <v>19.489410845166979</v>
      </c>
      <c r="E136" s="1">
        <v>14.01542388834784</v>
      </c>
      <c r="F136" s="1">
        <v>4.3814478477091003E-2</v>
      </c>
      <c r="G136" s="1">
        <v>7.0682463630846501E-2</v>
      </c>
      <c r="H136" s="1">
        <v>38.694177139700379</v>
      </c>
      <c r="I136" s="1">
        <v>38.694177139700379</v>
      </c>
      <c r="J136" s="1" t="b">
        <v>1</v>
      </c>
      <c r="K136" s="1" t="b">
        <v>0</v>
      </c>
    </row>
    <row r="137" spans="1:11" ht="19" customHeight="1" x14ac:dyDescent="0.3">
      <c r="A137" t="s">
        <v>42</v>
      </c>
      <c r="B137" s="1">
        <v>42</v>
      </c>
      <c r="C137" s="1" t="s">
        <v>186</v>
      </c>
      <c r="D137" s="1">
        <v>13.668363122246401</v>
      </c>
      <c r="E137" s="1">
        <v>17.02810430971104</v>
      </c>
      <c r="F137" s="1">
        <v>2.8788595926804599E-2</v>
      </c>
      <c r="G137" s="1">
        <v>7.2400191309562503E-2</v>
      </c>
      <c r="H137" s="1">
        <v>38.702891761303988</v>
      </c>
      <c r="I137" s="1">
        <v>38.702891761303988</v>
      </c>
      <c r="J137" s="1" t="b">
        <v>1</v>
      </c>
      <c r="K137" s="1" t="b">
        <v>0</v>
      </c>
    </row>
    <row r="138" spans="1:11" ht="19" customHeight="1" x14ac:dyDescent="0.3">
      <c r="A138" t="s">
        <v>42</v>
      </c>
      <c r="B138" s="1">
        <v>42</v>
      </c>
      <c r="C138" s="1" t="s">
        <v>189</v>
      </c>
      <c r="D138" s="1">
        <v>17.5</v>
      </c>
      <c r="E138" s="1">
        <v>20</v>
      </c>
      <c r="F138" s="1">
        <v>0.04</v>
      </c>
      <c r="G138" s="1">
        <v>0.06</v>
      </c>
      <c r="H138" s="1">
        <v>38.703266664516811</v>
      </c>
      <c r="I138" s="1">
        <v>38.703266664516811</v>
      </c>
      <c r="J138" s="1" t="b">
        <v>1</v>
      </c>
      <c r="K138" s="1" t="b">
        <v>0</v>
      </c>
    </row>
    <row r="139" spans="1:11" ht="19" customHeight="1" x14ac:dyDescent="0.3">
      <c r="A139" t="s">
        <v>42</v>
      </c>
      <c r="B139" s="1">
        <v>42</v>
      </c>
      <c r="C139" s="1" t="s">
        <v>186</v>
      </c>
      <c r="D139" s="1">
        <v>14.712932765196459</v>
      </c>
      <c r="E139" s="1">
        <v>18.399571678340092</v>
      </c>
      <c r="F139" s="1">
        <v>2.6290551495338401E-2</v>
      </c>
      <c r="G139" s="1">
        <v>5.43191191305245E-2</v>
      </c>
      <c r="H139" s="1">
        <v>38.714361040404377</v>
      </c>
      <c r="I139" s="1">
        <v>38.714361040404377</v>
      </c>
      <c r="J139" s="1" t="b">
        <v>1</v>
      </c>
      <c r="K139" s="1" t="b">
        <v>0</v>
      </c>
    </row>
    <row r="140" spans="1:11" ht="19" customHeight="1" x14ac:dyDescent="0.3">
      <c r="A140" t="s">
        <v>42</v>
      </c>
      <c r="B140" s="1">
        <v>42</v>
      </c>
      <c r="C140" s="1" t="s">
        <v>186</v>
      </c>
      <c r="D140" s="1">
        <v>11.03931757901138</v>
      </c>
      <c r="E140" s="1">
        <v>14.971773459235511</v>
      </c>
      <c r="F140" s="1">
        <v>3.8967940543973803E-2</v>
      </c>
      <c r="G140" s="1">
        <v>5.9358222278147701E-2</v>
      </c>
      <c r="H140" s="1">
        <v>38.715811232321521</v>
      </c>
      <c r="I140" s="1">
        <v>38.715811232321521</v>
      </c>
      <c r="J140" s="1" t="b">
        <v>1</v>
      </c>
      <c r="K140" s="1" t="b">
        <v>0</v>
      </c>
    </row>
    <row r="141" spans="1:11" ht="19" customHeight="1" x14ac:dyDescent="0.3">
      <c r="A141" t="s">
        <v>42</v>
      </c>
      <c r="B141" s="1">
        <v>42</v>
      </c>
      <c r="C141" s="1" t="s">
        <v>186</v>
      </c>
      <c r="D141" s="1">
        <v>18.723075408600039</v>
      </c>
      <c r="E141" s="1">
        <v>16.424367325815052</v>
      </c>
      <c r="F141" s="1">
        <v>4.6209458267667598E-2</v>
      </c>
      <c r="G141" s="1">
        <v>4.5248620409992002E-2</v>
      </c>
      <c r="H141" s="1">
        <v>38.717841997034803</v>
      </c>
      <c r="I141" s="1">
        <v>38.717841997034803</v>
      </c>
      <c r="J141" s="1" t="b">
        <v>1</v>
      </c>
      <c r="K141" s="1" t="b">
        <v>0</v>
      </c>
    </row>
    <row r="142" spans="1:11" ht="19" customHeight="1" x14ac:dyDescent="0.3">
      <c r="A142" t="s">
        <v>42</v>
      </c>
      <c r="B142" s="1">
        <v>42</v>
      </c>
      <c r="C142" s="1" t="s">
        <v>186</v>
      </c>
      <c r="D142" s="1">
        <v>13.785877490931769</v>
      </c>
      <c r="E142" s="1">
        <v>15.69545089200696</v>
      </c>
      <c r="F142" s="1">
        <v>4.7735383313930999E-2</v>
      </c>
      <c r="G142" s="1">
        <v>5.4989795415198099E-2</v>
      </c>
      <c r="H142" s="1">
        <v>38.740359272612302</v>
      </c>
      <c r="I142" s="1">
        <v>38.740359272612302</v>
      </c>
      <c r="J142" s="1" t="b">
        <v>1</v>
      </c>
      <c r="K142" s="1" t="b">
        <v>1</v>
      </c>
    </row>
    <row r="143" spans="1:11" ht="19" customHeight="1" x14ac:dyDescent="0.3">
      <c r="A143" t="s">
        <v>42</v>
      </c>
      <c r="B143" s="1">
        <v>42</v>
      </c>
      <c r="C143" s="1" t="s">
        <v>187</v>
      </c>
      <c r="D143" s="1">
        <v>13.75</v>
      </c>
      <c r="E143" s="1">
        <v>15</v>
      </c>
      <c r="F143" s="1">
        <v>4.7500000000000001E-2</v>
      </c>
      <c r="G143" s="1">
        <v>5.1249999999999997E-2</v>
      </c>
      <c r="H143" s="1">
        <v>38.743737709273162</v>
      </c>
      <c r="I143" s="1">
        <v>38.743737709273162</v>
      </c>
      <c r="J143" s="1" t="b">
        <v>1</v>
      </c>
      <c r="K143" s="1" t="b">
        <v>1</v>
      </c>
    </row>
    <row r="144" spans="1:11" ht="19" customHeight="1" x14ac:dyDescent="0.3">
      <c r="A144" t="s">
        <v>42</v>
      </c>
      <c r="B144" s="1">
        <v>42</v>
      </c>
      <c r="C144" s="1" t="s">
        <v>187</v>
      </c>
      <c r="D144" s="1">
        <v>21.25</v>
      </c>
      <c r="E144" s="1">
        <v>15</v>
      </c>
      <c r="F144" s="1">
        <v>3.2500000000000001E-2</v>
      </c>
      <c r="G144" s="1">
        <v>7.3749999999999996E-2</v>
      </c>
      <c r="H144" s="1">
        <v>38.769327117246327</v>
      </c>
      <c r="I144" s="1">
        <v>38.769327117246327</v>
      </c>
      <c r="J144" s="1" t="b">
        <v>1</v>
      </c>
      <c r="K144" s="1" t="b">
        <v>0</v>
      </c>
    </row>
    <row r="145" spans="1:11" ht="19" customHeight="1" x14ac:dyDescent="0.3">
      <c r="A145" t="s">
        <v>42</v>
      </c>
      <c r="B145" s="1">
        <v>42</v>
      </c>
      <c r="C145" s="1" t="s">
        <v>186</v>
      </c>
      <c r="D145" s="1">
        <v>15.552380503831669</v>
      </c>
      <c r="E145" s="1">
        <v>18.51915239612984</v>
      </c>
      <c r="F145" s="1">
        <v>4.9317971177058502E-2</v>
      </c>
      <c r="G145" s="1">
        <v>6.4773617541577497E-2</v>
      </c>
      <c r="H145" s="1">
        <v>38.774255542977301</v>
      </c>
      <c r="I145" s="1">
        <v>38.774255542977301</v>
      </c>
      <c r="J145" s="1" t="b">
        <v>1</v>
      </c>
      <c r="K145" s="1" t="b">
        <v>0</v>
      </c>
    </row>
    <row r="146" spans="1:11" ht="19" customHeight="1" x14ac:dyDescent="0.3">
      <c r="A146" t="s">
        <v>42</v>
      </c>
      <c r="B146" s="1">
        <v>42</v>
      </c>
      <c r="C146" s="1" t="s">
        <v>188</v>
      </c>
      <c r="D146" s="1">
        <v>19.520774800008869</v>
      </c>
      <c r="E146" s="1">
        <v>21.071588013159921</v>
      </c>
      <c r="F146" s="1">
        <v>4.1776214822362399E-2</v>
      </c>
      <c r="G146" s="1">
        <v>5.3677754412817497E-2</v>
      </c>
      <c r="H146" s="1">
        <v>38.810702101759297</v>
      </c>
      <c r="I146" s="1">
        <v>38.810702101759297</v>
      </c>
      <c r="J146" s="1" t="b">
        <v>1</v>
      </c>
      <c r="K146" s="1" t="b">
        <v>0</v>
      </c>
    </row>
    <row r="147" spans="1:11" ht="19" customHeight="1" x14ac:dyDescent="0.3">
      <c r="A147" t="s">
        <v>42</v>
      </c>
      <c r="B147" s="1">
        <v>42</v>
      </c>
      <c r="C147" s="1" t="s">
        <v>187</v>
      </c>
      <c r="D147" s="1">
        <v>13.75</v>
      </c>
      <c r="E147" s="1">
        <v>15</v>
      </c>
      <c r="F147" s="1">
        <v>4.7500000000000001E-2</v>
      </c>
      <c r="G147" s="1">
        <v>7.3749999999999996E-2</v>
      </c>
      <c r="H147" s="1">
        <v>38.816246330965797</v>
      </c>
      <c r="I147" s="1">
        <v>38.816246330965797</v>
      </c>
      <c r="J147" s="1" t="b">
        <v>1</v>
      </c>
      <c r="K147" s="1" t="b">
        <v>1</v>
      </c>
    </row>
    <row r="148" spans="1:11" ht="19" customHeight="1" x14ac:dyDescent="0.3">
      <c r="A148" t="s">
        <v>42</v>
      </c>
      <c r="B148" s="1">
        <v>42</v>
      </c>
      <c r="C148" s="1" t="s">
        <v>188</v>
      </c>
      <c r="D148" s="1">
        <v>20.02604442685708</v>
      </c>
      <c r="E148" s="1">
        <v>19.421924122862649</v>
      </c>
      <c r="F148" s="1">
        <v>4.1957083194435599E-2</v>
      </c>
      <c r="G148" s="1">
        <v>7.4424948583721104E-2</v>
      </c>
      <c r="H148" s="1">
        <v>38.829664274846593</v>
      </c>
      <c r="I148" s="1">
        <v>38.829664274846593</v>
      </c>
      <c r="J148" s="1" t="b">
        <v>1</v>
      </c>
      <c r="K148" s="1" t="b">
        <v>0</v>
      </c>
    </row>
    <row r="149" spans="1:11" ht="19" customHeight="1" x14ac:dyDescent="0.3">
      <c r="A149" t="s">
        <v>42</v>
      </c>
      <c r="B149" s="1">
        <v>42</v>
      </c>
      <c r="C149" s="1" t="s">
        <v>188</v>
      </c>
      <c r="D149" s="1">
        <v>21.67575245610643</v>
      </c>
      <c r="E149" s="1">
        <v>13.89277415703935</v>
      </c>
      <c r="F149" s="1">
        <v>3.9001630111811E-2</v>
      </c>
      <c r="G149" s="1">
        <v>4.1971169460425298E-2</v>
      </c>
      <c r="H149" s="1">
        <v>38.875739030282929</v>
      </c>
      <c r="I149" s="1">
        <v>38.875739030282929</v>
      </c>
      <c r="J149" s="1" t="b">
        <v>1</v>
      </c>
      <c r="K149" s="1" t="b">
        <v>0</v>
      </c>
    </row>
    <row r="150" spans="1:11" ht="19" customHeight="1" x14ac:dyDescent="0.3">
      <c r="A150" t="s">
        <v>42</v>
      </c>
      <c r="B150" s="1">
        <v>42</v>
      </c>
      <c r="C150" s="1" t="s">
        <v>188</v>
      </c>
      <c r="D150" s="1">
        <v>22.801046099022489</v>
      </c>
      <c r="E150" s="1">
        <v>14.67878971730682</v>
      </c>
      <c r="F150" s="1">
        <v>2.67490822506719E-2</v>
      </c>
      <c r="G150" s="1">
        <v>5.2662275140989798E-2</v>
      </c>
      <c r="H150" s="1">
        <v>38.88501912619558</v>
      </c>
      <c r="I150" s="1">
        <v>38.88501912619558</v>
      </c>
      <c r="J150" s="1" t="b">
        <v>1</v>
      </c>
      <c r="K150" s="1" t="b">
        <v>0</v>
      </c>
    </row>
    <row r="151" spans="1:11" ht="19" customHeight="1" x14ac:dyDescent="0.3">
      <c r="A151" t="s">
        <v>42</v>
      </c>
      <c r="B151" s="1">
        <v>42</v>
      </c>
      <c r="C151" s="1" t="s">
        <v>187</v>
      </c>
      <c r="D151" s="1">
        <v>21.25</v>
      </c>
      <c r="E151" s="1">
        <v>15</v>
      </c>
      <c r="F151" s="1">
        <v>4.7500000000000001E-2</v>
      </c>
      <c r="G151" s="1">
        <v>5.1249999999999997E-2</v>
      </c>
      <c r="H151" s="1">
        <v>38.914024985157461</v>
      </c>
      <c r="I151" s="1">
        <v>38.914024985157461</v>
      </c>
      <c r="J151" s="1" t="b">
        <v>1</v>
      </c>
      <c r="K151" s="1" t="b">
        <v>0</v>
      </c>
    </row>
    <row r="152" spans="1:11" ht="19" customHeight="1" x14ac:dyDescent="0.3">
      <c r="A152" t="s">
        <v>42</v>
      </c>
      <c r="B152" s="1">
        <v>42</v>
      </c>
      <c r="C152" s="1" t="s">
        <v>188</v>
      </c>
      <c r="D152" s="1">
        <v>16.883736633075099</v>
      </c>
      <c r="E152" s="1">
        <v>21.374823919057871</v>
      </c>
      <c r="F152" s="1">
        <v>2.9193909943829699E-2</v>
      </c>
      <c r="G152" s="1">
        <v>4.5153853309118801E-2</v>
      </c>
      <c r="H152" s="1">
        <v>38.956972353607497</v>
      </c>
      <c r="I152" s="1">
        <v>38.956972353607497</v>
      </c>
      <c r="J152" s="1" t="b">
        <v>1</v>
      </c>
      <c r="K152" s="1" t="b">
        <v>0</v>
      </c>
    </row>
    <row r="153" spans="1:11" ht="19" customHeight="1" x14ac:dyDescent="0.3">
      <c r="A153" t="s">
        <v>42</v>
      </c>
      <c r="B153" s="1">
        <v>42</v>
      </c>
      <c r="C153" s="1" t="s">
        <v>188</v>
      </c>
      <c r="D153" s="1">
        <v>19.964703104910811</v>
      </c>
      <c r="E153" s="1">
        <v>18.127737228801411</v>
      </c>
      <c r="F153" s="1">
        <v>4.9420611539981001E-2</v>
      </c>
      <c r="G153" s="1">
        <v>4.7513781395846597E-2</v>
      </c>
      <c r="H153" s="1">
        <v>38.957132487063653</v>
      </c>
      <c r="I153" s="1">
        <v>38.957132487063653</v>
      </c>
      <c r="J153" s="1" t="b">
        <v>1</v>
      </c>
      <c r="K153" s="1" t="b">
        <v>0</v>
      </c>
    </row>
    <row r="154" spans="1:11" ht="19" customHeight="1" x14ac:dyDescent="0.3">
      <c r="A154" t="s">
        <v>42</v>
      </c>
      <c r="B154" s="1">
        <v>42</v>
      </c>
      <c r="C154" s="1" t="s">
        <v>188</v>
      </c>
      <c r="D154" s="1">
        <v>11.948822580032081</v>
      </c>
      <c r="E154" s="1">
        <v>19.51409852451868</v>
      </c>
      <c r="F154" s="1">
        <v>3.1807280471526499E-2</v>
      </c>
      <c r="G154" s="1">
        <v>7.0141629760712906E-2</v>
      </c>
      <c r="H154" s="1">
        <v>38.963073336148902</v>
      </c>
      <c r="I154" s="1">
        <v>38.963073336148902</v>
      </c>
      <c r="J154" s="1" t="b">
        <v>1</v>
      </c>
      <c r="K154" s="1" t="b">
        <v>0</v>
      </c>
    </row>
    <row r="155" spans="1:11" ht="19" customHeight="1" x14ac:dyDescent="0.3">
      <c r="A155" t="s">
        <v>42</v>
      </c>
      <c r="B155" s="1">
        <v>42</v>
      </c>
      <c r="C155" s="1" t="s">
        <v>186</v>
      </c>
      <c r="D155" s="1">
        <v>11.764080244300789</v>
      </c>
      <c r="E155" s="1">
        <v>15.77211923587733</v>
      </c>
      <c r="F155" s="1">
        <v>2.6040472817813801E-2</v>
      </c>
      <c r="G155" s="1">
        <v>5.15809296329078E-2</v>
      </c>
      <c r="H155" s="1">
        <v>38.965954019882417</v>
      </c>
      <c r="I155" s="1">
        <v>38.965954019882417</v>
      </c>
      <c r="J155" s="1" t="b">
        <v>1</v>
      </c>
      <c r="K155" s="1" t="b">
        <v>1</v>
      </c>
    </row>
    <row r="156" spans="1:11" ht="19" customHeight="1" x14ac:dyDescent="0.3">
      <c r="A156" t="s">
        <v>42</v>
      </c>
      <c r="B156" s="1">
        <v>42</v>
      </c>
      <c r="C156" s="1" t="s">
        <v>186</v>
      </c>
      <c r="D156" s="1">
        <v>21.76254088688432</v>
      </c>
      <c r="E156" s="1">
        <v>23.11897113763909</v>
      </c>
      <c r="F156" s="1">
        <v>3.9264146597315197E-2</v>
      </c>
      <c r="G156" s="1">
        <v>6.6550428888642599E-2</v>
      </c>
      <c r="H156" s="1">
        <v>38.987255201809411</v>
      </c>
      <c r="I156" s="1">
        <v>38.987255201809411</v>
      </c>
      <c r="J156" s="1" t="b">
        <v>1</v>
      </c>
      <c r="K156" s="1" t="b">
        <v>0</v>
      </c>
    </row>
    <row r="157" spans="1:11" ht="19" customHeight="1" x14ac:dyDescent="0.3">
      <c r="A157" t="s">
        <v>42</v>
      </c>
      <c r="B157" s="1">
        <v>42</v>
      </c>
      <c r="C157" s="1" t="s">
        <v>187</v>
      </c>
      <c r="D157" s="1">
        <v>21.25</v>
      </c>
      <c r="E157" s="1">
        <v>15</v>
      </c>
      <c r="F157" s="1">
        <v>4.7500000000000001E-2</v>
      </c>
      <c r="G157" s="1">
        <v>7.3749999999999996E-2</v>
      </c>
      <c r="H157" s="1">
        <v>38.999784388863567</v>
      </c>
      <c r="I157" s="1">
        <v>38.999784388863567</v>
      </c>
      <c r="J157" s="1" t="b">
        <v>1</v>
      </c>
      <c r="K157" s="1" t="b">
        <v>0</v>
      </c>
    </row>
    <row r="158" spans="1:11" ht="19" customHeight="1" x14ac:dyDescent="0.3">
      <c r="A158" t="s">
        <v>42</v>
      </c>
      <c r="B158" s="1">
        <v>42</v>
      </c>
      <c r="C158" s="1" t="s">
        <v>188</v>
      </c>
      <c r="D158" s="1">
        <v>20.23743255962464</v>
      </c>
      <c r="E158" s="1">
        <v>12.795049672186201</v>
      </c>
      <c r="F158" s="1">
        <v>3.09972460742532E-2</v>
      </c>
      <c r="G158" s="1">
        <v>4.0331302138795197E-2</v>
      </c>
      <c r="H158" s="1">
        <v>39.011424827528792</v>
      </c>
      <c r="I158" s="1">
        <v>39.011424827528792</v>
      </c>
      <c r="J158" s="1" t="b">
        <v>1</v>
      </c>
      <c r="K158" s="1" t="b">
        <v>0</v>
      </c>
    </row>
    <row r="159" spans="1:11" ht="19" customHeight="1" x14ac:dyDescent="0.3">
      <c r="A159" t="s">
        <v>42</v>
      </c>
      <c r="B159" s="1">
        <v>42</v>
      </c>
      <c r="C159" s="1" t="s">
        <v>185</v>
      </c>
      <c r="D159" s="1">
        <v>15.62434051064092</v>
      </c>
      <c r="E159" s="1">
        <v>22.360679774997891</v>
      </c>
      <c r="F159" s="1">
        <v>2.9872161578330399E-2</v>
      </c>
      <c r="G159" s="1">
        <v>5.8321284358038197E-2</v>
      </c>
      <c r="H159" s="1">
        <v>39.016297362123858</v>
      </c>
      <c r="I159" s="1">
        <v>39.016297362123858</v>
      </c>
      <c r="J159" s="1" t="b">
        <v>1</v>
      </c>
      <c r="K159" s="1" t="b">
        <v>0</v>
      </c>
    </row>
    <row r="160" spans="1:11" ht="19" customHeight="1" x14ac:dyDescent="0.3">
      <c r="A160" t="s">
        <v>42</v>
      </c>
      <c r="B160" s="1">
        <v>42</v>
      </c>
      <c r="C160" s="1" t="s">
        <v>188</v>
      </c>
      <c r="D160" s="1">
        <v>12.419076685504031</v>
      </c>
      <c r="E160" s="1">
        <v>20.020895502067269</v>
      </c>
      <c r="F160" s="1">
        <v>2.9569363081395E-2</v>
      </c>
      <c r="G160" s="1">
        <v>7.1334416878498105E-2</v>
      </c>
      <c r="H160" s="1">
        <v>39.0167983571531</v>
      </c>
      <c r="I160" s="1">
        <v>39.0167983571531</v>
      </c>
      <c r="J160" s="1" t="b">
        <v>1</v>
      </c>
      <c r="K160" s="1" t="b">
        <v>0</v>
      </c>
    </row>
    <row r="161" spans="1:11" ht="19" customHeight="1" x14ac:dyDescent="0.3">
      <c r="A161" t="s">
        <v>42</v>
      </c>
      <c r="B161" s="1">
        <v>42</v>
      </c>
      <c r="C161" s="1" t="s">
        <v>188</v>
      </c>
      <c r="D161" s="1">
        <v>10.46226751851909</v>
      </c>
      <c r="E161" s="1">
        <v>18.734347784647252</v>
      </c>
      <c r="F161" s="1">
        <v>3.1437540184585798E-2</v>
      </c>
      <c r="G161" s="1">
        <v>5.8383788967608603E-2</v>
      </c>
      <c r="H161" s="1">
        <v>39.054125529120753</v>
      </c>
      <c r="I161" s="1">
        <v>39.054125529120753</v>
      </c>
      <c r="J161" s="1" t="b">
        <v>1</v>
      </c>
      <c r="K161" s="1" t="b">
        <v>0</v>
      </c>
    </row>
    <row r="162" spans="1:11" ht="19" customHeight="1" x14ac:dyDescent="0.3">
      <c r="A162" t="s">
        <v>42</v>
      </c>
      <c r="B162" s="1">
        <v>42</v>
      </c>
      <c r="C162" s="1" t="s">
        <v>186</v>
      </c>
      <c r="D162" s="1">
        <v>16.05256561020347</v>
      </c>
      <c r="E162" s="1">
        <v>21.186106921566669</v>
      </c>
      <c r="F162" s="1">
        <v>3.4922771216003498E-2</v>
      </c>
      <c r="G162" s="1">
        <v>8.3190868731325696E-2</v>
      </c>
      <c r="H162" s="1">
        <v>39.086214762194373</v>
      </c>
      <c r="I162" s="1">
        <v>39.086214762194373</v>
      </c>
      <c r="J162" s="1" t="b">
        <v>1</v>
      </c>
      <c r="K162" s="1" t="b">
        <v>0</v>
      </c>
    </row>
    <row r="163" spans="1:11" ht="19" customHeight="1" x14ac:dyDescent="0.3">
      <c r="A163" t="s">
        <v>42</v>
      </c>
      <c r="B163" s="1">
        <v>42</v>
      </c>
      <c r="C163" s="1" t="s">
        <v>188</v>
      </c>
      <c r="D163" s="1">
        <v>21.609340728339451</v>
      </c>
      <c r="E163" s="1">
        <v>18.777568795041049</v>
      </c>
      <c r="F163" s="1">
        <v>5.0757937597341402E-2</v>
      </c>
      <c r="G163" s="1">
        <v>7.1381561307671301E-2</v>
      </c>
      <c r="H163" s="1">
        <v>39.174130979701019</v>
      </c>
      <c r="I163" s="1">
        <v>39.174130979701019</v>
      </c>
      <c r="J163" s="1" t="b">
        <v>1</v>
      </c>
      <c r="K163" s="1" t="b">
        <v>0</v>
      </c>
    </row>
    <row r="164" spans="1:11" ht="19" customHeight="1" x14ac:dyDescent="0.3">
      <c r="A164" t="s">
        <v>42</v>
      </c>
      <c r="B164" s="1">
        <v>42</v>
      </c>
      <c r="C164" s="1" t="s">
        <v>186</v>
      </c>
      <c r="D164" s="1">
        <v>23.068280257716431</v>
      </c>
      <c r="E164" s="1">
        <v>18.481469951741271</v>
      </c>
      <c r="F164" s="1">
        <v>4.9317971177058502E-2</v>
      </c>
      <c r="G164" s="1">
        <v>6.4773617541577497E-2</v>
      </c>
      <c r="H164" s="1">
        <v>39.194741900648943</v>
      </c>
      <c r="I164" s="1">
        <v>39.194741900648943</v>
      </c>
      <c r="J164" s="1" t="b">
        <v>1</v>
      </c>
      <c r="K164" s="1" t="b">
        <v>0</v>
      </c>
    </row>
    <row r="165" spans="1:11" ht="19" customHeight="1" x14ac:dyDescent="0.3">
      <c r="A165" t="s">
        <v>42</v>
      </c>
      <c r="B165" s="1">
        <v>42</v>
      </c>
      <c r="C165" s="1" t="s">
        <v>188</v>
      </c>
      <c r="D165" s="1">
        <v>21.803865662532079</v>
      </c>
      <c r="E165" s="1">
        <v>23.29701713184064</v>
      </c>
      <c r="F165" s="1">
        <v>4.6154961358789999E-2</v>
      </c>
      <c r="G165" s="1">
        <v>7.5132806395988502E-2</v>
      </c>
      <c r="H165" s="1">
        <v>39.213043327785549</v>
      </c>
      <c r="I165" s="1">
        <v>39.213043327785549</v>
      </c>
      <c r="J165" s="1" t="b">
        <v>1</v>
      </c>
      <c r="K165" s="1" t="b">
        <v>0</v>
      </c>
    </row>
    <row r="166" spans="1:11" ht="19" customHeight="1" x14ac:dyDescent="0.3">
      <c r="A166" t="s">
        <v>42</v>
      </c>
      <c r="B166" s="1">
        <v>42</v>
      </c>
      <c r="C166" s="1" t="s">
        <v>188</v>
      </c>
      <c r="D166" s="1">
        <v>11.921704490133189</v>
      </c>
      <c r="E166" s="1">
        <v>19.007718757911341</v>
      </c>
      <c r="F166" s="1">
        <v>3.6123940726977402E-2</v>
      </c>
      <c r="G166" s="1">
        <v>8.1704424498187003E-2</v>
      </c>
      <c r="H166" s="1">
        <v>39.213569824744212</v>
      </c>
      <c r="I166" s="1">
        <v>39.213569824744212</v>
      </c>
      <c r="J166" s="1" t="b">
        <v>1</v>
      </c>
      <c r="K166" s="1" t="b">
        <v>0</v>
      </c>
    </row>
    <row r="167" spans="1:11" ht="19" customHeight="1" x14ac:dyDescent="0.3">
      <c r="A167" t="s">
        <v>42</v>
      </c>
      <c r="B167" s="1">
        <v>42</v>
      </c>
      <c r="C167" s="1" t="s">
        <v>187</v>
      </c>
      <c r="D167" s="1">
        <v>21.25</v>
      </c>
      <c r="E167" s="1">
        <v>25</v>
      </c>
      <c r="F167" s="1">
        <v>3.2500000000000001E-2</v>
      </c>
      <c r="G167" s="1">
        <v>5.1249999999999997E-2</v>
      </c>
      <c r="H167" s="1">
        <v>39.217535001771303</v>
      </c>
      <c r="I167" s="1">
        <v>39.217535001771303</v>
      </c>
      <c r="J167" s="1" t="b">
        <v>1</v>
      </c>
      <c r="K167" s="1" t="b">
        <v>0</v>
      </c>
    </row>
    <row r="168" spans="1:11" ht="19" customHeight="1" x14ac:dyDescent="0.3">
      <c r="A168" t="s">
        <v>42</v>
      </c>
      <c r="B168" s="1">
        <v>42</v>
      </c>
      <c r="C168" s="1" t="s">
        <v>186</v>
      </c>
      <c r="D168" s="1">
        <v>17.830379016396691</v>
      </c>
      <c r="E168" s="1">
        <v>14.42214181524502</v>
      </c>
      <c r="F168" s="1">
        <v>5.4678882829659797E-2</v>
      </c>
      <c r="G168" s="1">
        <v>5.2655432575005198E-2</v>
      </c>
      <c r="H168" s="1">
        <v>39.228576873359764</v>
      </c>
      <c r="I168" s="1">
        <v>39.228576873359764</v>
      </c>
      <c r="J168" s="1" t="b">
        <v>1</v>
      </c>
      <c r="K168" s="1" t="b">
        <v>1</v>
      </c>
    </row>
    <row r="169" spans="1:11" ht="19" customHeight="1" x14ac:dyDescent="0.3">
      <c r="A169" t="s">
        <v>42</v>
      </c>
      <c r="B169" s="1">
        <v>42</v>
      </c>
      <c r="C169" s="1" t="s">
        <v>188</v>
      </c>
      <c r="D169" s="1">
        <v>18.318771805237521</v>
      </c>
      <c r="E169" s="1">
        <v>11.27634512208351</v>
      </c>
      <c r="F169" s="1">
        <v>4.9828935159777397E-2</v>
      </c>
      <c r="G169" s="1">
        <v>6.8424897960492906E-2</v>
      </c>
      <c r="H169" s="1">
        <v>39.236343336719401</v>
      </c>
      <c r="I169" s="1">
        <v>39.236343336719401</v>
      </c>
      <c r="J169" s="1" t="b">
        <v>1</v>
      </c>
      <c r="K169" s="1" t="b">
        <v>1</v>
      </c>
    </row>
    <row r="170" spans="1:11" ht="19" customHeight="1" x14ac:dyDescent="0.3">
      <c r="A170" t="s">
        <v>42</v>
      </c>
      <c r="B170" s="1">
        <v>42</v>
      </c>
      <c r="C170" s="1" t="s">
        <v>187</v>
      </c>
      <c r="D170" s="1">
        <v>21.25</v>
      </c>
      <c r="E170" s="1">
        <v>25</v>
      </c>
      <c r="F170" s="1">
        <v>3.2500000000000001E-2</v>
      </c>
      <c r="G170" s="1">
        <v>7.3749999999999996E-2</v>
      </c>
      <c r="H170" s="1">
        <v>39.281426296960213</v>
      </c>
      <c r="I170" s="1">
        <v>39.281426296960213</v>
      </c>
      <c r="J170" s="1" t="b">
        <v>1</v>
      </c>
      <c r="K170" s="1" t="b">
        <v>0</v>
      </c>
    </row>
    <row r="171" spans="1:11" ht="19" customHeight="1" x14ac:dyDescent="0.3">
      <c r="A171" t="s">
        <v>42</v>
      </c>
      <c r="B171" s="1">
        <v>42</v>
      </c>
      <c r="C171" s="1" t="s">
        <v>188</v>
      </c>
      <c r="D171" s="1">
        <v>14.40390636650026</v>
      </c>
      <c r="E171" s="1">
        <v>23.238330294537899</v>
      </c>
      <c r="F171" s="1">
        <v>4.1710964570238297E-2</v>
      </c>
      <c r="G171" s="1">
        <v>7.5275419409788602E-2</v>
      </c>
      <c r="H171" s="1">
        <v>39.313787005275849</v>
      </c>
      <c r="I171" s="1">
        <v>39.313787005275849</v>
      </c>
      <c r="J171" s="1" t="b">
        <v>1</v>
      </c>
      <c r="K171" s="1" t="b">
        <v>0</v>
      </c>
    </row>
    <row r="172" spans="1:11" ht="19" customHeight="1" x14ac:dyDescent="0.3">
      <c r="A172" t="s">
        <v>42</v>
      </c>
      <c r="B172" s="1">
        <v>42</v>
      </c>
      <c r="C172" s="1" t="s">
        <v>188</v>
      </c>
      <c r="D172" s="1">
        <v>21.371316101280609</v>
      </c>
      <c r="E172" s="1">
        <v>17.090519362597369</v>
      </c>
      <c r="F172" s="1">
        <v>5.4120940731847103E-2</v>
      </c>
      <c r="G172" s="1">
        <v>8.0190450459498894E-2</v>
      </c>
      <c r="H172" s="1">
        <v>39.357123458760711</v>
      </c>
      <c r="I172" s="1">
        <v>39.357123458760711</v>
      </c>
      <c r="J172" s="1" t="b">
        <v>1</v>
      </c>
      <c r="K172" s="1" t="b">
        <v>0</v>
      </c>
    </row>
    <row r="173" spans="1:11" ht="19" customHeight="1" x14ac:dyDescent="0.3">
      <c r="A173" t="s">
        <v>42</v>
      </c>
      <c r="B173" s="1">
        <v>42</v>
      </c>
      <c r="C173" s="1" t="s">
        <v>186</v>
      </c>
      <c r="D173" s="1">
        <v>17.117888658308161</v>
      </c>
      <c r="E173" s="1">
        <v>25.231068069406909</v>
      </c>
      <c r="F173" s="1">
        <v>4.3157936924710198E-2</v>
      </c>
      <c r="G173" s="1">
        <v>6.0167099097870498E-2</v>
      </c>
      <c r="H173" s="1">
        <v>39.385089099512093</v>
      </c>
      <c r="I173" s="1">
        <v>39.385089099512093</v>
      </c>
      <c r="J173" s="1" t="b">
        <v>1</v>
      </c>
      <c r="K173" s="1" t="b">
        <v>0</v>
      </c>
    </row>
    <row r="174" spans="1:11" ht="19" customHeight="1" x14ac:dyDescent="0.3">
      <c r="A174" t="s">
        <v>42</v>
      </c>
      <c r="B174" s="1">
        <v>42</v>
      </c>
      <c r="C174" s="1" t="s">
        <v>188</v>
      </c>
      <c r="D174" s="1">
        <v>22.483897020928019</v>
      </c>
      <c r="E174" s="1">
        <v>26.095287149936041</v>
      </c>
      <c r="F174" s="1">
        <v>3.6624351370905202E-2</v>
      </c>
      <c r="G174" s="1">
        <v>5.2974764676860901E-2</v>
      </c>
      <c r="H174" s="1">
        <v>39.385437049696577</v>
      </c>
      <c r="I174" s="1">
        <v>39.385437049696577</v>
      </c>
      <c r="J174" s="1" t="b">
        <v>1</v>
      </c>
      <c r="K174" s="1" t="b">
        <v>0</v>
      </c>
    </row>
    <row r="175" spans="1:11" ht="19" customHeight="1" x14ac:dyDescent="0.3">
      <c r="A175" t="s">
        <v>42</v>
      </c>
      <c r="B175" s="1">
        <v>42</v>
      </c>
      <c r="C175" s="1" t="s">
        <v>187</v>
      </c>
      <c r="D175" s="1">
        <v>21.25</v>
      </c>
      <c r="E175" s="1">
        <v>25</v>
      </c>
      <c r="F175" s="1">
        <v>4.7500000000000001E-2</v>
      </c>
      <c r="G175" s="1">
        <v>5.1249999999999997E-2</v>
      </c>
      <c r="H175" s="1">
        <v>39.398488355266039</v>
      </c>
      <c r="I175" s="1">
        <v>39.398488355266039</v>
      </c>
      <c r="J175" s="1" t="b">
        <v>1</v>
      </c>
      <c r="K175" s="1" t="b">
        <v>0</v>
      </c>
    </row>
    <row r="176" spans="1:11" ht="19" customHeight="1" x14ac:dyDescent="0.3">
      <c r="A176" t="s">
        <v>42</v>
      </c>
      <c r="B176" s="1">
        <v>42</v>
      </c>
      <c r="C176" s="1" t="s">
        <v>187</v>
      </c>
      <c r="D176" s="1">
        <v>13.75</v>
      </c>
      <c r="E176" s="1">
        <v>25</v>
      </c>
      <c r="F176" s="1">
        <v>3.2500000000000001E-2</v>
      </c>
      <c r="G176" s="1">
        <v>5.1249999999999997E-2</v>
      </c>
      <c r="H176" s="1">
        <v>39.414163755620557</v>
      </c>
      <c r="I176" s="1">
        <v>39.414163755620557</v>
      </c>
      <c r="J176" s="1" t="b">
        <v>1</v>
      </c>
      <c r="K176" s="1" t="b">
        <v>0</v>
      </c>
    </row>
    <row r="177" spans="1:11" ht="19" customHeight="1" x14ac:dyDescent="0.3">
      <c r="A177" t="s">
        <v>42</v>
      </c>
      <c r="B177" s="1">
        <v>42</v>
      </c>
      <c r="C177" s="1" t="s">
        <v>188</v>
      </c>
      <c r="D177" s="1">
        <v>19.657976801209969</v>
      </c>
      <c r="E177" s="1">
        <v>26.455232265416601</v>
      </c>
      <c r="F177" s="1">
        <v>3.8302425964819899E-2</v>
      </c>
      <c r="G177" s="1">
        <v>5.0225742480314903E-2</v>
      </c>
      <c r="H177" s="1">
        <v>39.438984404751537</v>
      </c>
      <c r="I177" s="1">
        <v>39.438984404751537</v>
      </c>
      <c r="J177" s="1" t="b">
        <v>1</v>
      </c>
      <c r="K177" s="1" t="b">
        <v>0</v>
      </c>
    </row>
    <row r="178" spans="1:11" ht="19" customHeight="1" x14ac:dyDescent="0.3">
      <c r="A178" t="s">
        <v>42</v>
      </c>
      <c r="B178" s="1">
        <v>42</v>
      </c>
      <c r="C178" s="1" t="s">
        <v>186</v>
      </c>
      <c r="D178" s="1">
        <v>10.3511313614194</v>
      </c>
      <c r="E178" s="1">
        <v>21.372090142507979</v>
      </c>
      <c r="F178" s="1">
        <v>2.8788595926804599E-2</v>
      </c>
      <c r="G178" s="1">
        <v>7.2400191309562503E-2</v>
      </c>
      <c r="H178" s="1">
        <v>39.443819851964712</v>
      </c>
      <c r="I178" s="1">
        <v>39.443819851964712</v>
      </c>
      <c r="J178" s="1" t="b">
        <v>1</v>
      </c>
      <c r="K178" s="1" t="b">
        <v>0</v>
      </c>
    </row>
    <row r="179" spans="1:11" ht="19" customHeight="1" x14ac:dyDescent="0.3">
      <c r="A179" t="s">
        <v>42</v>
      </c>
      <c r="B179" s="1">
        <v>42</v>
      </c>
      <c r="C179" s="1" t="s">
        <v>186</v>
      </c>
      <c r="D179" s="1">
        <v>17.117888658308161</v>
      </c>
      <c r="E179" s="1">
        <v>25.231068069406909</v>
      </c>
      <c r="F179" s="1">
        <v>2.67954990006322E-2</v>
      </c>
      <c r="G179" s="1">
        <v>4.3111694015280297E-2</v>
      </c>
      <c r="H179" s="1">
        <v>39.44815969040129</v>
      </c>
      <c r="I179" s="1">
        <v>39.44815969040129</v>
      </c>
      <c r="J179" s="1" t="b">
        <v>1</v>
      </c>
      <c r="K179" s="1" t="b">
        <v>0</v>
      </c>
    </row>
    <row r="180" spans="1:11" ht="19" customHeight="1" x14ac:dyDescent="0.3">
      <c r="A180" t="s">
        <v>42</v>
      </c>
      <c r="B180" s="1">
        <v>42</v>
      </c>
      <c r="C180" s="1" t="s">
        <v>186</v>
      </c>
      <c r="D180" s="1">
        <v>12.43854532350926</v>
      </c>
      <c r="E180" s="1">
        <v>18.8080630159</v>
      </c>
      <c r="F180" s="1">
        <v>5.1334801166707203E-2</v>
      </c>
      <c r="G180" s="1">
        <v>4.8953325183962698E-2</v>
      </c>
      <c r="H180" s="1">
        <v>39.457541846587027</v>
      </c>
      <c r="I180" s="1">
        <v>39.457541846587027</v>
      </c>
      <c r="J180" s="1" t="b">
        <v>1</v>
      </c>
      <c r="K180" s="1" t="b">
        <v>1</v>
      </c>
    </row>
    <row r="181" spans="1:11" ht="19" customHeight="1" x14ac:dyDescent="0.3">
      <c r="A181" t="s">
        <v>42</v>
      </c>
      <c r="B181" s="1">
        <v>42</v>
      </c>
      <c r="C181" s="1" t="s">
        <v>187</v>
      </c>
      <c r="D181" s="1">
        <v>13.75</v>
      </c>
      <c r="E181" s="1">
        <v>25</v>
      </c>
      <c r="F181" s="1">
        <v>3.2500000000000001E-2</v>
      </c>
      <c r="G181" s="1">
        <v>7.3749999999999996E-2</v>
      </c>
      <c r="H181" s="1">
        <v>39.48653461895065</v>
      </c>
      <c r="I181" s="1">
        <v>39.48653461895065</v>
      </c>
      <c r="J181" s="1" t="b">
        <v>1</v>
      </c>
      <c r="K181" s="1" t="b">
        <v>0</v>
      </c>
    </row>
    <row r="182" spans="1:11" ht="19" customHeight="1" x14ac:dyDescent="0.3">
      <c r="A182" t="s">
        <v>42</v>
      </c>
      <c r="B182" s="1">
        <v>42</v>
      </c>
      <c r="C182" s="1" t="s">
        <v>187</v>
      </c>
      <c r="D182" s="1">
        <v>21.25</v>
      </c>
      <c r="E182" s="1">
        <v>25</v>
      </c>
      <c r="F182" s="1">
        <v>4.7500000000000001E-2</v>
      </c>
      <c r="G182" s="1">
        <v>7.3749999999999996E-2</v>
      </c>
      <c r="H182" s="1">
        <v>39.500017332607356</v>
      </c>
      <c r="I182" s="1">
        <v>39.500017332607356</v>
      </c>
      <c r="J182" s="1" t="b">
        <v>1</v>
      </c>
      <c r="K182" s="1" t="b">
        <v>0</v>
      </c>
    </row>
    <row r="183" spans="1:11" ht="19" customHeight="1" x14ac:dyDescent="0.3">
      <c r="A183" t="s">
        <v>42</v>
      </c>
      <c r="B183" s="1">
        <v>42</v>
      </c>
      <c r="C183" s="1" t="s">
        <v>186</v>
      </c>
      <c r="D183" s="1">
        <v>16.086854660142819</v>
      </c>
      <c r="E183" s="1">
        <v>26.83760658883827</v>
      </c>
      <c r="F183" s="1">
        <v>3.24849440700321E-2</v>
      </c>
      <c r="G183" s="1">
        <v>5.1834112727549599E-2</v>
      </c>
      <c r="H183" s="1">
        <v>39.575569367754632</v>
      </c>
      <c r="I183" s="1">
        <v>39.575569367754632</v>
      </c>
      <c r="J183" s="1" t="b">
        <v>1</v>
      </c>
      <c r="K183" s="1" t="b">
        <v>0</v>
      </c>
    </row>
    <row r="184" spans="1:11" ht="19" customHeight="1" x14ac:dyDescent="0.3">
      <c r="A184" t="s">
        <v>42</v>
      </c>
      <c r="B184" s="1">
        <v>42</v>
      </c>
      <c r="C184" s="1" t="s">
        <v>186</v>
      </c>
      <c r="D184" s="1">
        <v>23.20796172067368</v>
      </c>
      <c r="E184" s="1">
        <v>26.840461500239631</v>
      </c>
      <c r="F184" s="1">
        <v>3.0831401019846098E-2</v>
      </c>
      <c r="G184" s="1">
        <v>7.2716035153502598E-2</v>
      </c>
      <c r="H184" s="1">
        <v>39.577280754274952</v>
      </c>
      <c r="I184" s="1">
        <v>39.577280754274952</v>
      </c>
      <c r="J184" s="1" t="b">
        <v>1</v>
      </c>
      <c r="K184" s="1" t="b">
        <v>0</v>
      </c>
    </row>
    <row r="185" spans="1:11" ht="19" customHeight="1" x14ac:dyDescent="0.3">
      <c r="A185" t="s">
        <v>42</v>
      </c>
      <c r="B185" s="1">
        <v>42</v>
      </c>
      <c r="C185" s="1" t="s">
        <v>187</v>
      </c>
      <c r="D185" s="1">
        <v>13.75</v>
      </c>
      <c r="E185" s="1">
        <v>25</v>
      </c>
      <c r="F185" s="1">
        <v>4.7500000000000001E-2</v>
      </c>
      <c r="G185" s="1">
        <v>5.1249999999999997E-2</v>
      </c>
      <c r="H185" s="1">
        <v>39.606000742512343</v>
      </c>
      <c r="I185" s="1">
        <v>39.606000742512343</v>
      </c>
      <c r="J185" s="1" t="b">
        <v>1</v>
      </c>
      <c r="K185" s="1" t="b">
        <v>0</v>
      </c>
    </row>
    <row r="186" spans="1:11" ht="19" customHeight="1" x14ac:dyDescent="0.3">
      <c r="A186" t="s">
        <v>42</v>
      </c>
      <c r="B186" s="1">
        <v>42</v>
      </c>
      <c r="C186" s="1" t="s">
        <v>187</v>
      </c>
      <c r="D186" s="1">
        <v>13.75</v>
      </c>
      <c r="E186" s="1">
        <v>25</v>
      </c>
      <c r="F186" s="1">
        <v>4.7500000000000001E-2</v>
      </c>
      <c r="G186" s="1">
        <v>7.3749999999999996E-2</v>
      </c>
      <c r="H186" s="1">
        <v>39.67032275502433</v>
      </c>
      <c r="I186" s="1">
        <v>39.67032275502433</v>
      </c>
      <c r="J186" s="1" t="b">
        <v>1</v>
      </c>
      <c r="K186" s="1" t="b">
        <v>0</v>
      </c>
    </row>
    <row r="187" spans="1:11" ht="19" customHeight="1" x14ac:dyDescent="0.3">
      <c r="A187" t="s">
        <v>42</v>
      </c>
      <c r="B187" s="1">
        <v>42</v>
      </c>
      <c r="C187" s="1" t="s">
        <v>188</v>
      </c>
      <c r="D187" s="1">
        <v>16.557278783084961</v>
      </c>
      <c r="E187" s="1">
        <v>26.653563921156749</v>
      </c>
      <c r="F187" s="1">
        <v>4.60079530600674E-2</v>
      </c>
      <c r="G187" s="1">
        <v>5.4056498862191799E-2</v>
      </c>
      <c r="H187" s="1">
        <v>39.677319371925492</v>
      </c>
      <c r="I187" s="1">
        <v>39.677319371925492</v>
      </c>
      <c r="J187" s="1" t="b">
        <v>1</v>
      </c>
      <c r="K187" s="1" t="b">
        <v>0</v>
      </c>
    </row>
    <row r="188" spans="1:11" ht="19" customHeight="1" x14ac:dyDescent="0.3">
      <c r="A188" t="s">
        <v>42</v>
      </c>
      <c r="B188" s="1">
        <v>42</v>
      </c>
      <c r="C188" s="1" t="s">
        <v>186</v>
      </c>
      <c r="D188" s="1">
        <v>11.083767475414779</v>
      </c>
      <c r="E188" s="1">
        <v>24.578152855442479</v>
      </c>
      <c r="F188" s="1">
        <v>2.69839067728153E-2</v>
      </c>
      <c r="G188" s="1">
        <v>7.9155271286002499E-2</v>
      </c>
      <c r="H188" s="1">
        <v>39.841914459938572</v>
      </c>
      <c r="I188" s="1">
        <v>39.841914459938572</v>
      </c>
      <c r="J188" s="1" t="b">
        <v>1</v>
      </c>
      <c r="K188" s="1" t="b">
        <v>0</v>
      </c>
    </row>
    <row r="189" spans="1:11" ht="19" customHeight="1" x14ac:dyDescent="0.3">
      <c r="A189" t="s">
        <v>42</v>
      </c>
      <c r="B189" s="1">
        <v>42</v>
      </c>
      <c r="C189" s="1" t="s">
        <v>186</v>
      </c>
      <c r="D189" s="1">
        <v>15.26111208880223</v>
      </c>
      <c r="E189" s="1">
        <v>27.744978578023929</v>
      </c>
      <c r="F189" s="1">
        <v>3.0965921813513299E-2</v>
      </c>
      <c r="G189" s="1">
        <v>7.5930061065703103E-2</v>
      </c>
      <c r="H189" s="1">
        <v>39.861724507518574</v>
      </c>
      <c r="I189" s="1">
        <v>39.861724507518574</v>
      </c>
      <c r="J189" s="1" t="b">
        <v>1</v>
      </c>
      <c r="K189" s="1" t="b">
        <v>0</v>
      </c>
    </row>
    <row r="190" spans="1:11" ht="19" customHeight="1" x14ac:dyDescent="0.3">
      <c r="A190" t="s">
        <v>42</v>
      </c>
      <c r="B190" s="1">
        <v>42</v>
      </c>
      <c r="C190" s="1" t="s">
        <v>188</v>
      </c>
      <c r="D190" s="1">
        <v>12.314342381013221</v>
      </c>
      <c r="E190" s="1">
        <v>23.660979064849091</v>
      </c>
      <c r="F190" s="1">
        <v>4.7342864677234503E-2</v>
      </c>
      <c r="G190" s="1">
        <v>8.3537937959539399E-2</v>
      </c>
      <c r="H190" s="1">
        <v>39.893242499670613</v>
      </c>
      <c r="I190" s="1">
        <v>39.893242499670613</v>
      </c>
      <c r="J190" s="1" t="b">
        <v>1</v>
      </c>
      <c r="K190" s="1" t="b">
        <v>1</v>
      </c>
    </row>
    <row r="191" spans="1:11" ht="19" customHeight="1" x14ac:dyDescent="0.3">
      <c r="A191" t="s">
        <v>42</v>
      </c>
      <c r="B191" s="1">
        <v>42</v>
      </c>
      <c r="C191" s="1" t="s">
        <v>186</v>
      </c>
      <c r="D191" s="1">
        <v>13.5929149757504</v>
      </c>
      <c r="E191" s="1">
        <v>27.368534188034559</v>
      </c>
      <c r="F191" s="1">
        <v>2.6372488640896301E-2</v>
      </c>
      <c r="G191" s="1">
        <v>8.0289991555271598E-2</v>
      </c>
      <c r="H191" s="1">
        <v>39.900516265647369</v>
      </c>
      <c r="I191" s="1">
        <v>39.900516265647369</v>
      </c>
      <c r="J191" s="1" t="b">
        <v>1</v>
      </c>
      <c r="K191" s="1" t="b">
        <v>0</v>
      </c>
    </row>
    <row r="192" spans="1:11" ht="19" customHeight="1" x14ac:dyDescent="0.3">
      <c r="A192" t="s">
        <v>42</v>
      </c>
      <c r="B192" s="1">
        <v>42</v>
      </c>
      <c r="C192" s="1" t="s">
        <v>186</v>
      </c>
      <c r="D192" s="1">
        <v>24.426884959083889</v>
      </c>
      <c r="E192" s="1">
        <v>29.089186289717372</v>
      </c>
      <c r="F192" s="1">
        <v>5.4678882829659797E-2</v>
      </c>
      <c r="G192" s="1">
        <v>4.1683726986804101E-2</v>
      </c>
      <c r="H192" s="1">
        <v>40.388520794959021</v>
      </c>
      <c r="I192" s="1">
        <v>40.388520794959021</v>
      </c>
      <c r="J192" s="1" t="b">
        <v>1</v>
      </c>
      <c r="K192" s="1" t="b">
        <v>1</v>
      </c>
    </row>
    <row r="193" spans="1:12" ht="19" customHeight="1" x14ac:dyDescent="0.3">
      <c r="A193" t="s">
        <v>42</v>
      </c>
      <c r="B193" s="1">
        <v>42</v>
      </c>
      <c r="C193" s="1" t="s">
        <v>188</v>
      </c>
      <c r="D193" s="1">
        <v>10.340681097007909</v>
      </c>
      <c r="E193" s="1">
        <v>11.80095721551284</v>
      </c>
      <c r="F193" s="1">
        <v>4.6670780517893501E-2</v>
      </c>
      <c r="G193" s="1">
        <v>6.0784475361312401E-2</v>
      </c>
      <c r="H193" s="1">
        <v>39.051661292232652</v>
      </c>
      <c r="I193" s="1">
        <v>39.051661292232652</v>
      </c>
      <c r="J193" s="1" t="b">
        <v>0</v>
      </c>
      <c r="K193" s="1" t="b">
        <v>0</v>
      </c>
      <c r="L193" s="1" t="s">
        <v>190</v>
      </c>
    </row>
    <row r="194" spans="1:12" ht="19" customHeight="1" x14ac:dyDescent="0.3">
      <c r="A194" t="s">
        <v>42</v>
      </c>
      <c r="B194" s="1">
        <v>42</v>
      </c>
      <c r="C194" s="1" t="s">
        <v>186</v>
      </c>
      <c r="D194" s="1">
        <v>23.20796172067368</v>
      </c>
      <c r="E194" s="1">
        <v>11.188392883012391</v>
      </c>
      <c r="F194" s="1">
        <v>5.0496062460270698E-2</v>
      </c>
      <c r="G194" s="1">
        <v>5.2069081956806901E-2</v>
      </c>
      <c r="H194" s="1">
        <v>39.563496241522827</v>
      </c>
      <c r="I194" s="1">
        <v>39.563496241522827</v>
      </c>
      <c r="J194" s="1" t="b">
        <v>0</v>
      </c>
      <c r="K194" s="1" t="b">
        <v>0</v>
      </c>
      <c r="L194" s="1" t="s">
        <v>192</v>
      </c>
    </row>
    <row r="195" spans="1:12" ht="19" customHeight="1" x14ac:dyDescent="0.3">
      <c r="A195" t="s">
        <v>42</v>
      </c>
      <c r="B195" s="1">
        <v>42</v>
      </c>
      <c r="C195" s="1" t="s">
        <v>188</v>
      </c>
      <c r="D195" s="1">
        <v>11.412660218314739</v>
      </c>
      <c r="E195" s="1">
        <v>29.512447032735121</v>
      </c>
      <c r="F195" s="1">
        <v>4.7834191059710499E-2</v>
      </c>
      <c r="G195" s="1">
        <v>7.5372893737462907E-2</v>
      </c>
      <c r="H195" s="1">
        <v>40.360127798313698</v>
      </c>
      <c r="I195" s="1">
        <v>40.360127798313698</v>
      </c>
      <c r="J195" s="1" t="b">
        <v>0</v>
      </c>
      <c r="K195" s="1" t="b">
        <v>0</v>
      </c>
      <c r="L195" s="1" t="s">
        <v>193</v>
      </c>
    </row>
    <row r="196" spans="1:12" ht="19" customHeight="1" x14ac:dyDescent="0.3">
      <c r="A196" t="s">
        <v>42</v>
      </c>
      <c r="B196" s="1">
        <v>43</v>
      </c>
      <c r="C196" s="1" t="s">
        <v>185</v>
      </c>
      <c r="D196" s="1">
        <v>14.99998569932527</v>
      </c>
      <c r="E196" s="1">
        <v>14.053510557975709</v>
      </c>
      <c r="F196" s="1">
        <v>3.6404687593182099E-2</v>
      </c>
      <c r="G196" s="1">
        <v>7.1519381981903205E-2</v>
      </c>
      <c r="H196" s="1">
        <v>38.275940253239483</v>
      </c>
      <c r="I196" s="1">
        <v>38.275940253239483</v>
      </c>
      <c r="J196" s="1" t="b">
        <v>1</v>
      </c>
      <c r="K196" s="1" t="b">
        <v>1</v>
      </c>
    </row>
    <row r="197" spans="1:12" ht="19" customHeight="1" x14ac:dyDescent="0.3">
      <c r="A197" t="s">
        <v>42</v>
      </c>
      <c r="B197" s="1">
        <v>43</v>
      </c>
      <c r="C197" s="1" t="s">
        <v>185</v>
      </c>
      <c r="D197" s="1">
        <v>14.99998569932527</v>
      </c>
      <c r="E197" s="1">
        <v>13.619769098602371</v>
      </c>
      <c r="F197" s="1">
        <v>3.6404687593182099E-2</v>
      </c>
      <c r="G197" s="1">
        <v>7.1519381981903205E-2</v>
      </c>
      <c r="H197" s="1">
        <v>38.280876699962853</v>
      </c>
      <c r="I197" s="1">
        <v>38.280876699962853</v>
      </c>
      <c r="J197" s="1" t="b">
        <v>1</v>
      </c>
      <c r="K197" s="1" t="b">
        <v>1</v>
      </c>
    </row>
    <row r="198" spans="1:12" ht="19" customHeight="1" x14ac:dyDescent="0.3">
      <c r="A198" t="s">
        <v>42</v>
      </c>
      <c r="B198" s="1">
        <v>43</v>
      </c>
      <c r="C198" s="1" t="s">
        <v>185</v>
      </c>
      <c r="D198" s="1">
        <v>14.99998569932527</v>
      </c>
      <c r="E198" s="1">
        <v>14.269094380681089</v>
      </c>
      <c r="F198" s="1">
        <v>3.6404687593182099E-2</v>
      </c>
      <c r="G198" s="1">
        <v>7.1519381981903205E-2</v>
      </c>
      <c r="H198" s="1">
        <v>38.28324776740422</v>
      </c>
      <c r="I198" s="1">
        <v>38.28324776740422</v>
      </c>
      <c r="J198" s="1" t="b">
        <v>1</v>
      </c>
      <c r="K198" s="1" t="b">
        <v>0</v>
      </c>
    </row>
    <row r="199" spans="1:12" ht="19" customHeight="1" x14ac:dyDescent="0.3">
      <c r="A199" t="s">
        <v>42</v>
      </c>
      <c r="B199" s="1">
        <v>43</v>
      </c>
      <c r="C199" s="1" t="s">
        <v>185</v>
      </c>
      <c r="D199" s="1">
        <v>14.99998569932527</v>
      </c>
      <c r="E199" s="1">
        <v>13.417185370350349</v>
      </c>
      <c r="F199" s="1">
        <v>3.6404687593182099E-2</v>
      </c>
      <c r="G199" s="1">
        <v>7.1519381981903205E-2</v>
      </c>
      <c r="H199" s="1">
        <v>38.285762887822983</v>
      </c>
      <c r="I199" s="1">
        <v>38.285762887822983</v>
      </c>
      <c r="J199" s="1" t="b">
        <v>1</v>
      </c>
      <c r="K199" s="1" t="b">
        <v>1</v>
      </c>
    </row>
    <row r="200" spans="1:12" ht="19" customHeight="1" x14ac:dyDescent="0.3">
      <c r="A200" t="s">
        <v>42</v>
      </c>
      <c r="B200" s="1">
        <v>43</v>
      </c>
      <c r="C200" s="1" t="s">
        <v>185</v>
      </c>
      <c r="D200" s="1">
        <v>14.99665235308318</v>
      </c>
      <c r="E200" s="1">
        <v>13.417185370350349</v>
      </c>
      <c r="F200" s="1">
        <v>3.6404687593182099E-2</v>
      </c>
      <c r="G200" s="1">
        <v>7.1519381981903205E-2</v>
      </c>
      <c r="H200" s="1">
        <v>38.285830518387073</v>
      </c>
      <c r="I200" s="1">
        <v>38.285830518387073</v>
      </c>
      <c r="J200" s="1" t="b">
        <v>1</v>
      </c>
      <c r="K200" s="1" t="b">
        <v>1</v>
      </c>
    </row>
    <row r="201" spans="1:12" ht="19" customHeight="1" x14ac:dyDescent="0.3">
      <c r="A201" t="s">
        <v>42</v>
      </c>
      <c r="B201" s="1">
        <v>43</v>
      </c>
      <c r="C201" s="1" t="s">
        <v>185</v>
      </c>
      <c r="D201" s="1">
        <v>15.006360150773419</v>
      </c>
      <c r="E201" s="1">
        <v>13.417185370350349</v>
      </c>
      <c r="F201" s="1">
        <v>3.6404687593182099E-2</v>
      </c>
      <c r="G201" s="1">
        <v>7.1519381981903205E-2</v>
      </c>
      <c r="H201" s="1">
        <v>38.285854470567038</v>
      </c>
      <c r="I201" s="1">
        <v>38.285854470567038</v>
      </c>
      <c r="J201" s="1" t="b">
        <v>1</v>
      </c>
      <c r="K201" s="1" t="b">
        <v>0</v>
      </c>
    </row>
    <row r="202" spans="1:12" ht="19" customHeight="1" x14ac:dyDescent="0.3">
      <c r="A202" t="s">
        <v>42</v>
      </c>
      <c r="B202" s="1">
        <v>43</v>
      </c>
      <c r="C202" s="1" t="s">
        <v>185</v>
      </c>
      <c r="D202" s="1">
        <v>14.99192483688012</v>
      </c>
      <c r="E202" s="1">
        <v>13.417185370350349</v>
      </c>
      <c r="F202" s="1">
        <v>3.6404687593182099E-2</v>
      </c>
      <c r="G202" s="1">
        <v>7.1519381981903205E-2</v>
      </c>
      <c r="H202" s="1">
        <v>38.285926360947961</v>
      </c>
      <c r="I202" s="1">
        <v>38.285926360947961</v>
      </c>
      <c r="J202" s="1" t="b">
        <v>1</v>
      </c>
      <c r="K202" s="1" t="b">
        <v>1</v>
      </c>
    </row>
    <row r="203" spans="1:12" ht="19" customHeight="1" x14ac:dyDescent="0.3">
      <c r="A203" t="s">
        <v>42</v>
      </c>
      <c r="B203" s="1">
        <v>43</v>
      </c>
      <c r="C203" s="1" t="s">
        <v>185</v>
      </c>
      <c r="D203" s="1">
        <v>15.00969349711006</v>
      </c>
      <c r="E203" s="1">
        <v>13.417185370350349</v>
      </c>
      <c r="F203" s="1">
        <v>3.6404687593182099E-2</v>
      </c>
      <c r="G203" s="1">
        <v>7.1519381981903205E-2</v>
      </c>
      <c r="H203" s="1">
        <v>38.286012780569258</v>
      </c>
      <c r="I203" s="1">
        <v>38.286012780569258</v>
      </c>
      <c r="J203" s="1" t="b">
        <v>1</v>
      </c>
      <c r="K203" s="1" t="b">
        <v>0</v>
      </c>
    </row>
    <row r="204" spans="1:12" ht="19" customHeight="1" x14ac:dyDescent="0.3">
      <c r="A204" t="s">
        <v>42</v>
      </c>
      <c r="B204" s="1">
        <v>43</v>
      </c>
      <c r="C204" s="1" t="s">
        <v>185</v>
      </c>
      <c r="D204" s="1">
        <v>14.95797823619939</v>
      </c>
      <c r="E204" s="1">
        <v>13.417185370350349</v>
      </c>
      <c r="F204" s="1">
        <v>3.6404687593182099E-2</v>
      </c>
      <c r="G204" s="1">
        <v>7.1519381981903205E-2</v>
      </c>
      <c r="H204" s="1">
        <v>38.286617756697169</v>
      </c>
      <c r="I204" s="1">
        <v>38.286617756697169</v>
      </c>
      <c r="J204" s="1" t="b">
        <v>1</v>
      </c>
      <c r="K204" s="1" t="b">
        <v>1</v>
      </c>
    </row>
    <row r="205" spans="1:12" ht="19" customHeight="1" x14ac:dyDescent="0.3">
      <c r="A205" t="s">
        <v>42</v>
      </c>
      <c r="B205" s="1">
        <v>43</v>
      </c>
      <c r="C205" s="1" t="s">
        <v>185</v>
      </c>
      <c r="D205" s="1">
        <v>15.036261818420961</v>
      </c>
      <c r="E205" s="1">
        <v>13.417185370350349</v>
      </c>
      <c r="F205" s="1">
        <v>3.6404687593182099E-2</v>
      </c>
      <c r="G205" s="1">
        <v>7.1519381981903205E-2</v>
      </c>
      <c r="H205" s="1">
        <v>38.287275445677878</v>
      </c>
      <c r="I205" s="1">
        <v>38.287275445677878</v>
      </c>
      <c r="J205" s="1" t="b">
        <v>1</v>
      </c>
      <c r="K205" s="1" t="b">
        <v>0</v>
      </c>
    </row>
    <row r="206" spans="1:12" ht="19" customHeight="1" x14ac:dyDescent="0.3">
      <c r="A206" t="s">
        <v>42</v>
      </c>
      <c r="B206" s="1">
        <v>43</v>
      </c>
      <c r="C206" s="1" t="s">
        <v>185</v>
      </c>
      <c r="D206" s="1">
        <v>14.92324779778628</v>
      </c>
      <c r="E206" s="1">
        <v>13.417185370350349</v>
      </c>
      <c r="F206" s="1">
        <v>3.6404687593182099E-2</v>
      </c>
      <c r="G206" s="1">
        <v>7.1519381981903205E-2</v>
      </c>
      <c r="H206" s="1">
        <v>38.287399490262281</v>
      </c>
      <c r="I206" s="1">
        <v>38.287399490262281</v>
      </c>
      <c r="J206" s="1" t="b">
        <v>1</v>
      </c>
      <c r="K206" s="1" t="b">
        <v>1</v>
      </c>
    </row>
    <row r="207" spans="1:12" ht="19" customHeight="1" x14ac:dyDescent="0.3">
      <c r="A207" t="s">
        <v>42</v>
      </c>
      <c r="B207" s="1">
        <v>43</v>
      </c>
      <c r="C207" s="1" t="s">
        <v>185</v>
      </c>
      <c r="D207" s="1">
        <v>14.83578672710817</v>
      </c>
      <c r="E207" s="1">
        <v>13.417185370350349</v>
      </c>
      <c r="F207" s="1">
        <v>3.6404687593182099E-2</v>
      </c>
      <c r="G207" s="1">
        <v>7.1519381981903205E-2</v>
      </c>
      <c r="H207" s="1">
        <v>38.28941614791416</v>
      </c>
      <c r="I207" s="1">
        <v>38.28941614791416</v>
      </c>
      <c r="J207" s="1" t="b">
        <v>1</v>
      </c>
      <c r="K207" s="1" t="b">
        <v>1</v>
      </c>
    </row>
    <row r="208" spans="1:12" ht="19" customHeight="1" x14ac:dyDescent="0.3">
      <c r="A208" t="s">
        <v>42</v>
      </c>
      <c r="B208" s="1">
        <v>43</v>
      </c>
      <c r="C208" s="1" t="s">
        <v>185</v>
      </c>
      <c r="D208" s="1">
        <v>15.084643732994991</v>
      </c>
      <c r="E208" s="1">
        <v>13.417185370350349</v>
      </c>
      <c r="F208" s="1">
        <v>3.6404687593182099E-2</v>
      </c>
      <c r="G208" s="1">
        <v>7.1519381981903205E-2</v>
      </c>
      <c r="H208" s="1">
        <v>38.289579746052553</v>
      </c>
      <c r="I208" s="1">
        <v>38.289579746052553</v>
      </c>
      <c r="J208" s="1" t="b">
        <v>1</v>
      </c>
      <c r="K208" s="1" t="b">
        <v>0</v>
      </c>
    </row>
    <row r="209" spans="1:11" ht="19" customHeight="1" x14ac:dyDescent="0.3">
      <c r="A209" t="s">
        <v>42</v>
      </c>
      <c r="B209" s="1">
        <v>43</v>
      </c>
      <c r="C209" s="1" t="s">
        <v>185</v>
      </c>
      <c r="D209" s="1">
        <v>14.656427739125871</v>
      </c>
      <c r="E209" s="1">
        <v>13.417185370350349</v>
      </c>
      <c r="F209" s="1">
        <v>3.6404687593182099E-2</v>
      </c>
      <c r="G209" s="1">
        <v>7.1519381981903205E-2</v>
      </c>
      <c r="H209" s="1">
        <v>38.294143146828553</v>
      </c>
      <c r="I209" s="1">
        <v>38.294143146828553</v>
      </c>
      <c r="J209" s="1" t="b">
        <v>1</v>
      </c>
      <c r="K209" s="1" t="b">
        <v>1</v>
      </c>
    </row>
    <row r="210" spans="1:11" ht="19" customHeight="1" x14ac:dyDescent="0.3">
      <c r="A210" t="s">
        <v>42</v>
      </c>
      <c r="B210" s="1">
        <v>43</v>
      </c>
      <c r="C210" s="1" t="s">
        <v>185</v>
      </c>
      <c r="D210" s="1">
        <v>14.99998569932527</v>
      </c>
      <c r="E210" s="1">
        <v>14.721359549995791</v>
      </c>
      <c r="F210" s="1">
        <v>3.6404687593182099E-2</v>
      </c>
      <c r="G210" s="1">
        <v>7.1519381981903205E-2</v>
      </c>
      <c r="H210" s="1">
        <v>38.299897459560739</v>
      </c>
      <c r="I210" s="1">
        <v>38.299897459560739</v>
      </c>
      <c r="J210" s="1" t="b">
        <v>1</v>
      </c>
      <c r="K210" s="1" t="b">
        <v>0</v>
      </c>
    </row>
    <row r="211" spans="1:11" ht="19" customHeight="1" x14ac:dyDescent="0.3">
      <c r="A211" t="s">
        <v>42</v>
      </c>
      <c r="B211" s="1">
        <v>43</v>
      </c>
      <c r="C211" s="1" t="s">
        <v>185</v>
      </c>
      <c r="D211" s="1">
        <v>15.345787841808759</v>
      </c>
      <c r="E211" s="1">
        <v>13.417185370350349</v>
      </c>
      <c r="F211" s="1">
        <v>3.6404687593182099E-2</v>
      </c>
      <c r="G211" s="1">
        <v>7.1519381981903205E-2</v>
      </c>
      <c r="H211" s="1">
        <v>38.302128696882619</v>
      </c>
      <c r="I211" s="1">
        <v>38.302128696882619</v>
      </c>
      <c r="J211" s="1" t="b">
        <v>1</v>
      </c>
      <c r="K211" s="1" t="b">
        <v>0</v>
      </c>
    </row>
    <row r="212" spans="1:11" ht="19" customHeight="1" x14ac:dyDescent="0.3">
      <c r="A212" t="s">
        <v>42</v>
      </c>
      <c r="B212" s="1">
        <v>43</v>
      </c>
      <c r="C212" s="1" t="s">
        <v>185</v>
      </c>
      <c r="D212" s="1">
        <v>15.72949016875158</v>
      </c>
      <c r="E212" s="1">
        <v>13.417185370350349</v>
      </c>
      <c r="F212" s="1">
        <v>3.6404687593182099E-2</v>
      </c>
      <c r="G212" s="1">
        <v>7.1519381981903205E-2</v>
      </c>
      <c r="H212" s="1">
        <v>38.320998642496448</v>
      </c>
      <c r="I212" s="1">
        <v>38.320998642496448</v>
      </c>
      <c r="J212" s="1" t="b">
        <v>1</v>
      </c>
      <c r="K212" s="1" t="b">
        <v>0</v>
      </c>
    </row>
    <row r="213" spans="1:11" ht="19" customHeight="1" x14ac:dyDescent="0.3">
      <c r="A213" t="s">
        <v>42</v>
      </c>
      <c r="B213" s="1">
        <v>43</v>
      </c>
      <c r="C213" s="1" t="s">
        <v>186</v>
      </c>
      <c r="D213" s="1">
        <v>14.129677607544309</v>
      </c>
      <c r="E213" s="1">
        <v>13.417185370350349</v>
      </c>
      <c r="F213" s="1">
        <v>3.6404687593182099E-2</v>
      </c>
      <c r="G213" s="1">
        <v>7.1519381981903205E-2</v>
      </c>
      <c r="H213" s="1">
        <v>38.328895113863183</v>
      </c>
      <c r="I213" s="1">
        <v>38.328895113863183</v>
      </c>
      <c r="J213" s="1" t="b">
        <v>1</v>
      </c>
      <c r="K213" s="1" t="b">
        <v>1</v>
      </c>
    </row>
    <row r="214" spans="1:11" ht="19" customHeight="1" x14ac:dyDescent="0.3">
      <c r="A214" t="s">
        <v>42</v>
      </c>
      <c r="B214" s="1">
        <v>43</v>
      </c>
      <c r="C214" s="1" t="s">
        <v>185</v>
      </c>
      <c r="D214" s="1">
        <v>14.99998569932527</v>
      </c>
      <c r="E214" s="1">
        <v>12.917960675006309</v>
      </c>
      <c r="F214" s="1">
        <v>3.6404687593182099E-2</v>
      </c>
      <c r="G214" s="1">
        <v>7.1519381981903205E-2</v>
      </c>
      <c r="H214" s="1">
        <v>38.335045371565883</v>
      </c>
      <c r="I214" s="1">
        <v>38.335045371565883</v>
      </c>
      <c r="J214" s="1" t="b">
        <v>1</v>
      </c>
      <c r="K214" s="1" t="b">
        <v>0</v>
      </c>
    </row>
    <row r="215" spans="1:11" ht="19" customHeight="1" x14ac:dyDescent="0.3">
      <c r="A215" t="s">
        <v>42</v>
      </c>
      <c r="B215" s="1">
        <v>43</v>
      </c>
      <c r="C215" s="1" t="s">
        <v>185</v>
      </c>
      <c r="D215" s="1">
        <v>16.044911004531539</v>
      </c>
      <c r="E215" s="1">
        <v>13.417185370350349</v>
      </c>
      <c r="F215" s="1">
        <v>3.6404687593182099E-2</v>
      </c>
      <c r="G215" s="1">
        <v>7.1519381981903205E-2</v>
      </c>
      <c r="H215" s="1">
        <v>38.336950973586418</v>
      </c>
      <c r="I215" s="1">
        <v>38.336950973586418</v>
      </c>
      <c r="J215" s="1" t="b">
        <v>1</v>
      </c>
      <c r="K215" s="1" t="b">
        <v>0</v>
      </c>
    </row>
    <row r="216" spans="1:11" ht="19" customHeight="1" x14ac:dyDescent="0.3">
      <c r="A216" t="s">
        <v>42</v>
      </c>
      <c r="B216" s="1">
        <v>43</v>
      </c>
      <c r="C216" s="1" t="s">
        <v>186</v>
      </c>
      <c r="D216" s="1">
        <v>18.05809731367599</v>
      </c>
      <c r="E216" s="1">
        <v>15.404652575574451</v>
      </c>
      <c r="F216" s="1">
        <v>3.2320145011484398E-2</v>
      </c>
      <c r="G216" s="1">
        <v>6.5821322299162793E-2</v>
      </c>
      <c r="H216" s="1">
        <v>38.397285720595072</v>
      </c>
      <c r="I216" s="1">
        <v>38.397285720595072</v>
      </c>
      <c r="J216" s="1" t="b">
        <v>1</v>
      </c>
      <c r="K216" s="1" t="b">
        <v>0</v>
      </c>
    </row>
    <row r="217" spans="1:11" ht="19" customHeight="1" x14ac:dyDescent="0.3">
      <c r="A217" t="s">
        <v>42</v>
      </c>
      <c r="B217" s="1">
        <v>43</v>
      </c>
      <c r="C217" s="1" t="s">
        <v>188</v>
      </c>
      <c r="D217" s="1">
        <v>14.33194390467437</v>
      </c>
      <c r="E217" s="1">
        <v>11.654897133768641</v>
      </c>
      <c r="F217" s="1">
        <v>3.4614402767094002E-2</v>
      </c>
      <c r="G217" s="1">
        <v>5.9102463706932701E-2</v>
      </c>
      <c r="H217" s="1">
        <v>38.406740327008869</v>
      </c>
      <c r="I217" s="1">
        <v>38.406740327008869</v>
      </c>
      <c r="J217" s="1" t="b">
        <v>1</v>
      </c>
      <c r="K217" s="1" t="b">
        <v>1</v>
      </c>
    </row>
    <row r="218" spans="1:11" ht="19" customHeight="1" x14ac:dyDescent="0.3">
      <c r="A218" t="s">
        <v>42</v>
      </c>
      <c r="B218" s="1">
        <v>43</v>
      </c>
      <c r="C218" s="1" t="s">
        <v>186</v>
      </c>
      <c r="D218" s="1">
        <v>15.858728788475201</v>
      </c>
      <c r="E218" s="1">
        <v>13.417185370350349</v>
      </c>
      <c r="F218" s="1">
        <v>4.1453749612122601E-2</v>
      </c>
      <c r="G218" s="1">
        <v>7.1519381981903205E-2</v>
      </c>
      <c r="H218" s="1">
        <v>38.411846176554072</v>
      </c>
      <c r="I218" s="1">
        <v>38.411846176554072</v>
      </c>
      <c r="J218" s="1" t="b">
        <v>1</v>
      </c>
      <c r="K218" s="1" t="b">
        <v>0</v>
      </c>
    </row>
    <row r="219" spans="1:11" ht="19" customHeight="1" x14ac:dyDescent="0.3">
      <c r="A219" t="s">
        <v>42</v>
      </c>
      <c r="B219" s="1">
        <v>43</v>
      </c>
      <c r="C219" s="1" t="s">
        <v>186</v>
      </c>
      <c r="D219" s="1">
        <v>18.05809731367599</v>
      </c>
      <c r="E219" s="1">
        <v>15.404652575574451</v>
      </c>
      <c r="F219" s="1">
        <v>3.81346179044958E-2</v>
      </c>
      <c r="G219" s="1">
        <v>6.5821322299162793E-2</v>
      </c>
      <c r="H219" s="1">
        <v>38.417149071479663</v>
      </c>
      <c r="I219" s="1">
        <v>38.417149071479663</v>
      </c>
      <c r="J219" s="1" t="b">
        <v>1</v>
      </c>
      <c r="K219" s="1" t="b">
        <v>0</v>
      </c>
    </row>
    <row r="220" spans="1:11" ht="19" customHeight="1" x14ac:dyDescent="0.3">
      <c r="A220" t="s">
        <v>42</v>
      </c>
      <c r="B220" s="1">
        <v>43</v>
      </c>
      <c r="C220" s="1" t="s">
        <v>186</v>
      </c>
      <c r="D220" s="1">
        <v>14.129677607544309</v>
      </c>
      <c r="E220" s="1">
        <v>13.417185370350349</v>
      </c>
      <c r="F220" s="1">
        <v>2.8443315456258701E-2</v>
      </c>
      <c r="G220" s="1">
        <v>6.1018538627598803E-2</v>
      </c>
      <c r="H220" s="1">
        <v>38.443876116490131</v>
      </c>
      <c r="I220" s="1">
        <v>38.443876116490131</v>
      </c>
      <c r="J220" s="1" t="b">
        <v>1</v>
      </c>
      <c r="K220" s="1" t="b">
        <v>1</v>
      </c>
    </row>
    <row r="221" spans="1:11" ht="19" customHeight="1" x14ac:dyDescent="0.3">
      <c r="A221" t="s">
        <v>42</v>
      </c>
      <c r="B221" s="1">
        <v>43</v>
      </c>
      <c r="C221" s="1" t="s">
        <v>185</v>
      </c>
      <c r="D221" s="1">
        <v>13.54101966249684</v>
      </c>
      <c r="E221" s="1">
        <v>13.417185370350349</v>
      </c>
      <c r="F221" s="1">
        <v>3.6404687593182099E-2</v>
      </c>
      <c r="G221" s="1">
        <v>7.1519381981903205E-2</v>
      </c>
      <c r="H221" s="1">
        <v>38.466253347225383</v>
      </c>
      <c r="I221" s="1">
        <v>38.466253347225383</v>
      </c>
      <c r="J221" s="1" t="b">
        <v>1</v>
      </c>
      <c r="K221" s="1" t="b">
        <v>1</v>
      </c>
    </row>
    <row r="222" spans="1:11" ht="19" customHeight="1" x14ac:dyDescent="0.3">
      <c r="A222" t="s">
        <v>42</v>
      </c>
      <c r="B222" s="1">
        <v>43</v>
      </c>
      <c r="C222" s="1" t="s">
        <v>186</v>
      </c>
      <c r="D222" s="1">
        <v>15.558046341695769</v>
      </c>
      <c r="E222" s="1">
        <v>17.199027471245952</v>
      </c>
      <c r="F222" s="1">
        <v>3.2733724729387702E-2</v>
      </c>
      <c r="G222" s="1">
        <v>4.6958040482804803E-2</v>
      </c>
      <c r="H222" s="1">
        <v>38.475581850873013</v>
      </c>
      <c r="I222" s="1">
        <v>38.475581850873013</v>
      </c>
      <c r="J222" s="1" t="b">
        <v>1</v>
      </c>
      <c r="K222" s="1" t="b">
        <v>0</v>
      </c>
    </row>
    <row r="223" spans="1:11" ht="19" customHeight="1" x14ac:dyDescent="0.3">
      <c r="A223" t="s">
        <v>42</v>
      </c>
      <c r="B223" s="1">
        <v>43</v>
      </c>
      <c r="C223" s="1" t="s">
        <v>186</v>
      </c>
      <c r="D223" s="1">
        <v>13.5832127322244</v>
      </c>
      <c r="E223" s="1">
        <v>13.419624517478621</v>
      </c>
      <c r="F223" s="1">
        <v>2.8738766626840401E-2</v>
      </c>
      <c r="G223" s="1">
        <v>6.1921524716693897E-2</v>
      </c>
      <c r="H223" s="1">
        <v>38.485063280148303</v>
      </c>
      <c r="I223" s="1">
        <v>38.485063280148303</v>
      </c>
      <c r="J223" s="1" t="b">
        <v>1</v>
      </c>
      <c r="K223" s="1" t="b">
        <v>1</v>
      </c>
    </row>
    <row r="224" spans="1:11" ht="19" customHeight="1" x14ac:dyDescent="0.3">
      <c r="A224" t="s">
        <v>42</v>
      </c>
      <c r="B224" s="1">
        <v>43</v>
      </c>
      <c r="C224" s="1" t="s">
        <v>187</v>
      </c>
      <c r="D224" s="1">
        <v>13.75</v>
      </c>
      <c r="E224" s="1">
        <v>15</v>
      </c>
      <c r="F224" s="1">
        <v>3.2500000000000001E-2</v>
      </c>
      <c r="G224" s="1">
        <v>5.1249999999999997E-2</v>
      </c>
      <c r="H224" s="1">
        <v>38.521634787179742</v>
      </c>
      <c r="I224" s="1">
        <v>38.521634787179742</v>
      </c>
      <c r="J224" s="1" t="b">
        <v>1</v>
      </c>
      <c r="K224" s="1" t="b">
        <v>0</v>
      </c>
    </row>
    <row r="225" spans="1:11" ht="19" customHeight="1" x14ac:dyDescent="0.3">
      <c r="A225" t="s">
        <v>42</v>
      </c>
      <c r="B225" s="1">
        <v>43</v>
      </c>
      <c r="C225" s="1" t="s">
        <v>186</v>
      </c>
      <c r="D225" s="1">
        <v>16.042898463287241</v>
      </c>
      <c r="E225" s="1">
        <v>18.33715581465226</v>
      </c>
      <c r="F225" s="1">
        <v>3.2249966201685999E-2</v>
      </c>
      <c r="G225" s="1">
        <v>5.3621569452521001E-2</v>
      </c>
      <c r="H225" s="1">
        <v>38.53222273280403</v>
      </c>
      <c r="I225" s="1">
        <v>38.53222273280403</v>
      </c>
      <c r="J225" s="1" t="b">
        <v>1</v>
      </c>
      <c r="K225" s="1" t="b">
        <v>0</v>
      </c>
    </row>
    <row r="226" spans="1:11" ht="19" customHeight="1" x14ac:dyDescent="0.3">
      <c r="A226" t="s">
        <v>42</v>
      </c>
      <c r="B226" s="1">
        <v>43</v>
      </c>
      <c r="C226" s="1" t="s">
        <v>185</v>
      </c>
      <c r="D226" s="1">
        <v>14.99998569932527</v>
      </c>
      <c r="E226" s="1">
        <v>17.639320225002098</v>
      </c>
      <c r="F226" s="1">
        <v>3.6404687593182099E-2</v>
      </c>
      <c r="G226" s="1">
        <v>7.1519381981903205E-2</v>
      </c>
      <c r="H226" s="1">
        <v>38.541742655541228</v>
      </c>
      <c r="I226" s="1">
        <v>38.541742655541228</v>
      </c>
      <c r="J226" s="1" t="b">
        <v>1</v>
      </c>
      <c r="K226" s="1" t="b">
        <v>0</v>
      </c>
    </row>
    <row r="227" spans="1:11" ht="19" customHeight="1" x14ac:dyDescent="0.3">
      <c r="A227" t="s">
        <v>42</v>
      </c>
      <c r="B227" s="1">
        <v>43</v>
      </c>
      <c r="C227" s="1" t="s">
        <v>186</v>
      </c>
      <c r="D227" s="1">
        <v>20.268475207175069</v>
      </c>
      <c r="E227" s="1">
        <v>17.464331364294239</v>
      </c>
      <c r="F227" s="1">
        <v>3.81346179044958E-2</v>
      </c>
      <c r="G227" s="1">
        <v>6.5821322299162793E-2</v>
      </c>
      <c r="H227" s="1">
        <v>38.556716453438817</v>
      </c>
      <c r="I227" s="1">
        <v>38.556716453438817</v>
      </c>
      <c r="J227" s="1" t="b">
        <v>1</v>
      </c>
      <c r="K227" s="1" t="b">
        <v>0</v>
      </c>
    </row>
    <row r="228" spans="1:11" ht="19" customHeight="1" x14ac:dyDescent="0.3">
      <c r="A228" t="s">
        <v>42</v>
      </c>
      <c r="B228" s="1">
        <v>43</v>
      </c>
      <c r="C228" s="1" t="s">
        <v>185</v>
      </c>
      <c r="D228" s="1">
        <v>19.270509831248422</v>
      </c>
      <c r="E228" s="1">
        <v>13.417185370350349</v>
      </c>
      <c r="F228" s="1">
        <v>3.6404687593182099E-2</v>
      </c>
      <c r="G228" s="1">
        <v>7.1519381981903205E-2</v>
      </c>
      <c r="H228" s="1">
        <v>38.563600562022657</v>
      </c>
      <c r="I228" s="1">
        <v>38.563600562022657</v>
      </c>
      <c r="J228" s="1" t="b">
        <v>1</v>
      </c>
      <c r="K228" s="1" t="b">
        <v>0</v>
      </c>
    </row>
    <row r="229" spans="1:11" ht="19" customHeight="1" x14ac:dyDescent="0.3">
      <c r="A229" t="s">
        <v>42</v>
      </c>
      <c r="B229" s="1">
        <v>43</v>
      </c>
      <c r="C229" s="1" t="s">
        <v>186</v>
      </c>
      <c r="D229" s="1">
        <v>12.50045284013164</v>
      </c>
      <c r="E229" s="1">
        <v>15.78802182984008</v>
      </c>
      <c r="F229" s="1">
        <v>3.1647132129131797E-2</v>
      </c>
      <c r="G229" s="1">
        <v>6.1656266245097499E-2</v>
      </c>
      <c r="H229" s="1">
        <v>38.577422813786249</v>
      </c>
      <c r="I229" s="1">
        <v>38.577422813786249</v>
      </c>
      <c r="J229" s="1" t="b">
        <v>1</v>
      </c>
      <c r="K229" s="1" t="b">
        <v>0</v>
      </c>
    </row>
    <row r="230" spans="1:11" ht="19" customHeight="1" x14ac:dyDescent="0.3">
      <c r="A230" t="s">
        <v>42</v>
      </c>
      <c r="B230" s="1">
        <v>43</v>
      </c>
      <c r="C230" s="1" t="s">
        <v>187</v>
      </c>
      <c r="D230" s="1">
        <v>13.75</v>
      </c>
      <c r="E230" s="1">
        <v>15</v>
      </c>
      <c r="F230" s="1">
        <v>3.2500000000000001E-2</v>
      </c>
      <c r="G230" s="1">
        <v>7.3749999999999996E-2</v>
      </c>
      <c r="H230" s="1">
        <v>38.584273997893767</v>
      </c>
      <c r="I230" s="1">
        <v>38.584273997893767</v>
      </c>
      <c r="J230" s="1" t="b">
        <v>1</v>
      </c>
      <c r="K230" s="1" t="b">
        <v>0</v>
      </c>
    </row>
    <row r="231" spans="1:11" ht="19" customHeight="1" x14ac:dyDescent="0.3">
      <c r="A231" t="s">
        <v>42</v>
      </c>
      <c r="B231" s="1">
        <v>43</v>
      </c>
      <c r="C231" s="1" t="s">
        <v>186</v>
      </c>
      <c r="D231" s="1">
        <v>12.723021350940259</v>
      </c>
      <c r="E231" s="1">
        <v>14.985108740382429</v>
      </c>
      <c r="F231" s="1">
        <v>2.8755372271057601E-2</v>
      </c>
      <c r="G231" s="1">
        <v>6.1119249690630303E-2</v>
      </c>
      <c r="H231" s="1">
        <v>38.586924475019408</v>
      </c>
      <c r="I231" s="1">
        <v>38.586924475019408</v>
      </c>
      <c r="J231" s="1" t="b">
        <v>1</v>
      </c>
      <c r="K231" s="1" t="b">
        <v>1</v>
      </c>
    </row>
    <row r="232" spans="1:11" ht="19" customHeight="1" x14ac:dyDescent="0.3">
      <c r="A232" t="s">
        <v>42</v>
      </c>
      <c r="B232" s="1">
        <v>43</v>
      </c>
      <c r="C232" s="1" t="s">
        <v>186</v>
      </c>
      <c r="D232" s="1">
        <v>15.33659605193299</v>
      </c>
      <c r="E232" s="1">
        <v>12.07189889698812</v>
      </c>
      <c r="F232" s="1">
        <v>4.4498022078513097E-2</v>
      </c>
      <c r="G232" s="1">
        <v>6.1927777373814698E-2</v>
      </c>
      <c r="H232" s="1">
        <v>38.620951505809842</v>
      </c>
      <c r="I232" s="1">
        <v>38.620951505809842</v>
      </c>
      <c r="J232" s="1" t="b">
        <v>1</v>
      </c>
      <c r="K232" s="1" t="b">
        <v>0</v>
      </c>
    </row>
    <row r="233" spans="1:11" ht="19" customHeight="1" x14ac:dyDescent="0.3">
      <c r="A233" t="s">
        <v>42</v>
      </c>
      <c r="B233" s="1">
        <v>43</v>
      </c>
      <c r="C233" s="1" t="s">
        <v>186</v>
      </c>
      <c r="D233" s="1">
        <v>21.629129915383199</v>
      </c>
      <c r="E233" s="1">
        <v>19.077881028245478</v>
      </c>
      <c r="F233" s="1">
        <v>3.2643742562493298E-2</v>
      </c>
      <c r="G233" s="1">
        <v>5.6746997851868097E-2</v>
      </c>
      <c r="H233" s="1">
        <v>38.664806840288847</v>
      </c>
      <c r="I233" s="1">
        <v>38.664806840288847</v>
      </c>
      <c r="J233" s="1" t="b">
        <v>1</v>
      </c>
      <c r="K233" s="1" t="b">
        <v>0</v>
      </c>
    </row>
    <row r="234" spans="1:11" ht="19" customHeight="1" x14ac:dyDescent="0.3">
      <c r="A234" t="s">
        <v>42</v>
      </c>
      <c r="B234" s="1">
        <v>43</v>
      </c>
      <c r="C234" s="1" t="s">
        <v>187</v>
      </c>
      <c r="D234" s="1">
        <v>21.25</v>
      </c>
      <c r="E234" s="1">
        <v>15</v>
      </c>
      <c r="F234" s="1">
        <v>3.2500000000000001E-2</v>
      </c>
      <c r="G234" s="1">
        <v>5.1249999999999997E-2</v>
      </c>
      <c r="H234" s="1">
        <v>38.669429829942402</v>
      </c>
      <c r="I234" s="1">
        <v>38.669429829942402</v>
      </c>
      <c r="J234" s="1" t="b">
        <v>1</v>
      </c>
      <c r="K234" s="1" t="b">
        <v>0</v>
      </c>
    </row>
    <row r="235" spans="1:11" ht="19" customHeight="1" x14ac:dyDescent="0.3">
      <c r="A235" t="s">
        <v>42</v>
      </c>
      <c r="B235" s="1">
        <v>43</v>
      </c>
      <c r="C235" s="1" t="s">
        <v>188</v>
      </c>
      <c r="D235" s="1">
        <v>14.17949538278415</v>
      </c>
      <c r="E235" s="1">
        <v>15.570685955587511</v>
      </c>
      <c r="F235" s="1">
        <v>3.7659987245417803E-2</v>
      </c>
      <c r="G235" s="1">
        <v>4.0183497624369402E-2</v>
      </c>
      <c r="H235" s="1">
        <v>38.689108935824628</v>
      </c>
      <c r="I235" s="1">
        <v>38.689108935824628</v>
      </c>
      <c r="J235" s="1" t="b">
        <v>1</v>
      </c>
      <c r="K235" s="1" t="b">
        <v>1</v>
      </c>
    </row>
    <row r="236" spans="1:11" ht="19" customHeight="1" x14ac:dyDescent="0.3">
      <c r="A236" t="s">
        <v>42</v>
      </c>
      <c r="B236" s="1">
        <v>43</v>
      </c>
      <c r="C236" s="1" t="s">
        <v>188</v>
      </c>
      <c r="D236" s="1">
        <v>11.89206203489959</v>
      </c>
      <c r="E236" s="1">
        <v>16.836857102371301</v>
      </c>
      <c r="F236" s="1">
        <v>3.4000578693894098E-2</v>
      </c>
      <c r="G236" s="1">
        <v>6.4797029076537505E-2</v>
      </c>
      <c r="H236" s="1">
        <v>38.696191579309968</v>
      </c>
      <c r="I236" s="1">
        <v>38.696191579309968</v>
      </c>
      <c r="J236" s="1" t="b">
        <v>1</v>
      </c>
      <c r="K236" s="1" t="b">
        <v>0</v>
      </c>
    </row>
    <row r="237" spans="1:11" ht="19" customHeight="1" x14ac:dyDescent="0.3">
      <c r="A237" t="s">
        <v>42</v>
      </c>
      <c r="B237" s="1">
        <v>43</v>
      </c>
      <c r="C237" s="1" t="s">
        <v>189</v>
      </c>
      <c r="D237" s="1">
        <v>17.5</v>
      </c>
      <c r="E237" s="1">
        <v>20</v>
      </c>
      <c r="F237" s="1">
        <v>0.04</v>
      </c>
      <c r="G237" s="1">
        <v>0.06</v>
      </c>
      <c r="H237" s="1">
        <v>38.703266664516811</v>
      </c>
      <c r="I237" s="1">
        <v>38.703266664516811</v>
      </c>
      <c r="J237" s="1" t="b">
        <v>1</v>
      </c>
      <c r="K237" s="1" t="b">
        <v>0</v>
      </c>
    </row>
    <row r="238" spans="1:11" ht="19" customHeight="1" x14ac:dyDescent="0.3">
      <c r="A238" t="s">
        <v>42</v>
      </c>
      <c r="B238" s="1">
        <v>43</v>
      </c>
      <c r="C238" s="1" t="s">
        <v>188</v>
      </c>
      <c r="D238" s="1">
        <v>18.80714571382088</v>
      </c>
      <c r="E238" s="1">
        <v>14.49410460407249</v>
      </c>
      <c r="F238" s="1">
        <v>4.7553768154558397E-2</v>
      </c>
      <c r="G238" s="1">
        <v>5.1866148886526797E-2</v>
      </c>
      <c r="H238" s="1">
        <v>38.708101887610503</v>
      </c>
      <c r="I238" s="1">
        <v>38.708101887610503</v>
      </c>
      <c r="J238" s="1" t="b">
        <v>1</v>
      </c>
      <c r="K238" s="1" t="b">
        <v>0</v>
      </c>
    </row>
    <row r="239" spans="1:11" ht="19" customHeight="1" x14ac:dyDescent="0.3">
      <c r="A239" t="s">
        <v>42</v>
      </c>
      <c r="B239" s="1">
        <v>43</v>
      </c>
      <c r="C239" s="1" t="s">
        <v>186</v>
      </c>
      <c r="D239" s="1">
        <v>17.945871594069299</v>
      </c>
      <c r="E239" s="1">
        <v>13.43255351835877</v>
      </c>
      <c r="F239" s="1">
        <v>4.3031783233965601E-2</v>
      </c>
      <c r="G239" s="1">
        <v>4.4334518722047002E-2</v>
      </c>
      <c r="H239" s="1">
        <v>38.719096211974509</v>
      </c>
      <c r="I239" s="1">
        <v>38.719096211974509</v>
      </c>
      <c r="J239" s="1" t="b">
        <v>1</v>
      </c>
      <c r="K239" s="1" t="b">
        <v>0</v>
      </c>
    </row>
    <row r="240" spans="1:11" ht="19" customHeight="1" x14ac:dyDescent="0.3">
      <c r="A240" t="s">
        <v>42</v>
      </c>
      <c r="B240" s="1">
        <v>43</v>
      </c>
      <c r="C240" s="1" t="s">
        <v>186</v>
      </c>
      <c r="D240" s="1">
        <v>21.629129915383199</v>
      </c>
      <c r="E240" s="1">
        <v>15.333931937836971</v>
      </c>
      <c r="F240" s="1">
        <v>3.25583539210113E-2</v>
      </c>
      <c r="G240" s="1">
        <v>6.3545363716082104E-2</v>
      </c>
      <c r="H240" s="1">
        <v>38.723647598898971</v>
      </c>
      <c r="I240" s="1">
        <v>38.723647598898971</v>
      </c>
      <c r="J240" s="1" t="b">
        <v>1</v>
      </c>
      <c r="K240" s="1" t="b">
        <v>0</v>
      </c>
    </row>
    <row r="241" spans="1:11" ht="19" customHeight="1" x14ac:dyDescent="0.3">
      <c r="A241" t="s">
        <v>42</v>
      </c>
      <c r="B241" s="1">
        <v>43</v>
      </c>
      <c r="C241" s="1" t="s">
        <v>186</v>
      </c>
      <c r="D241" s="1">
        <v>12.50045284013164</v>
      </c>
      <c r="E241" s="1">
        <v>18.664076542937732</v>
      </c>
      <c r="F241" s="1">
        <v>3.7582319589280599E-2</v>
      </c>
      <c r="G241" s="1">
        <v>6.1656266245097499E-2</v>
      </c>
      <c r="H241" s="1">
        <v>38.730351149282569</v>
      </c>
      <c r="I241" s="1">
        <v>38.730351149282569</v>
      </c>
      <c r="J241" s="1" t="b">
        <v>1</v>
      </c>
      <c r="K241" s="1" t="b">
        <v>0</v>
      </c>
    </row>
    <row r="242" spans="1:11" ht="19" customHeight="1" x14ac:dyDescent="0.3">
      <c r="A242" t="s">
        <v>42</v>
      </c>
      <c r="B242" s="1">
        <v>43</v>
      </c>
      <c r="C242" s="1" t="s">
        <v>188</v>
      </c>
      <c r="D242" s="1">
        <v>15.12137629033657</v>
      </c>
      <c r="E242" s="1">
        <v>20.091034983062951</v>
      </c>
      <c r="F242" s="1">
        <v>3.4118953317171602E-2</v>
      </c>
      <c r="G242" s="1">
        <v>5.8802635081890701E-2</v>
      </c>
      <c r="H242" s="1">
        <v>38.73418282691167</v>
      </c>
      <c r="I242" s="1">
        <v>38.73418282691167</v>
      </c>
      <c r="J242" s="1" t="b">
        <v>1</v>
      </c>
      <c r="K242" s="1" t="b">
        <v>0</v>
      </c>
    </row>
    <row r="243" spans="1:11" ht="19" customHeight="1" x14ac:dyDescent="0.3">
      <c r="A243" t="s">
        <v>42</v>
      </c>
      <c r="B243" s="1">
        <v>43</v>
      </c>
      <c r="C243" s="1" t="s">
        <v>187</v>
      </c>
      <c r="D243" s="1">
        <v>13.75</v>
      </c>
      <c r="E243" s="1">
        <v>15</v>
      </c>
      <c r="F243" s="1">
        <v>4.7500000000000001E-2</v>
      </c>
      <c r="G243" s="1">
        <v>5.1249999999999997E-2</v>
      </c>
      <c r="H243" s="1">
        <v>38.743737709273162</v>
      </c>
      <c r="I243" s="1">
        <v>38.743737709273162</v>
      </c>
      <c r="J243" s="1" t="b">
        <v>1</v>
      </c>
      <c r="K243" s="1" t="b">
        <v>1</v>
      </c>
    </row>
    <row r="244" spans="1:11" ht="19" customHeight="1" x14ac:dyDescent="0.3">
      <c r="A244" t="s">
        <v>42</v>
      </c>
      <c r="B244" s="1">
        <v>43</v>
      </c>
      <c r="C244" s="1" t="s">
        <v>186</v>
      </c>
      <c r="D244" s="1">
        <v>11.94165920545171</v>
      </c>
      <c r="E244" s="1">
        <v>15.24459071707073</v>
      </c>
      <c r="F244" s="1">
        <v>2.7489456156766599E-2</v>
      </c>
      <c r="G244" s="1">
        <v>5.9398089756198001E-2</v>
      </c>
      <c r="H244" s="1">
        <v>38.764899430937028</v>
      </c>
      <c r="I244" s="1">
        <v>38.764899430937028</v>
      </c>
      <c r="J244" s="1" t="b">
        <v>1</v>
      </c>
      <c r="K244" s="1" t="b">
        <v>1</v>
      </c>
    </row>
    <row r="245" spans="1:11" ht="19" customHeight="1" x14ac:dyDescent="0.3">
      <c r="A245" t="s">
        <v>42</v>
      </c>
      <c r="B245" s="1">
        <v>43</v>
      </c>
      <c r="C245" s="1" t="s">
        <v>187</v>
      </c>
      <c r="D245" s="1">
        <v>21.25</v>
      </c>
      <c r="E245" s="1">
        <v>15</v>
      </c>
      <c r="F245" s="1">
        <v>3.2500000000000001E-2</v>
      </c>
      <c r="G245" s="1">
        <v>7.3749999999999996E-2</v>
      </c>
      <c r="H245" s="1">
        <v>38.769327117246327</v>
      </c>
      <c r="I245" s="1">
        <v>38.769327117246327</v>
      </c>
      <c r="J245" s="1" t="b">
        <v>1</v>
      </c>
      <c r="K245" s="1" t="b">
        <v>0</v>
      </c>
    </row>
    <row r="246" spans="1:11" ht="19" customHeight="1" x14ac:dyDescent="0.3">
      <c r="A246" t="s">
        <v>42</v>
      </c>
      <c r="B246" s="1">
        <v>43</v>
      </c>
      <c r="C246" s="1" t="s">
        <v>186</v>
      </c>
      <c r="D246" s="1">
        <v>18.898165709014879</v>
      </c>
      <c r="E246" s="1">
        <v>13.0882525398792</v>
      </c>
      <c r="F246" s="1">
        <v>3.6982136175384803E-2</v>
      </c>
      <c r="G246" s="1">
        <v>7.7685241241605196E-2</v>
      </c>
      <c r="H246" s="1">
        <v>38.783859873001639</v>
      </c>
      <c r="I246" s="1">
        <v>38.783859873001639</v>
      </c>
      <c r="J246" s="1" t="b">
        <v>1</v>
      </c>
      <c r="K246" s="1" t="b">
        <v>0</v>
      </c>
    </row>
    <row r="247" spans="1:11" ht="19" customHeight="1" x14ac:dyDescent="0.3">
      <c r="A247" t="s">
        <v>42</v>
      </c>
      <c r="B247" s="1">
        <v>43</v>
      </c>
      <c r="C247" s="1" t="s">
        <v>186</v>
      </c>
      <c r="D247" s="1">
        <v>20.769470250318829</v>
      </c>
      <c r="E247" s="1">
        <v>17.199027471245952</v>
      </c>
      <c r="F247" s="1">
        <v>3.3068908571901499E-2</v>
      </c>
      <c r="G247" s="1">
        <v>7.5699152354130494E-2</v>
      </c>
      <c r="H247" s="1">
        <v>38.787544113872023</v>
      </c>
      <c r="I247" s="1">
        <v>38.787544113872023</v>
      </c>
      <c r="J247" s="1" t="b">
        <v>1</v>
      </c>
      <c r="K247" s="1" t="b">
        <v>0</v>
      </c>
    </row>
    <row r="248" spans="1:11" ht="19" customHeight="1" x14ac:dyDescent="0.3">
      <c r="A248" t="s">
        <v>42</v>
      </c>
      <c r="B248" s="1">
        <v>43</v>
      </c>
      <c r="C248" s="1" t="s">
        <v>188</v>
      </c>
      <c r="D248" s="1">
        <v>22.416674845962859</v>
      </c>
      <c r="E248" s="1">
        <v>19.930705789915901</v>
      </c>
      <c r="F248" s="1">
        <v>2.86807308497673E-2</v>
      </c>
      <c r="G248" s="1">
        <v>6.2525947081679301E-2</v>
      </c>
      <c r="H248" s="1">
        <v>38.814297123485659</v>
      </c>
      <c r="I248" s="1">
        <v>38.814297123485659</v>
      </c>
      <c r="J248" s="1" t="b">
        <v>1</v>
      </c>
      <c r="K248" s="1" t="b">
        <v>0</v>
      </c>
    </row>
    <row r="249" spans="1:11" ht="19" customHeight="1" x14ac:dyDescent="0.3">
      <c r="A249" t="s">
        <v>42</v>
      </c>
      <c r="B249" s="1">
        <v>43</v>
      </c>
      <c r="C249" s="1" t="s">
        <v>187</v>
      </c>
      <c r="D249" s="1">
        <v>13.75</v>
      </c>
      <c r="E249" s="1">
        <v>15</v>
      </c>
      <c r="F249" s="1">
        <v>4.7500000000000001E-2</v>
      </c>
      <c r="G249" s="1">
        <v>7.3749999999999996E-2</v>
      </c>
      <c r="H249" s="1">
        <v>38.816246330965797</v>
      </c>
      <c r="I249" s="1">
        <v>38.816246330965797</v>
      </c>
      <c r="J249" s="1" t="b">
        <v>1</v>
      </c>
      <c r="K249" s="1" t="b">
        <v>1</v>
      </c>
    </row>
    <row r="250" spans="1:11" ht="19" customHeight="1" x14ac:dyDescent="0.3">
      <c r="A250" t="s">
        <v>42</v>
      </c>
      <c r="B250" s="1">
        <v>43</v>
      </c>
      <c r="C250" s="1" t="s">
        <v>186</v>
      </c>
      <c r="D250" s="1">
        <v>20.562920959026361</v>
      </c>
      <c r="E250" s="1">
        <v>11.51763148992503</v>
      </c>
      <c r="F250" s="1">
        <v>3.2703650827741501E-2</v>
      </c>
      <c r="G250" s="1">
        <v>4.9059144050924701E-2</v>
      </c>
      <c r="H250" s="1">
        <v>38.847634837750327</v>
      </c>
      <c r="I250" s="1">
        <v>38.847634837750327</v>
      </c>
      <c r="J250" s="1" t="b">
        <v>1</v>
      </c>
      <c r="K250" s="1" t="b">
        <v>0</v>
      </c>
    </row>
    <row r="251" spans="1:11" ht="19" customHeight="1" x14ac:dyDescent="0.3">
      <c r="A251" t="s">
        <v>42</v>
      </c>
      <c r="B251" s="1">
        <v>43</v>
      </c>
      <c r="C251" s="1" t="s">
        <v>188</v>
      </c>
      <c r="D251" s="1">
        <v>16.218415024691691</v>
      </c>
      <c r="E251" s="1">
        <v>11.86627684313709</v>
      </c>
      <c r="F251" s="1">
        <v>4.2639892017679502E-2</v>
      </c>
      <c r="G251" s="1">
        <v>4.33325137707576E-2</v>
      </c>
      <c r="H251" s="1">
        <v>38.85494517432123</v>
      </c>
      <c r="I251" s="1">
        <v>38.85494517432123</v>
      </c>
      <c r="J251" s="1" t="b">
        <v>1</v>
      </c>
      <c r="K251" s="1" t="b">
        <v>1</v>
      </c>
    </row>
    <row r="252" spans="1:11" ht="19" customHeight="1" x14ac:dyDescent="0.3">
      <c r="A252" t="s">
        <v>42</v>
      </c>
      <c r="B252" s="1">
        <v>43</v>
      </c>
      <c r="C252" s="1" t="s">
        <v>186</v>
      </c>
      <c r="D252" s="1">
        <v>15.266914864330751</v>
      </c>
      <c r="E252" s="1">
        <v>11.53218054823904</v>
      </c>
      <c r="F252" s="1">
        <v>3.1799693183614398E-2</v>
      </c>
      <c r="G252" s="1">
        <v>8.0262583551059502E-2</v>
      </c>
      <c r="H252" s="1">
        <v>38.880995752574208</v>
      </c>
      <c r="I252" s="1">
        <v>38.880995752574208</v>
      </c>
      <c r="J252" s="1" t="b">
        <v>1</v>
      </c>
      <c r="K252" s="1" t="b">
        <v>1</v>
      </c>
    </row>
    <row r="253" spans="1:11" ht="19" customHeight="1" x14ac:dyDescent="0.3">
      <c r="A253" t="s">
        <v>42</v>
      </c>
      <c r="B253" s="1">
        <v>43</v>
      </c>
      <c r="C253" s="1" t="s">
        <v>188</v>
      </c>
      <c r="D253" s="1">
        <v>19.872614335121831</v>
      </c>
      <c r="E253" s="1">
        <v>17.247101206510411</v>
      </c>
      <c r="F253" s="1">
        <v>3.3445039582703402E-2</v>
      </c>
      <c r="G253" s="1">
        <v>8.4695169720879898E-2</v>
      </c>
      <c r="H253" s="1">
        <v>38.896831634555369</v>
      </c>
      <c r="I253" s="1">
        <v>38.896831634555369</v>
      </c>
      <c r="J253" s="1" t="b">
        <v>1</v>
      </c>
      <c r="K253" s="1" t="b">
        <v>0</v>
      </c>
    </row>
    <row r="254" spans="1:11" ht="19" customHeight="1" x14ac:dyDescent="0.3">
      <c r="A254" t="s">
        <v>42</v>
      </c>
      <c r="B254" s="1">
        <v>43</v>
      </c>
      <c r="C254" s="1" t="s">
        <v>188</v>
      </c>
      <c r="D254" s="1">
        <v>22.381974105780898</v>
      </c>
      <c r="E254" s="1">
        <v>20.053617961180532</v>
      </c>
      <c r="F254" s="1">
        <v>4.1093962987385602E-2</v>
      </c>
      <c r="G254" s="1">
        <v>7.1445682997440793E-2</v>
      </c>
      <c r="H254" s="1">
        <v>38.907551287669889</v>
      </c>
      <c r="I254" s="1">
        <v>38.907551287669889</v>
      </c>
      <c r="J254" s="1" t="b">
        <v>1</v>
      </c>
      <c r="K254" s="1" t="b">
        <v>0</v>
      </c>
    </row>
    <row r="255" spans="1:11" ht="19" customHeight="1" x14ac:dyDescent="0.3">
      <c r="A255" t="s">
        <v>42</v>
      </c>
      <c r="B255" s="1">
        <v>43</v>
      </c>
      <c r="C255" s="1" t="s">
        <v>187</v>
      </c>
      <c r="D255" s="1">
        <v>21.25</v>
      </c>
      <c r="E255" s="1">
        <v>15</v>
      </c>
      <c r="F255" s="1">
        <v>4.7500000000000001E-2</v>
      </c>
      <c r="G255" s="1">
        <v>5.1249999999999997E-2</v>
      </c>
      <c r="H255" s="1">
        <v>38.914024985157461</v>
      </c>
      <c r="I255" s="1">
        <v>38.914024985157461</v>
      </c>
      <c r="J255" s="1" t="b">
        <v>1</v>
      </c>
      <c r="K255" s="1" t="b">
        <v>0</v>
      </c>
    </row>
    <row r="256" spans="1:11" ht="19" customHeight="1" x14ac:dyDescent="0.3">
      <c r="A256" t="s">
        <v>42</v>
      </c>
      <c r="B256" s="1">
        <v>43</v>
      </c>
      <c r="C256" s="1" t="s">
        <v>186</v>
      </c>
      <c r="D256" s="1">
        <v>15.33659605193299</v>
      </c>
      <c r="E256" s="1">
        <v>12.07189889698812</v>
      </c>
      <c r="F256" s="1">
        <v>4.2967840251035602E-2</v>
      </c>
      <c r="G256" s="1">
        <v>8.0442750024016699E-2</v>
      </c>
      <c r="H256" s="1">
        <v>38.920831349261682</v>
      </c>
      <c r="I256" s="1">
        <v>38.920831349261682</v>
      </c>
      <c r="J256" s="1" t="b">
        <v>1</v>
      </c>
      <c r="K256" s="1" t="b">
        <v>1</v>
      </c>
    </row>
    <row r="257" spans="1:11" ht="19" customHeight="1" x14ac:dyDescent="0.3">
      <c r="A257" t="s">
        <v>42</v>
      </c>
      <c r="B257" s="1">
        <v>43</v>
      </c>
      <c r="C257" s="1" t="s">
        <v>186</v>
      </c>
      <c r="D257" s="1">
        <v>15.930522688552889</v>
      </c>
      <c r="E257" s="1">
        <v>20.095057386798839</v>
      </c>
      <c r="F257" s="1">
        <v>4.542281364339E-2</v>
      </c>
      <c r="G257" s="1">
        <v>7.2735224306855195E-2</v>
      </c>
      <c r="H257" s="1">
        <v>38.948237475901657</v>
      </c>
      <c r="I257" s="1">
        <v>38.948237475901657</v>
      </c>
      <c r="J257" s="1" t="b">
        <v>1</v>
      </c>
      <c r="K257" s="1" t="b">
        <v>0</v>
      </c>
    </row>
    <row r="258" spans="1:11" ht="19" customHeight="1" x14ac:dyDescent="0.3">
      <c r="A258" t="s">
        <v>42</v>
      </c>
      <c r="B258" s="1">
        <v>43</v>
      </c>
      <c r="C258" s="1" t="s">
        <v>188</v>
      </c>
      <c r="D258" s="1">
        <v>18.707791478384209</v>
      </c>
      <c r="E258" s="1">
        <v>11.657430319143939</v>
      </c>
      <c r="F258" s="1">
        <v>4.1173714529659303E-2</v>
      </c>
      <c r="G258" s="1">
        <v>7.8284604231811994E-2</v>
      </c>
      <c r="H258" s="1">
        <v>38.969297534086721</v>
      </c>
      <c r="I258" s="1">
        <v>38.969297534086721</v>
      </c>
      <c r="J258" s="1" t="b">
        <v>1</v>
      </c>
      <c r="K258" s="1" t="b">
        <v>0</v>
      </c>
    </row>
    <row r="259" spans="1:11" ht="19" customHeight="1" x14ac:dyDescent="0.3">
      <c r="A259" t="s">
        <v>42</v>
      </c>
      <c r="B259" s="1">
        <v>43</v>
      </c>
      <c r="C259" s="1" t="s">
        <v>188</v>
      </c>
      <c r="D259" s="1">
        <v>22.92901097724852</v>
      </c>
      <c r="E259" s="1">
        <v>16.439020733413631</v>
      </c>
      <c r="F259" s="1">
        <v>3.0813836603180302E-2</v>
      </c>
      <c r="G259" s="1">
        <v>4.0571661199658403E-2</v>
      </c>
      <c r="H259" s="1">
        <v>38.995369088499167</v>
      </c>
      <c r="I259" s="1">
        <v>38.995369088499167</v>
      </c>
      <c r="J259" s="1" t="b">
        <v>1</v>
      </c>
      <c r="K259" s="1" t="b">
        <v>0</v>
      </c>
    </row>
    <row r="260" spans="1:11" ht="19" customHeight="1" x14ac:dyDescent="0.3">
      <c r="A260" t="s">
        <v>42</v>
      </c>
      <c r="B260" s="1">
        <v>43</v>
      </c>
      <c r="C260" s="1" t="s">
        <v>187</v>
      </c>
      <c r="D260" s="1">
        <v>21.25</v>
      </c>
      <c r="E260" s="1">
        <v>15</v>
      </c>
      <c r="F260" s="1">
        <v>4.7500000000000001E-2</v>
      </c>
      <c r="G260" s="1">
        <v>7.3749999999999996E-2</v>
      </c>
      <c r="H260" s="1">
        <v>38.999784388863567</v>
      </c>
      <c r="I260" s="1">
        <v>38.999784388863567</v>
      </c>
      <c r="J260" s="1" t="b">
        <v>1</v>
      </c>
      <c r="K260" s="1" t="b">
        <v>0</v>
      </c>
    </row>
    <row r="261" spans="1:11" ht="19" customHeight="1" x14ac:dyDescent="0.3">
      <c r="A261" t="s">
        <v>42</v>
      </c>
      <c r="B261" s="1">
        <v>43</v>
      </c>
      <c r="C261" s="1" t="s">
        <v>186</v>
      </c>
      <c r="D261" s="1">
        <v>20.901986683639521</v>
      </c>
      <c r="E261" s="1">
        <v>20.795467096964401</v>
      </c>
      <c r="F261" s="1">
        <v>4.5371907101138399E-2</v>
      </c>
      <c r="G261" s="1">
        <v>7.5001735222627194E-2</v>
      </c>
      <c r="H261" s="1">
        <v>39.019301568919659</v>
      </c>
      <c r="I261" s="1">
        <v>39.019301568919659</v>
      </c>
      <c r="J261" s="1" t="b">
        <v>1</v>
      </c>
      <c r="K261" s="1" t="b">
        <v>0</v>
      </c>
    </row>
    <row r="262" spans="1:11" ht="19" customHeight="1" x14ac:dyDescent="0.3">
      <c r="A262" t="s">
        <v>42</v>
      </c>
      <c r="B262" s="1">
        <v>43</v>
      </c>
      <c r="C262" s="1" t="s">
        <v>186</v>
      </c>
      <c r="D262" s="1">
        <v>12.723021350940259</v>
      </c>
      <c r="E262" s="1">
        <v>18.651473049445261</v>
      </c>
      <c r="F262" s="1">
        <v>4.2100635522420098E-2</v>
      </c>
      <c r="G262" s="1">
        <v>4.4829339505859198E-2</v>
      </c>
      <c r="H262" s="1">
        <v>39.022150248402554</v>
      </c>
      <c r="I262" s="1">
        <v>39.022150248402554</v>
      </c>
      <c r="J262" s="1" t="b">
        <v>1</v>
      </c>
      <c r="K262" s="1" t="b">
        <v>0</v>
      </c>
    </row>
    <row r="263" spans="1:11" ht="19" customHeight="1" x14ac:dyDescent="0.3">
      <c r="A263" t="s">
        <v>42</v>
      </c>
      <c r="B263" s="1">
        <v>43</v>
      </c>
      <c r="C263" s="1" t="s">
        <v>188</v>
      </c>
      <c r="D263" s="1">
        <v>15.99260143846109</v>
      </c>
      <c r="E263" s="1">
        <v>19.726870758443489</v>
      </c>
      <c r="F263" s="1">
        <v>5.14518969683989E-2</v>
      </c>
      <c r="G263" s="1">
        <v>6.8868707746844907E-2</v>
      </c>
      <c r="H263" s="1">
        <v>39.027674112165712</v>
      </c>
      <c r="I263" s="1">
        <v>39.027674112165712</v>
      </c>
      <c r="J263" s="1" t="b">
        <v>1</v>
      </c>
      <c r="K263" s="1" t="b">
        <v>0</v>
      </c>
    </row>
    <row r="264" spans="1:11" ht="19" customHeight="1" x14ac:dyDescent="0.3">
      <c r="A264" t="s">
        <v>42</v>
      </c>
      <c r="B264" s="1">
        <v>43</v>
      </c>
      <c r="C264" s="1" t="s">
        <v>186</v>
      </c>
      <c r="D264" s="1">
        <v>23.753261091908481</v>
      </c>
      <c r="E264" s="1">
        <v>19.79728431563117</v>
      </c>
      <c r="F264" s="1">
        <v>4.4498022078513097E-2</v>
      </c>
      <c r="G264" s="1">
        <v>6.1927777373814698E-2</v>
      </c>
      <c r="H264" s="1">
        <v>39.043059379609403</v>
      </c>
      <c r="I264" s="1">
        <v>39.043059379609403</v>
      </c>
      <c r="J264" s="1" t="b">
        <v>1</v>
      </c>
      <c r="K264" s="1" t="b">
        <v>0</v>
      </c>
    </row>
    <row r="265" spans="1:11" ht="19" customHeight="1" x14ac:dyDescent="0.3">
      <c r="A265" t="s">
        <v>42</v>
      </c>
      <c r="B265" s="1">
        <v>43</v>
      </c>
      <c r="C265" s="1" t="s">
        <v>185</v>
      </c>
      <c r="D265" s="1">
        <v>14.99998569932527</v>
      </c>
      <c r="E265" s="1">
        <v>22.360679774997891</v>
      </c>
      <c r="F265" s="1">
        <v>3.6404687593182099E-2</v>
      </c>
      <c r="G265" s="1">
        <v>7.1519381981903205E-2</v>
      </c>
      <c r="H265" s="1">
        <v>39.087778181455043</v>
      </c>
      <c r="I265" s="1">
        <v>39.087778181455043</v>
      </c>
      <c r="J265" s="1" t="b">
        <v>1</v>
      </c>
      <c r="K265" s="1" t="b">
        <v>0</v>
      </c>
    </row>
    <row r="266" spans="1:11" ht="19" customHeight="1" x14ac:dyDescent="0.3">
      <c r="A266" t="s">
        <v>42</v>
      </c>
      <c r="B266" s="1">
        <v>43</v>
      </c>
      <c r="C266" s="1" t="s">
        <v>188</v>
      </c>
      <c r="D266" s="1">
        <v>22.435481781684992</v>
      </c>
      <c r="E266" s="1">
        <v>23.740768213495521</v>
      </c>
      <c r="F266" s="1">
        <v>4.3725785529797598E-2</v>
      </c>
      <c r="G266" s="1">
        <v>5.8079271553422997E-2</v>
      </c>
      <c r="H266" s="1">
        <v>39.128662336071422</v>
      </c>
      <c r="I266" s="1">
        <v>39.128662336071422</v>
      </c>
      <c r="J266" s="1" t="b">
        <v>1</v>
      </c>
      <c r="K266" s="1" t="b">
        <v>0</v>
      </c>
    </row>
    <row r="267" spans="1:11" ht="19" customHeight="1" x14ac:dyDescent="0.3">
      <c r="A267" t="s">
        <v>42</v>
      </c>
      <c r="B267" s="1">
        <v>43</v>
      </c>
      <c r="C267" s="1" t="s">
        <v>188</v>
      </c>
      <c r="D267" s="1">
        <v>19.182484100946962</v>
      </c>
      <c r="E267" s="1">
        <v>13.030636607993589</v>
      </c>
      <c r="F267" s="1">
        <v>2.51188409117085E-2</v>
      </c>
      <c r="G267" s="1">
        <v>7.7938704104206197E-2</v>
      </c>
      <c r="H267" s="1">
        <v>39.130720486202328</v>
      </c>
      <c r="I267" s="1">
        <v>39.130720486202328</v>
      </c>
      <c r="J267" s="1" t="b">
        <v>1</v>
      </c>
      <c r="K267" s="1" t="b">
        <v>1</v>
      </c>
    </row>
    <row r="268" spans="1:11" ht="19" customHeight="1" x14ac:dyDescent="0.3">
      <c r="A268" t="s">
        <v>42</v>
      </c>
      <c r="B268" s="1">
        <v>43</v>
      </c>
      <c r="C268" s="1" t="s">
        <v>186</v>
      </c>
      <c r="D268" s="1">
        <v>16.205283021000049</v>
      </c>
      <c r="E268" s="1">
        <v>12.41504341031575</v>
      </c>
      <c r="F268" s="1">
        <v>5.2392924758610702E-2</v>
      </c>
      <c r="G268" s="1">
        <v>5.9398089756198001E-2</v>
      </c>
      <c r="H268" s="1">
        <v>39.148153243461053</v>
      </c>
      <c r="I268" s="1">
        <v>39.148153243461053</v>
      </c>
      <c r="J268" s="1" t="b">
        <v>1</v>
      </c>
      <c r="K268" s="1" t="b">
        <v>1</v>
      </c>
    </row>
    <row r="269" spans="1:11" ht="19" customHeight="1" x14ac:dyDescent="0.3">
      <c r="A269" t="s">
        <v>42</v>
      </c>
      <c r="B269" s="1">
        <v>43</v>
      </c>
      <c r="C269" s="1" t="s">
        <v>186</v>
      </c>
      <c r="D269" s="1">
        <v>23.753261091908481</v>
      </c>
      <c r="E269" s="1">
        <v>21.906569588883929</v>
      </c>
      <c r="F269" s="1">
        <v>4.1834132751403699E-2</v>
      </c>
      <c r="G269" s="1">
        <v>8.0893846930510896E-2</v>
      </c>
      <c r="H269" s="1">
        <v>39.205615458587559</v>
      </c>
      <c r="I269" s="1">
        <v>39.205615458587559</v>
      </c>
      <c r="J269" s="1" t="b">
        <v>1</v>
      </c>
      <c r="K269" s="1" t="b">
        <v>0</v>
      </c>
    </row>
    <row r="270" spans="1:11" ht="19" customHeight="1" x14ac:dyDescent="0.3">
      <c r="A270" t="s">
        <v>42</v>
      </c>
      <c r="B270" s="1">
        <v>43</v>
      </c>
      <c r="C270" s="1" t="s">
        <v>188</v>
      </c>
      <c r="D270" s="1">
        <v>16.826339769324939</v>
      </c>
      <c r="E270" s="1">
        <v>21.472612176424249</v>
      </c>
      <c r="F270" s="1">
        <v>4.9039844891693503E-2</v>
      </c>
      <c r="G270" s="1">
        <v>7.4346116706632701E-2</v>
      </c>
      <c r="H270" s="1">
        <v>39.206309376766953</v>
      </c>
      <c r="I270" s="1">
        <v>39.206309376766953</v>
      </c>
      <c r="J270" s="1" t="b">
        <v>1</v>
      </c>
      <c r="K270" s="1" t="b">
        <v>0</v>
      </c>
    </row>
    <row r="271" spans="1:11" ht="19" customHeight="1" x14ac:dyDescent="0.3">
      <c r="A271" t="s">
        <v>42</v>
      </c>
      <c r="B271" s="1">
        <v>43</v>
      </c>
      <c r="C271" s="1" t="s">
        <v>188</v>
      </c>
      <c r="D271" s="1">
        <v>15.9408557680842</v>
      </c>
      <c r="E271" s="1">
        <v>22.130102771081521</v>
      </c>
      <c r="F271" s="1">
        <v>4.1995528937038097E-2</v>
      </c>
      <c r="G271" s="1">
        <v>7.95467298654913E-2</v>
      </c>
      <c r="H271" s="1">
        <v>39.21008698477771</v>
      </c>
      <c r="I271" s="1">
        <v>39.21008698477771</v>
      </c>
      <c r="J271" s="1" t="b">
        <v>1</v>
      </c>
      <c r="K271" s="1" t="b">
        <v>0</v>
      </c>
    </row>
    <row r="272" spans="1:11" ht="19" customHeight="1" x14ac:dyDescent="0.3">
      <c r="A272" t="s">
        <v>42</v>
      </c>
      <c r="B272" s="1">
        <v>43</v>
      </c>
      <c r="C272" s="1" t="s">
        <v>187</v>
      </c>
      <c r="D272" s="1">
        <v>21.25</v>
      </c>
      <c r="E272" s="1">
        <v>25</v>
      </c>
      <c r="F272" s="1">
        <v>3.2500000000000001E-2</v>
      </c>
      <c r="G272" s="1">
        <v>5.1249999999999997E-2</v>
      </c>
      <c r="H272" s="1">
        <v>39.217535001771303</v>
      </c>
      <c r="I272" s="1">
        <v>39.217535001771303</v>
      </c>
      <c r="J272" s="1" t="b">
        <v>1</v>
      </c>
      <c r="K272" s="1" t="b">
        <v>0</v>
      </c>
    </row>
    <row r="273" spans="1:11" ht="19" customHeight="1" x14ac:dyDescent="0.3">
      <c r="A273" t="s">
        <v>42</v>
      </c>
      <c r="B273" s="1">
        <v>43</v>
      </c>
      <c r="C273" s="1" t="s">
        <v>188</v>
      </c>
      <c r="D273" s="1">
        <v>20.41864417139718</v>
      </c>
      <c r="E273" s="1">
        <v>14.389469141623319</v>
      </c>
      <c r="F273" s="1">
        <v>5.2808042077509602E-2</v>
      </c>
      <c r="G273" s="1">
        <v>5.0110315735858099E-2</v>
      </c>
      <c r="H273" s="1">
        <v>39.223682765495177</v>
      </c>
      <c r="I273" s="1">
        <v>39.223682765495177</v>
      </c>
      <c r="J273" s="1" t="b">
        <v>1</v>
      </c>
      <c r="K273" s="1" t="b">
        <v>0</v>
      </c>
    </row>
    <row r="274" spans="1:11" ht="19" customHeight="1" x14ac:dyDescent="0.3">
      <c r="A274" t="s">
        <v>42</v>
      </c>
      <c r="B274" s="1">
        <v>43</v>
      </c>
      <c r="C274" s="1" t="s">
        <v>186</v>
      </c>
      <c r="D274" s="1">
        <v>24.25570173523122</v>
      </c>
      <c r="E274" s="1">
        <v>23.014941229232949</v>
      </c>
      <c r="F274" s="1">
        <v>2.81239191495588E-2</v>
      </c>
      <c r="G274" s="1">
        <v>7.7685241241605196E-2</v>
      </c>
      <c r="H274" s="1">
        <v>39.229239203123463</v>
      </c>
      <c r="I274" s="1">
        <v>39.229239203123463</v>
      </c>
      <c r="J274" s="1" t="b">
        <v>1</v>
      </c>
      <c r="K274" s="1" t="b">
        <v>0</v>
      </c>
    </row>
    <row r="275" spans="1:11" ht="19" customHeight="1" x14ac:dyDescent="0.3">
      <c r="A275" t="s">
        <v>42</v>
      </c>
      <c r="B275" s="1">
        <v>43</v>
      </c>
      <c r="C275" s="1" t="s">
        <v>188</v>
      </c>
      <c r="D275" s="1">
        <v>16.299668645744021</v>
      </c>
      <c r="E275" s="1">
        <v>19.020627740022171</v>
      </c>
      <c r="F275" s="1">
        <v>5.3659437376637101E-2</v>
      </c>
      <c r="G275" s="1">
        <v>8.0135575113236907E-2</v>
      </c>
      <c r="H275" s="1">
        <v>39.268486547761917</v>
      </c>
      <c r="I275" s="1">
        <v>39.268486547761917</v>
      </c>
      <c r="J275" s="1" t="b">
        <v>1</v>
      </c>
      <c r="K275" s="1" t="b">
        <v>1</v>
      </c>
    </row>
    <row r="276" spans="1:11" ht="19" customHeight="1" x14ac:dyDescent="0.3">
      <c r="A276" t="s">
        <v>42</v>
      </c>
      <c r="B276" s="1">
        <v>43</v>
      </c>
      <c r="C276" s="1" t="s">
        <v>186</v>
      </c>
      <c r="D276" s="1">
        <v>19.290768508543898</v>
      </c>
      <c r="E276" s="1">
        <v>12.323921863685751</v>
      </c>
      <c r="F276" s="1">
        <v>5.0738102484939901E-2</v>
      </c>
      <c r="G276" s="1">
        <v>4.9059144050924701E-2</v>
      </c>
      <c r="H276" s="1">
        <v>39.280096530195159</v>
      </c>
      <c r="I276" s="1">
        <v>39.280096530195159</v>
      </c>
      <c r="J276" s="1" t="b">
        <v>1</v>
      </c>
      <c r="K276" s="1" t="b">
        <v>0</v>
      </c>
    </row>
    <row r="277" spans="1:11" ht="19" customHeight="1" x14ac:dyDescent="0.3">
      <c r="A277" t="s">
        <v>42</v>
      </c>
      <c r="B277" s="1">
        <v>43</v>
      </c>
      <c r="C277" s="1" t="s">
        <v>187</v>
      </c>
      <c r="D277" s="1">
        <v>21.25</v>
      </c>
      <c r="E277" s="1">
        <v>25</v>
      </c>
      <c r="F277" s="1">
        <v>3.2500000000000001E-2</v>
      </c>
      <c r="G277" s="1">
        <v>7.3749999999999996E-2</v>
      </c>
      <c r="H277" s="1">
        <v>39.281426296960213</v>
      </c>
      <c r="I277" s="1">
        <v>39.281426296960213</v>
      </c>
      <c r="J277" s="1" t="b">
        <v>1</v>
      </c>
      <c r="K277" s="1" t="b">
        <v>0</v>
      </c>
    </row>
    <row r="278" spans="1:11" ht="19" customHeight="1" x14ac:dyDescent="0.3">
      <c r="A278" t="s">
        <v>42</v>
      </c>
      <c r="B278" s="1">
        <v>43</v>
      </c>
      <c r="C278" s="1" t="s">
        <v>186</v>
      </c>
      <c r="D278" s="1">
        <v>17.945871594069299</v>
      </c>
      <c r="E278" s="1">
        <v>15.395120588772761</v>
      </c>
      <c r="F278" s="1">
        <v>5.4617010371530002E-2</v>
      </c>
      <c r="G278" s="1">
        <v>4.4334518722047002E-2</v>
      </c>
      <c r="H278" s="1">
        <v>39.284005367519192</v>
      </c>
      <c r="I278" s="1">
        <v>39.284005367519192</v>
      </c>
      <c r="J278" s="1" t="b">
        <v>1</v>
      </c>
      <c r="K278" s="1" t="b">
        <v>1</v>
      </c>
    </row>
    <row r="279" spans="1:11" ht="19" customHeight="1" x14ac:dyDescent="0.3">
      <c r="A279" t="s">
        <v>42</v>
      </c>
      <c r="B279" s="1">
        <v>43</v>
      </c>
      <c r="C279" s="1" t="s">
        <v>188</v>
      </c>
      <c r="D279" s="1">
        <v>10.75929643447655</v>
      </c>
      <c r="E279" s="1">
        <v>19.019407586550749</v>
      </c>
      <c r="F279" s="1">
        <v>4.1662496864839603E-2</v>
      </c>
      <c r="G279" s="1">
        <v>4.53626735944836E-2</v>
      </c>
      <c r="H279" s="1">
        <v>39.29892918240548</v>
      </c>
      <c r="I279" s="1">
        <v>39.29892918240548</v>
      </c>
      <c r="J279" s="1" t="b">
        <v>1</v>
      </c>
      <c r="K279" s="1" t="b">
        <v>0</v>
      </c>
    </row>
    <row r="280" spans="1:11" ht="19" customHeight="1" x14ac:dyDescent="0.3">
      <c r="A280" t="s">
        <v>42</v>
      </c>
      <c r="B280" s="1">
        <v>43</v>
      </c>
      <c r="C280" s="1" t="s">
        <v>186</v>
      </c>
      <c r="D280" s="1">
        <v>13.04338155784494</v>
      </c>
      <c r="E280" s="1">
        <v>24.38053979888921</v>
      </c>
      <c r="F280" s="1">
        <v>3.9633836218649098E-2</v>
      </c>
      <c r="G280" s="1">
        <v>5.3621569452521001E-2</v>
      </c>
      <c r="H280" s="1">
        <v>39.365129031684667</v>
      </c>
      <c r="I280" s="1">
        <v>39.365129031684667</v>
      </c>
      <c r="J280" s="1" t="b">
        <v>1</v>
      </c>
      <c r="K280" s="1" t="b">
        <v>0</v>
      </c>
    </row>
    <row r="281" spans="1:11" ht="19" customHeight="1" x14ac:dyDescent="0.3">
      <c r="A281" t="s">
        <v>42</v>
      </c>
      <c r="B281" s="1">
        <v>43</v>
      </c>
      <c r="C281" s="1" t="s">
        <v>186</v>
      </c>
      <c r="D281" s="1">
        <v>16.84187828189572</v>
      </c>
      <c r="E281" s="1">
        <v>24.094448470811191</v>
      </c>
      <c r="F281" s="1">
        <v>2.94905312845581E-2</v>
      </c>
      <c r="G281" s="1">
        <v>4.0676658306152497E-2</v>
      </c>
      <c r="H281" s="1">
        <v>39.36799972028259</v>
      </c>
      <c r="I281" s="1">
        <v>39.36799972028259</v>
      </c>
      <c r="J281" s="1" t="b">
        <v>1</v>
      </c>
      <c r="K281" s="1" t="b">
        <v>0</v>
      </c>
    </row>
    <row r="282" spans="1:11" ht="19" customHeight="1" x14ac:dyDescent="0.3">
      <c r="A282" t="s">
        <v>42</v>
      </c>
      <c r="B282" s="1">
        <v>43</v>
      </c>
      <c r="C282" s="1" t="s">
        <v>186</v>
      </c>
      <c r="D282" s="1">
        <v>18.898165709014879</v>
      </c>
      <c r="E282" s="1">
        <v>26.210277789598209</v>
      </c>
      <c r="F282" s="1">
        <v>3.6982136175384803E-2</v>
      </c>
      <c r="G282" s="1">
        <v>6.4807814914978501E-2</v>
      </c>
      <c r="H282" s="1">
        <v>39.373680792594399</v>
      </c>
      <c r="I282" s="1">
        <v>39.373680792594399</v>
      </c>
      <c r="J282" s="1" t="b">
        <v>1</v>
      </c>
      <c r="K282" s="1" t="b">
        <v>0</v>
      </c>
    </row>
    <row r="283" spans="1:11" ht="19" customHeight="1" x14ac:dyDescent="0.3">
      <c r="A283" t="s">
        <v>42</v>
      </c>
      <c r="B283" s="1">
        <v>43</v>
      </c>
      <c r="C283" s="1" t="s">
        <v>187</v>
      </c>
      <c r="D283" s="1">
        <v>21.25</v>
      </c>
      <c r="E283" s="1">
        <v>25</v>
      </c>
      <c r="F283" s="1">
        <v>4.7500000000000001E-2</v>
      </c>
      <c r="G283" s="1">
        <v>5.1249999999999997E-2</v>
      </c>
      <c r="H283" s="1">
        <v>39.398488355266039</v>
      </c>
      <c r="I283" s="1">
        <v>39.398488355266039</v>
      </c>
      <c r="J283" s="1" t="b">
        <v>1</v>
      </c>
      <c r="K283" s="1" t="b">
        <v>0</v>
      </c>
    </row>
    <row r="284" spans="1:11" ht="19" customHeight="1" x14ac:dyDescent="0.3">
      <c r="A284" t="s">
        <v>42</v>
      </c>
      <c r="B284" s="1">
        <v>43</v>
      </c>
      <c r="C284" s="1" t="s">
        <v>187</v>
      </c>
      <c r="D284" s="1">
        <v>13.75</v>
      </c>
      <c r="E284" s="1">
        <v>25</v>
      </c>
      <c r="F284" s="1">
        <v>3.2500000000000001E-2</v>
      </c>
      <c r="G284" s="1">
        <v>5.1249999999999997E-2</v>
      </c>
      <c r="H284" s="1">
        <v>39.414163755620557</v>
      </c>
      <c r="I284" s="1">
        <v>39.414163755620557</v>
      </c>
      <c r="J284" s="1" t="b">
        <v>1</v>
      </c>
      <c r="K284" s="1" t="b">
        <v>0</v>
      </c>
    </row>
    <row r="285" spans="1:11" ht="19" customHeight="1" x14ac:dyDescent="0.3">
      <c r="A285" t="s">
        <v>42</v>
      </c>
      <c r="B285" s="1">
        <v>43</v>
      </c>
      <c r="C285" s="1" t="s">
        <v>187</v>
      </c>
      <c r="D285" s="1">
        <v>13.75</v>
      </c>
      <c r="E285" s="1">
        <v>25</v>
      </c>
      <c r="F285" s="1">
        <v>3.2500000000000001E-2</v>
      </c>
      <c r="G285" s="1">
        <v>7.3749999999999996E-2</v>
      </c>
      <c r="H285" s="1">
        <v>39.48653461895065</v>
      </c>
      <c r="I285" s="1">
        <v>39.48653461895065</v>
      </c>
      <c r="J285" s="1" t="b">
        <v>1</v>
      </c>
      <c r="K285" s="1" t="b">
        <v>0</v>
      </c>
    </row>
    <row r="286" spans="1:11" ht="19" customHeight="1" x14ac:dyDescent="0.3">
      <c r="A286" t="s">
        <v>42</v>
      </c>
      <c r="B286" s="1">
        <v>43</v>
      </c>
      <c r="C286" s="1" t="s">
        <v>187</v>
      </c>
      <c r="D286" s="1">
        <v>21.25</v>
      </c>
      <c r="E286" s="1">
        <v>25</v>
      </c>
      <c r="F286" s="1">
        <v>4.7500000000000001E-2</v>
      </c>
      <c r="G286" s="1">
        <v>7.3749999999999996E-2</v>
      </c>
      <c r="H286" s="1">
        <v>39.500017332607356</v>
      </c>
      <c r="I286" s="1">
        <v>39.500017332607356</v>
      </c>
      <c r="J286" s="1" t="b">
        <v>1</v>
      </c>
      <c r="K286" s="1" t="b">
        <v>0</v>
      </c>
    </row>
    <row r="287" spans="1:11" ht="19" customHeight="1" x14ac:dyDescent="0.3">
      <c r="A287" t="s">
        <v>42</v>
      </c>
      <c r="B287" s="1">
        <v>43</v>
      </c>
      <c r="C287" s="1" t="s">
        <v>187</v>
      </c>
      <c r="D287" s="1">
        <v>13.75</v>
      </c>
      <c r="E287" s="1">
        <v>25</v>
      </c>
      <c r="F287" s="1">
        <v>4.7500000000000001E-2</v>
      </c>
      <c r="G287" s="1">
        <v>5.1249999999999997E-2</v>
      </c>
      <c r="H287" s="1">
        <v>39.606000742512343</v>
      </c>
      <c r="I287" s="1">
        <v>39.606000742512343</v>
      </c>
      <c r="J287" s="1" t="b">
        <v>1</v>
      </c>
      <c r="K287" s="1" t="b">
        <v>0</v>
      </c>
    </row>
    <row r="288" spans="1:11" ht="19" customHeight="1" x14ac:dyDescent="0.3">
      <c r="A288" t="s">
        <v>42</v>
      </c>
      <c r="B288" s="1">
        <v>43</v>
      </c>
      <c r="C288" s="1" t="s">
        <v>186</v>
      </c>
      <c r="D288" s="1">
        <v>16.679800019856319</v>
      </c>
      <c r="E288" s="1">
        <v>26.210277789598209</v>
      </c>
      <c r="F288" s="1">
        <v>4.6795336718988501E-2</v>
      </c>
      <c r="G288" s="1">
        <v>6.4807814914978501E-2</v>
      </c>
      <c r="H288" s="1">
        <v>39.636256155838709</v>
      </c>
      <c r="I288" s="1">
        <v>39.636256155838709</v>
      </c>
      <c r="J288" s="1" t="b">
        <v>1</v>
      </c>
      <c r="K288" s="1" t="b">
        <v>0</v>
      </c>
    </row>
    <row r="289" spans="1:12" ht="19" customHeight="1" x14ac:dyDescent="0.3">
      <c r="A289" t="s">
        <v>42</v>
      </c>
      <c r="B289" s="1">
        <v>43</v>
      </c>
      <c r="C289" s="1" t="s">
        <v>186</v>
      </c>
      <c r="D289" s="1">
        <v>13.05101980549364</v>
      </c>
      <c r="E289" s="1">
        <v>26.241965615492632</v>
      </c>
      <c r="F289" s="1">
        <v>3.9540662386997501E-2</v>
      </c>
      <c r="G289" s="1">
        <v>6.7699671286321997E-2</v>
      </c>
      <c r="H289" s="1">
        <v>39.656348832820001</v>
      </c>
      <c r="I289" s="1">
        <v>39.656348832820001</v>
      </c>
      <c r="J289" s="1" t="b">
        <v>1</v>
      </c>
      <c r="K289" s="1" t="b">
        <v>0</v>
      </c>
    </row>
    <row r="290" spans="1:12" ht="19" customHeight="1" x14ac:dyDescent="0.3">
      <c r="A290" t="s">
        <v>42</v>
      </c>
      <c r="B290" s="1">
        <v>43</v>
      </c>
      <c r="C290" s="1" t="s">
        <v>186</v>
      </c>
      <c r="D290" s="1">
        <v>13.05101980549364</v>
      </c>
      <c r="E290" s="1">
        <v>26.241965615492632</v>
      </c>
      <c r="F290" s="1">
        <v>4.2070035530977601E-2</v>
      </c>
      <c r="G290" s="1">
        <v>6.12152570742261E-2</v>
      </c>
      <c r="H290" s="1">
        <v>39.664074641342012</v>
      </c>
      <c r="I290" s="1">
        <v>39.664074641342012</v>
      </c>
      <c r="J290" s="1" t="b">
        <v>1</v>
      </c>
      <c r="K290" s="1" t="b">
        <v>0</v>
      </c>
    </row>
    <row r="291" spans="1:12" ht="19" customHeight="1" x14ac:dyDescent="0.3">
      <c r="A291" t="s">
        <v>42</v>
      </c>
      <c r="B291" s="1">
        <v>43</v>
      </c>
      <c r="C291" s="1" t="s">
        <v>187</v>
      </c>
      <c r="D291" s="1">
        <v>13.75</v>
      </c>
      <c r="E291" s="1">
        <v>25</v>
      </c>
      <c r="F291" s="1">
        <v>4.7500000000000001E-2</v>
      </c>
      <c r="G291" s="1">
        <v>7.3749999999999996E-2</v>
      </c>
      <c r="H291" s="1">
        <v>39.67032275502433</v>
      </c>
      <c r="I291" s="1">
        <v>39.67032275502433</v>
      </c>
      <c r="J291" s="1" t="b">
        <v>1</v>
      </c>
      <c r="K291" s="1" t="b">
        <v>0</v>
      </c>
    </row>
    <row r="292" spans="1:12" ht="19" customHeight="1" x14ac:dyDescent="0.3">
      <c r="A292" t="s">
        <v>42</v>
      </c>
      <c r="B292" s="1">
        <v>43</v>
      </c>
      <c r="C292" s="1" t="s">
        <v>186</v>
      </c>
      <c r="D292" s="1">
        <v>13.05101980549364</v>
      </c>
      <c r="E292" s="1">
        <v>26.241965615492632</v>
      </c>
      <c r="F292" s="1">
        <v>3.3068445493298702E-2</v>
      </c>
      <c r="G292" s="1">
        <v>7.5270796986770194E-2</v>
      </c>
      <c r="H292" s="1">
        <v>39.69883723346495</v>
      </c>
      <c r="I292" s="1">
        <v>39.69883723346495</v>
      </c>
      <c r="J292" s="1" t="b">
        <v>1</v>
      </c>
      <c r="K292" s="1" t="b">
        <v>0</v>
      </c>
    </row>
    <row r="293" spans="1:12" ht="19" customHeight="1" x14ac:dyDescent="0.3">
      <c r="A293" t="s">
        <v>42</v>
      </c>
      <c r="B293" s="1">
        <v>43</v>
      </c>
      <c r="C293" s="1" t="s">
        <v>186</v>
      </c>
      <c r="D293" s="1">
        <v>13.65322159786734</v>
      </c>
      <c r="E293" s="1">
        <v>27.872624529354621</v>
      </c>
      <c r="F293" s="1">
        <v>3.34137464189002E-2</v>
      </c>
      <c r="G293" s="1">
        <v>5.9333720784204201E-2</v>
      </c>
      <c r="H293" s="1">
        <v>39.759638791704873</v>
      </c>
      <c r="I293" s="1">
        <v>39.759638791704873</v>
      </c>
      <c r="J293" s="1" t="b">
        <v>1</v>
      </c>
      <c r="K293" s="1" t="b">
        <v>0</v>
      </c>
    </row>
    <row r="294" spans="1:12" ht="19" customHeight="1" x14ac:dyDescent="0.3">
      <c r="A294" t="s">
        <v>42</v>
      </c>
      <c r="B294" s="1">
        <v>43</v>
      </c>
      <c r="C294" s="1" t="s">
        <v>188</v>
      </c>
      <c r="D294" s="1">
        <v>23.792291336495229</v>
      </c>
      <c r="E294" s="1">
        <v>27.617116221580961</v>
      </c>
      <c r="F294" s="1">
        <v>4.5222267799191897E-2</v>
      </c>
      <c r="G294" s="1">
        <v>6.9650758289651393E-2</v>
      </c>
      <c r="H294" s="1">
        <v>39.787390662490672</v>
      </c>
      <c r="I294" s="1">
        <v>39.787390662490672</v>
      </c>
      <c r="J294" s="1" t="b">
        <v>1</v>
      </c>
      <c r="K294" s="1" t="b">
        <v>0</v>
      </c>
    </row>
    <row r="295" spans="1:12" ht="19" customHeight="1" x14ac:dyDescent="0.3">
      <c r="A295" t="s">
        <v>42</v>
      </c>
      <c r="B295" s="1">
        <v>43</v>
      </c>
      <c r="C295" s="1" t="s">
        <v>186</v>
      </c>
      <c r="D295" s="1">
        <v>11.90220046039784</v>
      </c>
      <c r="E295" s="1">
        <v>26.764069361358288</v>
      </c>
      <c r="F295" s="1">
        <v>2.5250108057848698E-2</v>
      </c>
      <c r="G295" s="1">
        <v>7.0015498598526696E-2</v>
      </c>
      <c r="H295" s="1">
        <v>39.846677424388361</v>
      </c>
      <c r="I295" s="1">
        <v>39.846677424388361</v>
      </c>
      <c r="J295" s="1" t="b">
        <v>1</v>
      </c>
      <c r="K295" s="1" t="b">
        <v>0</v>
      </c>
    </row>
    <row r="296" spans="1:12" ht="19" customHeight="1" x14ac:dyDescent="0.3">
      <c r="A296" t="s">
        <v>42</v>
      </c>
      <c r="B296" s="1">
        <v>43</v>
      </c>
      <c r="C296" s="1" t="s">
        <v>186</v>
      </c>
      <c r="D296" s="1">
        <v>24.407101319579471</v>
      </c>
      <c r="E296" s="1">
        <v>28.38089450985068</v>
      </c>
      <c r="F296" s="1">
        <v>2.67972252720244E-2</v>
      </c>
      <c r="G296" s="1">
        <v>7.8750818579223295E-2</v>
      </c>
      <c r="H296" s="1">
        <v>39.960090995774081</v>
      </c>
      <c r="I296" s="1">
        <v>39.960090995774081</v>
      </c>
      <c r="J296" s="1" t="b">
        <v>1</v>
      </c>
      <c r="K296" s="1" t="b">
        <v>0</v>
      </c>
    </row>
    <row r="297" spans="1:12" ht="19" customHeight="1" x14ac:dyDescent="0.3">
      <c r="A297" t="s">
        <v>42</v>
      </c>
      <c r="B297" s="1">
        <v>43</v>
      </c>
      <c r="C297" s="1" t="s">
        <v>186</v>
      </c>
      <c r="D297" s="1">
        <v>11.93694882944172</v>
      </c>
      <c r="E297" s="1">
        <v>28.38089450985068</v>
      </c>
      <c r="F297" s="1">
        <v>4.1994565089191901E-2</v>
      </c>
      <c r="G297" s="1">
        <v>7.2073457791413303E-2</v>
      </c>
      <c r="H297" s="1">
        <v>40.006176059779662</v>
      </c>
      <c r="I297" s="1">
        <v>40.006176059779662</v>
      </c>
      <c r="J297" s="1" t="b">
        <v>1</v>
      </c>
      <c r="K297" s="1" t="b">
        <v>0</v>
      </c>
    </row>
    <row r="298" spans="1:12" ht="19" customHeight="1" x14ac:dyDescent="0.3">
      <c r="A298" t="s">
        <v>42</v>
      </c>
      <c r="B298" s="1">
        <v>43</v>
      </c>
      <c r="C298" s="1" t="s">
        <v>186</v>
      </c>
      <c r="D298" s="1">
        <v>22.713121721353499</v>
      </c>
      <c r="E298" s="1">
        <v>28.998951845778379</v>
      </c>
      <c r="F298" s="1">
        <v>3.5097581714490803E-2</v>
      </c>
      <c r="G298" s="1">
        <v>8.3004060937480195E-2</v>
      </c>
      <c r="H298" s="1">
        <v>40.036831952205233</v>
      </c>
      <c r="I298" s="1">
        <v>40.036831952205233</v>
      </c>
      <c r="J298" s="1" t="b">
        <v>1</v>
      </c>
      <c r="K298" s="1" t="b">
        <v>0</v>
      </c>
    </row>
    <row r="299" spans="1:12" ht="19" customHeight="1" x14ac:dyDescent="0.3">
      <c r="A299" t="s">
        <v>42</v>
      </c>
      <c r="B299" s="1">
        <v>43</v>
      </c>
      <c r="C299" s="1" t="s">
        <v>186</v>
      </c>
      <c r="D299" s="1">
        <v>15.48338045101081</v>
      </c>
      <c r="E299" s="1">
        <v>28.38089450985068</v>
      </c>
      <c r="F299" s="1">
        <v>4.8879488277825803E-2</v>
      </c>
      <c r="G299" s="1">
        <v>4.7880757521143097E-2</v>
      </c>
      <c r="H299" s="1">
        <v>40.091005655109633</v>
      </c>
      <c r="I299" s="1">
        <v>40.091005655109633</v>
      </c>
      <c r="J299" s="1" t="b">
        <v>1</v>
      </c>
      <c r="K299" s="1" t="b">
        <v>0</v>
      </c>
    </row>
    <row r="300" spans="1:12" ht="19" customHeight="1" x14ac:dyDescent="0.3">
      <c r="A300" t="s">
        <v>42</v>
      </c>
      <c r="B300" s="1">
        <v>43</v>
      </c>
      <c r="C300" s="1" t="s">
        <v>188</v>
      </c>
      <c r="D300" s="1">
        <v>17.28232818936231</v>
      </c>
      <c r="E300" s="1">
        <v>28.902533603015769</v>
      </c>
      <c r="F300" s="1">
        <v>4.2795225623924897E-2</v>
      </c>
      <c r="G300" s="1">
        <v>8.2429056335591902E-2</v>
      </c>
      <c r="H300" s="1">
        <v>40.160324564536801</v>
      </c>
      <c r="I300" s="1">
        <v>40.160324564536801</v>
      </c>
      <c r="J300" s="1" t="b">
        <v>1</v>
      </c>
      <c r="K300" s="1" t="b">
        <v>0</v>
      </c>
    </row>
    <row r="301" spans="1:12" ht="19" customHeight="1" x14ac:dyDescent="0.3">
      <c r="A301" t="s">
        <v>42</v>
      </c>
      <c r="B301" s="1">
        <v>43</v>
      </c>
      <c r="C301" s="1" t="s">
        <v>188</v>
      </c>
      <c r="D301" s="1">
        <v>14.633856516176889</v>
      </c>
      <c r="E301" s="1">
        <v>29.03508032927229</v>
      </c>
      <c r="F301" s="1">
        <v>5.0146143348054298E-2</v>
      </c>
      <c r="G301" s="1">
        <v>6.4080771569392098E-2</v>
      </c>
      <c r="H301" s="1">
        <v>40.241804712138332</v>
      </c>
      <c r="I301" s="1">
        <v>40.241804712138332</v>
      </c>
      <c r="J301" s="1" t="b">
        <v>1</v>
      </c>
      <c r="K301" s="1" t="b">
        <v>0</v>
      </c>
    </row>
    <row r="302" spans="1:12" ht="19" customHeight="1" x14ac:dyDescent="0.3">
      <c r="A302" t="s">
        <v>42</v>
      </c>
      <c r="B302" s="1">
        <v>43</v>
      </c>
      <c r="C302" s="1" t="s">
        <v>186</v>
      </c>
      <c r="D302" s="1">
        <v>10.95367406785042</v>
      </c>
      <c r="E302" s="1">
        <v>11.81038076417123</v>
      </c>
      <c r="F302" s="1">
        <v>3.5006093450203897E-2</v>
      </c>
      <c r="G302" s="1">
        <v>7.6126083677631795E-2</v>
      </c>
      <c r="H302" s="1">
        <v>38.86857571875607</v>
      </c>
      <c r="I302" s="1">
        <v>38.86857571875607</v>
      </c>
      <c r="J302" s="1" t="b">
        <v>0</v>
      </c>
      <c r="K302" s="1" t="b">
        <v>0</v>
      </c>
      <c r="L302" s="1" t="s">
        <v>190</v>
      </c>
    </row>
    <row r="303" spans="1:12" ht="19" customHeight="1" x14ac:dyDescent="0.3">
      <c r="A303" t="s">
        <v>42</v>
      </c>
      <c r="B303" s="1">
        <v>43</v>
      </c>
      <c r="C303" s="1" t="s">
        <v>186</v>
      </c>
      <c r="D303" s="1">
        <v>24.215742801699999</v>
      </c>
      <c r="E303" s="1">
        <v>13.43255351835877</v>
      </c>
      <c r="F303" s="1">
        <v>3.3381752381688397E-2</v>
      </c>
      <c r="G303" s="1">
        <v>5.6397064551126502E-2</v>
      </c>
      <c r="H303" s="1">
        <v>38.941028273490318</v>
      </c>
      <c r="I303" s="1">
        <v>38.941028273490318</v>
      </c>
      <c r="J303" s="1" t="b">
        <v>0</v>
      </c>
      <c r="K303" s="1" t="b">
        <v>0</v>
      </c>
      <c r="L303" s="1" t="s">
        <v>191</v>
      </c>
    </row>
    <row r="304" spans="1:12" ht="19" customHeight="1" x14ac:dyDescent="0.3">
      <c r="A304" t="s">
        <v>42</v>
      </c>
      <c r="B304" s="1">
        <v>43</v>
      </c>
      <c r="C304" s="1" t="s">
        <v>186</v>
      </c>
      <c r="D304" s="1">
        <v>10.107863655990419</v>
      </c>
      <c r="E304" s="1">
        <v>13.821106170813939</v>
      </c>
      <c r="F304" s="1">
        <v>4.7306401130764099E-2</v>
      </c>
      <c r="G304" s="1">
        <v>6.5055614006399906E-2</v>
      </c>
      <c r="H304" s="1">
        <v>39.157081432911014</v>
      </c>
      <c r="I304" s="1">
        <v>39.157081432911014</v>
      </c>
      <c r="J304" s="1" t="b">
        <v>0</v>
      </c>
      <c r="K304" s="1" t="b">
        <v>0</v>
      </c>
      <c r="L304" s="1" t="s">
        <v>190</v>
      </c>
    </row>
    <row r="305" spans="1:12" ht="19" customHeight="1" x14ac:dyDescent="0.3">
      <c r="A305" t="s">
        <v>42</v>
      </c>
      <c r="B305" s="1">
        <v>43</v>
      </c>
      <c r="C305" s="1" t="s">
        <v>186</v>
      </c>
      <c r="D305" s="1">
        <v>11.24419286482294</v>
      </c>
      <c r="E305" s="1">
        <v>10.761333174099351</v>
      </c>
      <c r="F305" s="1">
        <v>5.2392924758610702E-2</v>
      </c>
      <c r="G305" s="1">
        <v>5.9398089756198001E-2</v>
      </c>
      <c r="H305" s="1">
        <v>39.336225856963601</v>
      </c>
      <c r="I305" s="1">
        <v>39.336225856963601</v>
      </c>
      <c r="J305" s="1" t="b">
        <v>0</v>
      </c>
      <c r="K305" s="1" t="b">
        <v>0</v>
      </c>
      <c r="L305" s="1" t="s">
        <v>190</v>
      </c>
    </row>
    <row r="306" spans="1:12" ht="19" customHeight="1" x14ac:dyDescent="0.3">
      <c r="A306" t="s">
        <v>42</v>
      </c>
      <c r="B306" s="1">
        <v>43</v>
      </c>
      <c r="C306" s="1" t="s">
        <v>188</v>
      </c>
      <c r="D306" s="1">
        <v>19.784488940513661</v>
      </c>
      <c r="E306" s="1">
        <v>10.87550647277993</v>
      </c>
      <c r="F306" s="1">
        <v>2.5600887606226499E-2</v>
      </c>
      <c r="G306" s="1">
        <v>7.7764566212996294E-2</v>
      </c>
      <c r="H306" s="1">
        <v>39.396355533314917</v>
      </c>
      <c r="I306" s="1">
        <v>39.396355533314917</v>
      </c>
      <c r="J306" s="1" t="b">
        <v>0</v>
      </c>
      <c r="K306" s="1" t="b">
        <v>0</v>
      </c>
      <c r="L306" s="1" t="s">
        <v>191</v>
      </c>
    </row>
    <row r="307" spans="1:12" ht="19" customHeight="1" x14ac:dyDescent="0.3">
      <c r="A307" t="s">
        <v>42</v>
      </c>
      <c r="B307" s="1">
        <v>43</v>
      </c>
      <c r="C307" s="1" t="s">
        <v>188</v>
      </c>
      <c r="D307" s="1">
        <v>24.968226164111801</v>
      </c>
      <c r="E307" s="1">
        <v>10.675293086313919</v>
      </c>
      <c r="F307" s="1">
        <v>2.8556818062770401E-2</v>
      </c>
      <c r="G307" s="1">
        <v>7.4253947708958101E-2</v>
      </c>
      <c r="H307" s="1">
        <v>39.45427443599452</v>
      </c>
      <c r="I307" s="1">
        <v>39.45427443599452</v>
      </c>
      <c r="J307" s="1" t="b">
        <v>0</v>
      </c>
      <c r="K307" s="1" t="b">
        <v>0</v>
      </c>
      <c r="L307" s="1" t="s">
        <v>192</v>
      </c>
    </row>
    <row r="308" spans="1:12" ht="19" customHeight="1" x14ac:dyDescent="0.3">
      <c r="A308" t="s">
        <v>42</v>
      </c>
      <c r="B308" s="1">
        <v>44</v>
      </c>
      <c r="C308" s="1" t="s">
        <v>185</v>
      </c>
      <c r="D308" s="1">
        <v>15.24043497380954</v>
      </c>
      <c r="E308" s="1">
        <v>13.92248977635659</v>
      </c>
      <c r="F308" s="1">
        <v>3.5235070131822498E-2</v>
      </c>
      <c r="G308" s="1">
        <v>5.9980064577785E-2</v>
      </c>
      <c r="H308" s="1">
        <v>38.161045896181342</v>
      </c>
      <c r="I308" s="1">
        <v>38.161045896181342</v>
      </c>
      <c r="J308" s="1" t="b">
        <v>1</v>
      </c>
      <c r="K308" s="1" t="b">
        <v>1</v>
      </c>
    </row>
    <row r="309" spans="1:12" ht="19" customHeight="1" x14ac:dyDescent="0.3">
      <c r="A309" t="s">
        <v>42</v>
      </c>
      <c r="B309" s="1">
        <v>44</v>
      </c>
      <c r="C309" s="1" t="s">
        <v>185</v>
      </c>
      <c r="D309" s="1">
        <v>15.24043497380954</v>
      </c>
      <c r="E309" s="1">
        <v>13.891829626399961</v>
      </c>
      <c r="F309" s="1">
        <v>3.5235070131822498E-2</v>
      </c>
      <c r="G309" s="1">
        <v>5.9980064577785E-2</v>
      </c>
      <c r="H309" s="1">
        <v>38.161132275654438</v>
      </c>
      <c r="I309" s="1">
        <v>38.161132275654438</v>
      </c>
      <c r="J309" s="1" t="b">
        <v>1</v>
      </c>
      <c r="K309" s="1" t="b">
        <v>1</v>
      </c>
    </row>
    <row r="310" spans="1:12" ht="19" customHeight="1" x14ac:dyDescent="0.3">
      <c r="A310" t="s">
        <v>42</v>
      </c>
      <c r="B310" s="1">
        <v>44</v>
      </c>
      <c r="C310" s="1" t="s">
        <v>185</v>
      </c>
      <c r="D310" s="1">
        <v>15.2367478831538</v>
      </c>
      <c r="E310" s="1">
        <v>13.891829626399961</v>
      </c>
      <c r="F310" s="1">
        <v>3.5235070131822498E-2</v>
      </c>
      <c r="G310" s="1">
        <v>5.9980064577785E-2</v>
      </c>
      <c r="H310" s="1">
        <v>38.16115558600265</v>
      </c>
      <c r="I310" s="1">
        <v>38.16115558600265</v>
      </c>
      <c r="J310" s="1" t="b">
        <v>1</v>
      </c>
      <c r="K310" s="1" t="b">
        <v>1</v>
      </c>
    </row>
    <row r="311" spans="1:12" ht="19" customHeight="1" x14ac:dyDescent="0.3">
      <c r="A311" t="s">
        <v>42</v>
      </c>
      <c r="B311" s="1">
        <v>44</v>
      </c>
      <c r="C311" s="1" t="s">
        <v>185</v>
      </c>
      <c r="D311" s="1">
        <v>15.230819379499851</v>
      </c>
      <c r="E311" s="1">
        <v>13.891829626399961</v>
      </c>
      <c r="F311" s="1">
        <v>3.5235070131822498E-2</v>
      </c>
      <c r="G311" s="1">
        <v>5.9980064577785E-2</v>
      </c>
      <c r="H311" s="1">
        <v>38.161193104498373</v>
      </c>
      <c r="I311" s="1">
        <v>38.161193104498373</v>
      </c>
      <c r="J311" s="1" t="b">
        <v>1</v>
      </c>
      <c r="K311" s="1" t="b">
        <v>1</v>
      </c>
    </row>
    <row r="312" spans="1:12" ht="19" customHeight="1" x14ac:dyDescent="0.3">
      <c r="A312" t="s">
        <v>42</v>
      </c>
      <c r="B312" s="1">
        <v>44</v>
      </c>
      <c r="C312" s="1" t="s">
        <v>185</v>
      </c>
      <c r="D312" s="1">
        <v>15.21992515993567</v>
      </c>
      <c r="E312" s="1">
        <v>13.891829626399961</v>
      </c>
      <c r="F312" s="1">
        <v>3.5235070131822498E-2</v>
      </c>
      <c r="G312" s="1">
        <v>5.9980064577785E-2</v>
      </c>
      <c r="H312" s="1">
        <v>38.161262307042222</v>
      </c>
      <c r="I312" s="1">
        <v>38.161262307042222</v>
      </c>
      <c r="J312" s="1" t="b">
        <v>1</v>
      </c>
      <c r="K312" s="1" t="b">
        <v>1</v>
      </c>
    </row>
    <row r="313" spans="1:12" ht="19" customHeight="1" x14ac:dyDescent="0.3">
      <c r="A313" t="s">
        <v>42</v>
      </c>
      <c r="B313" s="1">
        <v>44</v>
      </c>
      <c r="C313" s="1" t="s">
        <v>185</v>
      </c>
      <c r="D313" s="1">
        <v>15.246400811810121</v>
      </c>
      <c r="E313" s="1">
        <v>13.891829626399961</v>
      </c>
      <c r="F313" s="1">
        <v>3.5235070131822498E-2</v>
      </c>
      <c r="G313" s="1">
        <v>5.9980064577785E-2</v>
      </c>
      <c r="H313" s="1">
        <v>38.16142084498032</v>
      </c>
      <c r="I313" s="1">
        <v>38.16142084498032</v>
      </c>
      <c r="J313" s="1" t="b">
        <v>1</v>
      </c>
      <c r="K313" s="1" t="b">
        <v>0</v>
      </c>
    </row>
    <row r="314" spans="1:12" ht="19" customHeight="1" x14ac:dyDescent="0.3">
      <c r="A314" t="s">
        <v>42</v>
      </c>
      <c r="B314" s="1">
        <v>44</v>
      </c>
      <c r="C314" s="1" t="s">
        <v>185</v>
      </c>
      <c r="D314" s="1">
        <v>15.192688854396019</v>
      </c>
      <c r="E314" s="1">
        <v>13.891829626399961</v>
      </c>
      <c r="F314" s="1">
        <v>3.5235070131822498E-2</v>
      </c>
      <c r="G314" s="1">
        <v>5.9980064577785E-2</v>
      </c>
      <c r="H314" s="1">
        <v>38.161436165967771</v>
      </c>
      <c r="I314" s="1">
        <v>38.161436165967771</v>
      </c>
      <c r="J314" s="1" t="b">
        <v>1</v>
      </c>
      <c r="K314" s="1" t="b">
        <v>1</v>
      </c>
    </row>
    <row r="315" spans="1:12" ht="19" customHeight="1" x14ac:dyDescent="0.3">
      <c r="A315" t="s">
        <v>42</v>
      </c>
      <c r="B315" s="1">
        <v>44</v>
      </c>
      <c r="C315" s="1" t="s">
        <v>185</v>
      </c>
      <c r="D315" s="1">
        <v>15.24043497380954</v>
      </c>
      <c r="E315" s="1">
        <v>13.8500990247024</v>
      </c>
      <c r="F315" s="1">
        <v>3.5235070131822498E-2</v>
      </c>
      <c r="G315" s="1">
        <v>5.9980064577785E-2</v>
      </c>
      <c r="H315" s="1">
        <v>38.161901864271158</v>
      </c>
      <c r="I315" s="1">
        <v>38.161901864271158</v>
      </c>
      <c r="J315" s="1" t="b">
        <v>1</v>
      </c>
      <c r="K315" s="1" t="b">
        <v>1</v>
      </c>
    </row>
    <row r="316" spans="1:12" ht="19" customHeight="1" x14ac:dyDescent="0.3">
      <c r="A316" t="s">
        <v>42</v>
      </c>
      <c r="B316" s="1">
        <v>44</v>
      </c>
      <c r="C316" s="1" t="s">
        <v>185</v>
      </c>
      <c r="D316" s="1">
        <v>15.262019578467029</v>
      </c>
      <c r="E316" s="1">
        <v>13.891829626399961</v>
      </c>
      <c r="F316" s="1">
        <v>3.5235070131822498E-2</v>
      </c>
      <c r="G316" s="1">
        <v>5.9980064577785E-2</v>
      </c>
      <c r="H316" s="1">
        <v>38.162462393186011</v>
      </c>
      <c r="I316" s="1">
        <v>38.162462393186011</v>
      </c>
      <c r="J316" s="1" t="b">
        <v>1</v>
      </c>
      <c r="K316" s="1" t="b">
        <v>0</v>
      </c>
    </row>
    <row r="317" spans="1:12" ht="19" customHeight="1" x14ac:dyDescent="0.3">
      <c r="A317" t="s">
        <v>42</v>
      </c>
      <c r="B317" s="1">
        <v>44</v>
      </c>
      <c r="C317" s="1" t="s">
        <v>185</v>
      </c>
      <c r="D317" s="1">
        <v>15.302910040437149</v>
      </c>
      <c r="E317" s="1">
        <v>13.891829626399961</v>
      </c>
      <c r="F317" s="1">
        <v>3.5235070131822498E-2</v>
      </c>
      <c r="G317" s="1">
        <v>5.9980064577785E-2</v>
      </c>
      <c r="H317" s="1">
        <v>38.165193851507091</v>
      </c>
      <c r="I317" s="1">
        <v>38.165193851507091</v>
      </c>
      <c r="J317" s="1" t="b">
        <v>1</v>
      </c>
      <c r="K317" s="1" t="b">
        <v>0</v>
      </c>
    </row>
    <row r="318" spans="1:12" ht="19" customHeight="1" x14ac:dyDescent="0.3">
      <c r="A318" t="s">
        <v>42</v>
      </c>
      <c r="B318" s="1">
        <v>44</v>
      </c>
      <c r="C318" s="1" t="s">
        <v>185</v>
      </c>
      <c r="D318" s="1">
        <v>15.06718749481518</v>
      </c>
      <c r="E318" s="1">
        <v>13.891829626399961</v>
      </c>
      <c r="F318" s="1">
        <v>3.5235070131822498E-2</v>
      </c>
      <c r="G318" s="1">
        <v>5.9980064577785E-2</v>
      </c>
      <c r="H318" s="1">
        <v>38.166618817126327</v>
      </c>
      <c r="I318" s="1">
        <v>38.166618817126327</v>
      </c>
      <c r="J318" s="1" t="b">
        <v>1</v>
      </c>
      <c r="K318" s="1" t="b">
        <v>1</v>
      </c>
    </row>
    <row r="319" spans="1:12" ht="19" customHeight="1" x14ac:dyDescent="0.3">
      <c r="A319" t="s">
        <v>42</v>
      </c>
      <c r="B319" s="1">
        <v>44</v>
      </c>
      <c r="C319" s="1" t="s">
        <v>185</v>
      </c>
      <c r="D319" s="1">
        <v>15.24043497380954</v>
      </c>
      <c r="E319" s="1">
        <v>14.107501200115451</v>
      </c>
      <c r="F319" s="1">
        <v>3.5235070131822498E-2</v>
      </c>
      <c r="G319" s="1">
        <v>5.9980064577785E-2</v>
      </c>
      <c r="H319" s="1">
        <v>38.167868670250371</v>
      </c>
      <c r="I319" s="1">
        <v>38.167868670250371</v>
      </c>
      <c r="J319" s="1" t="b">
        <v>1</v>
      </c>
      <c r="K319" s="1" t="b">
        <v>0</v>
      </c>
    </row>
    <row r="320" spans="1:12" ht="19" customHeight="1" x14ac:dyDescent="0.3">
      <c r="A320" t="s">
        <v>42</v>
      </c>
      <c r="B320" s="1">
        <v>44</v>
      </c>
      <c r="C320" s="1" t="s">
        <v>185</v>
      </c>
      <c r="D320" s="1">
        <v>15.24043497380954</v>
      </c>
      <c r="E320" s="1">
        <v>13.53879380232917</v>
      </c>
      <c r="F320" s="1">
        <v>3.5235070131822498E-2</v>
      </c>
      <c r="G320" s="1">
        <v>5.9980064577785E-2</v>
      </c>
      <c r="H320" s="1">
        <v>38.171296532019333</v>
      </c>
      <c r="I320" s="1">
        <v>38.171296532019333</v>
      </c>
      <c r="J320" s="1" t="b">
        <v>1</v>
      </c>
      <c r="K320" s="1" t="b">
        <v>1</v>
      </c>
    </row>
    <row r="321" spans="1:11" ht="19" customHeight="1" x14ac:dyDescent="0.3">
      <c r="A321" t="s">
        <v>42</v>
      </c>
      <c r="B321" s="1">
        <v>44</v>
      </c>
      <c r="C321" s="1" t="s">
        <v>185</v>
      </c>
      <c r="D321" s="1">
        <v>14.90903651252022</v>
      </c>
      <c r="E321" s="1">
        <v>13.891829626399961</v>
      </c>
      <c r="F321" s="1">
        <v>3.5235070131822498E-2</v>
      </c>
      <c r="G321" s="1">
        <v>5.9980064577785E-2</v>
      </c>
      <c r="H321" s="1">
        <v>38.177245995470059</v>
      </c>
      <c r="I321" s="1">
        <v>38.177245995470059</v>
      </c>
      <c r="J321" s="1" t="b">
        <v>1</v>
      </c>
      <c r="K321" s="1" t="b">
        <v>1</v>
      </c>
    </row>
    <row r="322" spans="1:11" ht="19" customHeight="1" x14ac:dyDescent="0.3">
      <c r="A322" t="s">
        <v>42</v>
      </c>
      <c r="B322" s="1">
        <v>44</v>
      </c>
      <c r="C322" s="1" t="s">
        <v>185</v>
      </c>
      <c r="D322" s="1">
        <v>15.705848673928941</v>
      </c>
      <c r="E322" s="1">
        <v>13.891829626399961</v>
      </c>
      <c r="F322" s="1">
        <v>3.5235070131822498E-2</v>
      </c>
      <c r="G322" s="1">
        <v>5.9980064577785E-2</v>
      </c>
      <c r="H322" s="1">
        <v>38.192469868282238</v>
      </c>
      <c r="I322" s="1">
        <v>38.192469868282238</v>
      </c>
      <c r="J322" s="1" t="b">
        <v>1</v>
      </c>
      <c r="K322" s="1" t="b">
        <v>0</v>
      </c>
    </row>
    <row r="323" spans="1:11" ht="19" customHeight="1" x14ac:dyDescent="0.3">
      <c r="A323" t="s">
        <v>42</v>
      </c>
      <c r="B323" s="1">
        <v>44</v>
      </c>
      <c r="C323" s="1" t="s">
        <v>185</v>
      </c>
      <c r="D323" s="1">
        <v>15.72949016875158</v>
      </c>
      <c r="E323" s="1">
        <v>13.891829626399961</v>
      </c>
      <c r="F323" s="1">
        <v>3.5235070131822498E-2</v>
      </c>
      <c r="G323" s="1">
        <v>5.9980064577785E-2</v>
      </c>
      <c r="H323" s="1">
        <v>38.194090474192798</v>
      </c>
      <c r="I323" s="1">
        <v>38.194090474192798</v>
      </c>
      <c r="J323" s="1" t="b">
        <v>1</v>
      </c>
      <c r="K323" s="1" t="b">
        <v>0</v>
      </c>
    </row>
    <row r="324" spans="1:11" ht="19" customHeight="1" x14ac:dyDescent="0.3">
      <c r="A324" t="s">
        <v>42</v>
      </c>
      <c r="B324" s="1">
        <v>44</v>
      </c>
      <c r="C324" s="1" t="s">
        <v>186</v>
      </c>
      <c r="D324" s="1">
        <v>14.63439130037912</v>
      </c>
      <c r="E324" s="1">
        <v>13.891829626399961</v>
      </c>
      <c r="F324" s="1">
        <v>3.5235070131822498E-2</v>
      </c>
      <c r="G324" s="1">
        <v>5.9980064577785E-2</v>
      </c>
      <c r="H324" s="1">
        <v>38.196923743725797</v>
      </c>
      <c r="I324" s="1">
        <v>38.196923743725797</v>
      </c>
      <c r="J324" s="1" t="b">
        <v>1</v>
      </c>
      <c r="K324" s="1" t="b">
        <v>1</v>
      </c>
    </row>
    <row r="325" spans="1:11" ht="19" customHeight="1" x14ac:dyDescent="0.3">
      <c r="A325" t="s">
        <v>42</v>
      </c>
      <c r="B325" s="1">
        <v>44</v>
      </c>
      <c r="C325" s="1" t="s">
        <v>185</v>
      </c>
      <c r="D325" s="1">
        <v>15.24043497380954</v>
      </c>
      <c r="E325" s="1">
        <v>14.721359549995791</v>
      </c>
      <c r="F325" s="1">
        <v>3.5235070131822498E-2</v>
      </c>
      <c r="G325" s="1">
        <v>5.9980064577785E-2</v>
      </c>
      <c r="H325" s="1">
        <v>38.203825142063486</v>
      </c>
      <c r="I325" s="1">
        <v>38.203825142063486</v>
      </c>
      <c r="J325" s="1" t="b">
        <v>1</v>
      </c>
      <c r="K325" s="1" t="b">
        <v>0</v>
      </c>
    </row>
    <row r="326" spans="1:11" ht="19" customHeight="1" x14ac:dyDescent="0.3">
      <c r="A326" t="s">
        <v>42</v>
      </c>
      <c r="B326" s="1">
        <v>44</v>
      </c>
      <c r="C326" s="1" t="s">
        <v>185</v>
      </c>
      <c r="D326" s="1">
        <v>14.484243255406319</v>
      </c>
      <c r="E326" s="1">
        <v>13.891829626399961</v>
      </c>
      <c r="F326" s="1">
        <v>3.5235070131822498E-2</v>
      </c>
      <c r="G326" s="1">
        <v>5.9980064577785E-2</v>
      </c>
      <c r="H326" s="1">
        <v>38.20835603885881</v>
      </c>
      <c r="I326" s="1">
        <v>38.20835603885881</v>
      </c>
      <c r="J326" s="1" t="b">
        <v>1</v>
      </c>
      <c r="K326" s="1" t="b">
        <v>1</v>
      </c>
    </row>
    <row r="327" spans="1:11" ht="19" customHeight="1" x14ac:dyDescent="0.3">
      <c r="A327" t="s">
        <v>42</v>
      </c>
      <c r="B327" s="1">
        <v>44</v>
      </c>
      <c r="C327" s="1" t="s">
        <v>185</v>
      </c>
      <c r="D327" s="1">
        <v>15.24043497380954</v>
      </c>
      <c r="E327" s="1">
        <v>12.917960675006309</v>
      </c>
      <c r="F327" s="1">
        <v>3.5235070131822498E-2</v>
      </c>
      <c r="G327" s="1">
        <v>5.9980064577785E-2</v>
      </c>
      <c r="H327" s="1">
        <v>38.225905517224668</v>
      </c>
      <c r="I327" s="1">
        <v>38.225905517224668</v>
      </c>
      <c r="J327" s="1" t="b">
        <v>1</v>
      </c>
      <c r="K327" s="1" t="b">
        <v>1</v>
      </c>
    </row>
    <row r="328" spans="1:11" ht="19" customHeight="1" x14ac:dyDescent="0.3">
      <c r="A328" t="s">
        <v>42</v>
      </c>
      <c r="B328" s="1">
        <v>44</v>
      </c>
      <c r="C328" s="1" t="s">
        <v>185</v>
      </c>
      <c r="D328" s="1">
        <v>13.54101966249684</v>
      </c>
      <c r="E328" s="1">
        <v>13.891829626399961</v>
      </c>
      <c r="F328" s="1">
        <v>3.5235070131822498E-2</v>
      </c>
      <c r="G328" s="1">
        <v>5.9980064577785E-2</v>
      </c>
      <c r="H328" s="1">
        <v>38.293705284410777</v>
      </c>
      <c r="I328" s="1">
        <v>38.293705284410777</v>
      </c>
      <c r="J328" s="1" t="b">
        <v>1</v>
      </c>
      <c r="K328" s="1" t="b">
        <v>1</v>
      </c>
    </row>
    <row r="329" spans="1:11" ht="19" customHeight="1" x14ac:dyDescent="0.3">
      <c r="A329" t="s">
        <v>42</v>
      </c>
      <c r="B329" s="1">
        <v>44</v>
      </c>
      <c r="C329" s="1" t="s">
        <v>185</v>
      </c>
      <c r="D329" s="1">
        <v>15.24043497380954</v>
      </c>
      <c r="E329" s="1">
        <v>17.639320225002098</v>
      </c>
      <c r="F329" s="1">
        <v>3.5235070131822498E-2</v>
      </c>
      <c r="G329" s="1">
        <v>5.9980064577785E-2</v>
      </c>
      <c r="H329" s="1">
        <v>38.461105604133763</v>
      </c>
      <c r="I329" s="1">
        <v>38.461105604133763</v>
      </c>
      <c r="J329" s="1" t="b">
        <v>1</v>
      </c>
      <c r="K329" s="1" t="b">
        <v>0</v>
      </c>
    </row>
    <row r="330" spans="1:11" ht="19" customHeight="1" x14ac:dyDescent="0.3">
      <c r="A330" t="s">
        <v>42</v>
      </c>
      <c r="B330" s="1">
        <v>44</v>
      </c>
      <c r="C330" s="1" t="s">
        <v>185</v>
      </c>
      <c r="D330" s="1">
        <v>19.270509831248422</v>
      </c>
      <c r="E330" s="1">
        <v>13.891829626399961</v>
      </c>
      <c r="F330" s="1">
        <v>3.5235070131822498E-2</v>
      </c>
      <c r="G330" s="1">
        <v>5.9980064577785E-2</v>
      </c>
      <c r="H330" s="1">
        <v>38.4642037410703</v>
      </c>
      <c r="I330" s="1">
        <v>38.4642037410703</v>
      </c>
      <c r="J330" s="1" t="b">
        <v>1</v>
      </c>
      <c r="K330" s="1" t="b">
        <v>0</v>
      </c>
    </row>
    <row r="331" spans="1:11" ht="19" customHeight="1" x14ac:dyDescent="0.3">
      <c r="A331" t="s">
        <v>42</v>
      </c>
      <c r="B331" s="1">
        <v>44</v>
      </c>
      <c r="C331" s="1" t="s">
        <v>187</v>
      </c>
      <c r="D331" s="1">
        <v>13.75</v>
      </c>
      <c r="E331" s="1">
        <v>15</v>
      </c>
      <c r="F331" s="1">
        <v>3.2500000000000001E-2</v>
      </c>
      <c r="G331" s="1">
        <v>5.1249999999999997E-2</v>
      </c>
      <c r="H331" s="1">
        <v>38.521634787179742</v>
      </c>
      <c r="I331" s="1">
        <v>38.521634787179742</v>
      </c>
      <c r="J331" s="1" t="b">
        <v>1</v>
      </c>
      <c r="K331" s="1" t="b">
        <v>1</v>
      </c>
    </row>
    <row r="332" spans="1:11" ht="19" customHeight="1" x14ac:dyDescent="0.3">
      <c r="A332" t="s">
        <v>42</v>
      </c>
      <c r="B332" s="1">
        <v>44</v>
      </c>
      <c r="C332" s="1" t="s">
        <v>187</v>
      </c>
      <c r="D332" s="1">
        <v>13.75</v>
      </c>
      <c r="E332" s="1">
        <v>15</v>
      </c>
      <c r="F332" s="1">
        <v>3.2500000000000001E-2</v>
      </c>
      <c r="G332" s="1">
        <v>7.3749999999999996E-2</v>
      </c>
      <c r="H332" s="1">
        <v>38.584273997893767</v>
      </c>
      <c r="I332" s="1">
        <v>38.584273997893767</v>
      </c>
      <c r="J332" s="1" t="b">
        <v>1</v>
      </c>
      <c r="K332" s="1" t="b">
        <v>1</v>
      </c>
    </row>
    <row r="333" spans="1:11" ht="19" customHeight="1" x14ac:dyDescent="0.3">
      <c r="A333" t="s">
        <v>42</v>
      </c>
      <c r="B333" s="1">
        <v>44</v>
      </c>
      <c r="C333" s="1" t="s">
        <v>186</v>
      </c>
      <c r="D333" s="1">
        <v>13.12897170332065</v>
      </c>
      <c r="E333" s="1">
        <v>14.33073644118485</v>
      </c>
      <c r="F333" s="1">
        <v>2.8612493005323501E-2</v>
      </c>
      <c r="G333" s="1">
        <v>5.1111316246790897E-2</v>
      </c>
      <c r="H333" s="1">
        <v>38.592086757356853</v>
      </c>
      <c r="I333" s="1">
        <v>38.592086757356853</v>
      </c>
      <c r="J333" s="1" t="b">
        <v>1</v>
      </c>
      <c r="K333" s="1" t="b">
        <v>1</v>
      </c>
    </row>
    <row r="334" spans="1:11" ht="19" customHeight="1" x14ac:dyDescent="0.3">
      <c r="A334" t="s">
        <v>42</v>
      </c>
      <c r="B334" s="1">
        <v>44</v>
      </c>
      <c r="C334" s="1" t="s">
        <v>186</v>
      </c>
      <c r="D334" s="1">
        <v>18.77592768762608</v>
      </c>
      <c r="E334" s="1">
        <v>10.83814689854394</v>
      </c>
      <c r="F334" s="1">
        <v>3.91928182455899E-2</v>
      </c>
      <c r="G334" s="1">
        <v>5.9101840567908098E-2</v>
      </c>
      <c r="H334" s="1">
        <v>38.66563811518985</v>
      </c>
      <c r="I334" s="1">
        <v>38.66563811518985</v>
      </c>
      <c r="J334" s="1" t="b">
        <v>1</v>
      </c>
      <c r="K334" s="1" t="b">
        <v>0</v>
      </c>
    </row>
    <row r="335" spans="1:11" ht="19" customHeight="1" x14ac:dyDescent="0.3">
      <c r="A335" t="s">
        <v>42</v>
      </c>
      <c r="B335" s="1">
        <v>44</v>
      </c>
      <c r="C335" s="1" t="s">
        <v>187</v>
      </c>
      <c r="D335" s="1">
        <v>21.25</v>
      </c>
      <c r="E335" s="1">
        <v>15</v>
      </c>
      <c r="F335" s="1">
        <v>3.2500000000000001E-2</v>
      </c>
      <c r="G335" s="1">
        <v>5.1249999999999997E-2</v>
      </c>
      <c r="H335" s="1">
        <v>38.669429829942402</v>
      </c>
      <c r="I335" s="1">
        <v>38.669429829942402</v>
      </c>
      <c r="J335" s="1" t="b">
        <v>1</v>
      </c>
      <c r="K335" s="1" t="b">
        <v>0</v>
      </c>
    </row>
    <row r="336" spans="1:11" ht="19" customHeight="1" x14ac:dyDescent="0.3">
      <c r="A336" t="s">
        <v>42</v>
      </c>
      <c r="B336" s="1">
        <v>44</v>
      </c>
      <c r="C336" s="1" t="s">
        <v>188</v>
      </c>
      <c r="D336" s="1">
        <v>21.582408864282719</v>
      </c>
      <c r="E336" s="1">
        <v>19.07238762633401</v>
      </c>
      <c r="F336" s="1">
        <v>3.3636388018504201E-2</v>
      </c>
      <c r="G336" s="1">
        <v>4.9523026902094702E-2</v>
      </c>
      <c r="H336" s="1">
        <v>38.700011421974018</v>
      </c>
      <c r="I336" s="1">
        <v>38.700011421974018</v>
      </c>
      <c r="J336" s="1" t="b">
        <v>1</v>
      </c>
      <c r="K336" s="1" t="b">
        <v>0</v>
      </c>
    </row>
    <row r="337" spans="1:11" ht="19" customHeight="1" x14ac:dyDescent="0.3">
      <c r="A337" t="s">
        <v>42</v>
      </c>
      <c r="B337" s="1">
        <v>44</v>
      </c>
      <c r="C337" s="1" t="s">
        <v>189</v>
      </c>
      <c r="D337" s="1">
        <v>17.5</v>
      </c>
      <c r="E337" s="1">
        <v>20</v>
      </c>
      <c r="F337" s="1">
        <v>0.04</v>
      </c>
      <c r="G337" s="1">
        <v>0.06</v>
      </c>
      <c r="H337" s="1">
        <v>38.703266664516811</v>
      </c>
      <c r="I337" s="1">
        <v>38.703266664516811</v>
      </c>
      <c r="J337" s="1" t="b">
        <v>1</v>
      </c>
      <c r="K337" s="1" t="b">
        <v>0</v>
      </c>
    </row>
    <row r="338" spans="1:11" ht="19" customHeight="1" x14ac:dyDescent="0.3">
      <c r="A338" t="s">
        <v>42</v>
      </c>
      <c r="B338" s="1">
        <v>44</v>
      </c>
      <c r="C338" s="1" t="s">
        <v>187</v>
      </c>
      <c r="D338" s="1">
        <v>13.75</v>
      </c>
      <c r="E338" s="1">
        <v>15</v>
      </c>
      <c r="F338" s="1">
        <v>4.7500000000000001E-2</v>
      </c>
      <c r="G338" s="1">
        <v>5.1249999999999997E-2</v>
      </c>
      <c r="H338" s="1">
        <v>38.743737709273162</v>
      </c>
      <c r="I338" s="1">
        <v>38.743737709273162</v>
      </c>
      <c r="J338" s="1" t="b">
        <v>1</v>
      </c>
      <c r="K338" s="1" t="b">
        <v>1</v>
      </c>
    </row>
    <row r="339" spans="1:11" ht="19" customHeight="1" x14ac:dyDescent="0.3">
      <c r="A339" t="s">
        <v>42</v>
      </c>
      <c r="B339" s="1">
        <v>44</v>
      </c>
      <c r="C339" s="1" t="s">
        <v>187</v>
      </c>
      <c r="D339" s="1">
        <v>21.25</v>
      </c>
      <c r="E339" s="1">
        <v>15</v>
      </c>
      <c r="F339" s="1">
        <v>3.2500000000000001E-2</v>
      </c>
      <c r="G339" s="1">
        <v>7.3749999999999996E-2</v>
      </c>
      <c r="H339" s="1">
        <v>38.769327117246327</v>
      </c>
      <c r="I339" s="1">
        <v>38.769327117246327</v>
      </c>
      <c r="J339" s="1" t="b">
        <v>1</v>
      </c>
      <c r="K339" s="1" t="b">
        <v>0</v>
      </c>
    </row>
    <row r="340" spans="1:11" ht="19" customHeight="1" x14ac:dyDescent="0.3">
      <c r="A340" t="s">
        <v>42</v>
      </c>
      <c r="B340" s="1">
        <v>44</v>
      </c>
      <c r="C340" s="1" t="s">
        <v>186</v>
      </c>
      <c r="D340" s="1">
        <v>22.0765682020537</v>
      </c>
      <c r="E340" s="1">
        <v>18.948944079766431</v>
      </c>
      <c r="F340" s="1">
        <v>2.76133366582904E-2</v>
      </c>
      <c r="G340" s="1">
        <v>5.1851382284117301E-2</v>
      </c>
      <c r="H340" s="1">
        <v>38.787832232063117</v>
      </c>
      <c r="I340" s="1">
        <v>38.787832232063117</v>
      </c>
      <c r="J340" s="1" t="b">
        <v>1</v>
      </c>
      <c r="K340" s="1" t="b">
        <v>0</v>
      </c>
    </row>
    <row r="341" spans="1:11" ht="19" customHeight="1" x14ac:dyDescent="0.3">
      <c r="A341" t="s">
        <v>42</v>
      </c>
      <c r="B341" s="1">
        <v>44</v>
      </c>
      <c r="C341" s="1" t="s">
        <v>186</v>
      </c>
      <c r="D341" s="1">
        <v>15.284530012943909</v>
      </c>
      <c r="E341" s="1">
        <v>19.931505975367759</v>
      </c>
      <c r="F341" s="1">
        <v>4.2386664926456603E-2</v>
      </c>
      <c r="G341" s="1">
        <v>5.7529000855764997E-2</v>
      </c>
      <c r="H341" s="1">
        <v>38.801425750651632</v>
      </c>
      <c r="I341" s="1">
        <v>38.801425750651632</v>
      </c>
      <c r="J341" s="1" t="b">
        <v>1</v>
      </c>
      <c r="K341" s="1" t="b">
        <v>0</v>
      </c>
    </row>
    <row r="342" spans="1:11" ht="19" customHeight="1" x14ac:dyDescent="0.3">
      <c r="A342" t="s">
        <v>42</v>
      </c>
      <c r="B342" s="1">
        <v>44</v>
      </c>
      <c r="C342" s="1" t="s">
        <v>186</v>
      </c>
      <c r="D342" s="1">
        <v>17.090265585774041</v>
      </c>
      <c r="E342" s="1">
        <v>20.568986620903608</v>
      </c>
      <c r="F342" s="1">
        <v>3.78675143800693E-2</v>
      </c>
      <c r="G342" s="1">
        <v>6.5286688790258396E-2</v>
      </c>
      <c r="H342" s="1">
        <v>38.807266484872549</v>
      </c>
      <c r="I342" s="1">
        <v>38.807266484872549</v>
      </c>
      <c r="J342" s="1" t="b">
        <v>1</v>
      </c>
      <c r="K342" s="1" t="b">
        <v>0</v>
      </c>
    </row>
    <row r="343" spans="1:11" ht="19" customHeight="1" x14ac:dyDescent="0.3">
      <c r="A343" t="s">
        <v>42</v>
      </c>
      <c r="B343" s="1">
        <v>44</v>
      </c>
      <c r="C343" s="1" t="s">
        <v>187</v>
      </c>
      <c r="D343" s="1">
        <v>13.75</v>
      </c>
      <c r="E343" s="1">
        <v>15</v>
      </c>
      <c r="F343" s="1">
        <v>4.7500000000000001E-2</v>
      </c>
      <c r="G343" s="1">
        <v>7.3749999999999996E-2</v>
      </c>
      <c r="H343" s="1">
        <v>38.816246330965797</v>
      </c>
      <c r="I343" s="1">
        <v>38.816246330965797</v>
      </c>
      <c r="J343" s="1" t="b">
        <v>1</v>
      </c>
      <c r="K343" s="1" t="b">
        <v>1</v>
      </c>
    </row>
    <row r="344" spans="1:11" ht="19" customHeight="1" x14ac:dyDescent="0.3">
      <c r="A344" t="s">
        <v>42</v>
      </c>
      <c r="B344" s="1">
        <v>44</v>
      </c>
      <c r="C344" s="1" t="s">
        <v>186</v>
      </c>
      <c r="D344" s="1">
        <v>20.041652205815339</v>
      </c>
      <c r="E344" s="1">
        <v>16.423932814981129</v>
      </c>
      <c r="F344" s="1">
        <v>4.6932681096632803E-2</v>
      </c>
      <c r="G344" s="1">
        <v>5.6520240208252102E-2</v>
      </c>
      <c r="H344" s="1">
        <v>38.817006582671802</v>
      </c>
      <c r="I344" s="1">
        <v>38.817006582671802</v>
      </c>
      <c r="J344" s="1" t="b">
        <v>1</v>
      </c>
      <c r="K344" s="1" t="b">
        <v>0</v>
      </c>
    </row>
    <row r="345" spans="1:11" ht="19" customHeight="1" x14ac:dyDescent="0.3">
      <c r="A345" t="s">
        <v>42</v>
      </c>
      <c r="B345" s="1">
        <v>44</v>
      </c>
      <c r="C345" s="1" t="s">
        <v>188</v>
      </c>
      <c r="D345" s="1">
        <v>22.772947616974989</v>
      </c>
      <c r="E345" s="1">
        <v>15.416387126367759</v>
      </c>
      <c r="F345" s="1">
        <v>3.1194979129410699E-2</v>
      </c>
      <c r="G345" s="1">
        <v>5.4416465500936498E-2</v>
      </c>
      <c r="H345" s="1">
        <v>38.822059096117677</v>
      </c>
      <c r="I345" s="1">
        <v>38.822059096117677</v>
      </c>
      <c r="J345" s="1" t="b">
        <v>1</v>
      </c>
      <c r="K345" s="1" t="b">
        <v>0</v>
      </c>
    </row>
    <row r="346" spans="1:11" ht="19" customHeight="1" x14ac:dyDescent="0.3">
      <c r="A346" t="s">
        <v>42</v>
      </c>
      <c r="B346" s="1">
        <v>44</v>
      </c>
      <c r="C346" s="1" t="s">
        <v>186</v>
      </c>
      <c r="D346" s="1">
        <v>17.090265585774041</v>
      </c>
      <c r="E346" s="1">
        <v>20.568986620903608</v>
      </c>
      <c r="F346" s="1">
        <v>3.78675143800693E-2</v>
      </c>
      <c r="G346" s="1">
        <v>6.8848812908779103E-2</v>
      </c>
      <c r="H346" s="1">
        <v>38.83277235671892</v>
      </c>
      <c r="I346" s="1">
        <v>38.83277235671892</v>
      </c>
      <c r="J346" s="1" t="b">
        <v>1</v>
      </c>
      <c r="K346" s="1" t="b">
        <v>0</v>
      </c>
    </row>
    <row r="347" spans="1:11" ht="19" customHeight="1" x14ac:dyDescent="0.3">
      <c r="A347" t="s">
        <v>42</v>
      </c>
      <c r="B347" s="1">
        <v>44</v>
      </c>
      <c r="C347" s="1" t="s">
        <v>188</v>
      </c>
      <c r="D347" s="1">
        <v>20.864712477677632</v>
      </c>
      <c r="E347" s="1">
        <v>15.547882223465431</v>
      </c>
      <c r="F347" s="1">
        <v>4.6711127921918498E-2</v>
      </c>
      <c r="G347" s="1">
        <v>5.9401017104127603E-2</v>
      </c>
      <c r="H347" s="1">
        <v>38.833239363215917</v>
      </c>
      <c r="I347" s="1">
        <v>38.833239363215917</v>
      </c>
      <c r="J347" s="1" t="b">
        <v>1</v>
      </c>
      <c r="K347" s="1" t="b">
        <v>0</v>
      </c>
    </row>
    <row r="348" spans="1:11" ht="19" customHeight="1" x14ac:dyDescent="0.3">
      <c r="A348" t="s">
        <v>42</v>
      </c>
      <c r="B348" s="1">
        <v>44</v>
      </c>
      <c r="C348" s="1" t="s">
        <v>188</v>
      </c>
      <c r="D348" s="1">
        <v>16.340324024546401</v>
      </c>
      <c r="E348" s="1">
        <v>19.399365691220751</v>
      </c>
      <c r="F348" s="1">
        <v>4.6508721386493701E-2</v>
      </c>
      <c r="G348" s="1">
        <v>4.8230976606800299E-2</v>
      </c>
      <c r="H348" s="1">
        <v>38.844175817442391</v>
      </c>
      <c r="I348" s="1">
        <v>38.844175817442391</v>
      </c>
      <c r="J348" s="1" t="b">
        <v>1</v>
      </c>
      <c r="K348" s="1" t="b">
        <v>0</v>
      </c>
    </row>
    <row r="349" spans="1:11" ht="19" customHeight="1" x14ac:dyDescent="0.3">
      <c r="A349" t="s">
        <v>42</v>
      </c>
      <c r="B349" s="1">
        <v>44</v>
      </c>
      <c r="C349" s="1" t="s">
        <v>186</v>
      </c>
      <c r="D349" s="1">
        <v>22.536138205421871</v>
      </c>
      <c r="E349" s="1">
        <v>13.387684991658841</v>
      </c>
      <c r="F349" s="1">
        <v>3.9947124164810603E-2</v>
      </c>
      <c r="G349" s="1">
        <v>7.0167037614718403E-2</v>
      </c>
      <c r="H349" s="1">
        <v>38.890199768315632</v>
      </c>
      <c r="I349" s="1">
        <v>38.890199768315632</v>
      </c>
      <c r="J349" s="1" t="b">
        <v>1</v>
      </c>
      <c r="K349" s="1" t="b">
        <v>0</v>
      </c>
    </row>
    <row r="350" spans="1:11" ht="19" customHeight="1" x14ac:dyDescent="0.3">
      <c r="A350" t="s">
        <v>42</v>
      </c>
      <c r="B350" s="1">
        <v>44</v>
      </c>
      <c r="C350" s="1" t="s">
        <v>187</v>
      </c>
      <c r="D350" s="1">
        <v>21.25</v>
      </c>
      <c r="E350" s="1">
        <v>15</v>
      </c>
      <c r="F350" s="1">
        <v>4.7500000000000001E-2</v>
      </c>
      <c r="G350" s="1">
        <v>5.1249999999999997E-2</v>
      </c>
      <c r="H350" s="1">
        <v>38.914024985157461</v>
      </c>
      <c r="I350" s="1">
        <v>38.914024985157461</v>
      </c>
      <c r="J350" s="1" t="b">
        <v>1</v>
      </c>
      <c r="K350" s="1" t="b">
        <v>0</v>
      </c>
    </row>
    <row r="351" spans="1:11" ht="19" customHeight="1" x14ac:dyDescent="0.3">
      <c r="A351" t="s">
        <v>42</v>
      </c>
      <c r="B351" s="1">
        <v>44</v>
      </c>
      <c r="C351" s="1" t="s">
        <v>186</v>
      </c>
      <c r="D351" s="1">
        <v>11.97396635760648</v>
      </c>
      <c r="E351" s="1">
        <v>18.948944079766431</v>
      </c>
      <c r="F351" s="1">
        <v>4.29301633096945E-2</v>
      </c>
      <c r="G351" s="1">
        <v>5.5193445013737401E-2</v>
      </c>
      <c r="H351" s="1">
        <v>38.967288262667111</v>
      </c>
      <c r="I351" s="1">
        <v>38.967288262667111</v>
      </c>
      <c r="J351" s="1" t="b">
        <v>1</v>
      </c>
      <c r="K351" s="1" t="b">
        <v>0</v>
      </c>
    </row>
    <row r="352" spans="1:11" ht="19" customHeight="1" x14ac:dyDescent="0.3">
      <c r="A352" t="s">
        <v>42</v>
      </c>
      <c r="B352" s="1">
        <v>44</v>
      </c>
      <c r="C352" s="1" t="s">
        <v>186</v>
      </c>
      <c r="D352" s="1">
        <v>20.733038881578508</v>
      </c>
      <c r="E352" s="1">
        <v>17.98910502374666</v>
      </c>
      <c r="F352" s="1">
        <v>3.1807105750943199E-2</v>
      </c>
      <c r="G352" s="1">
        <v>8.3785211986340993E-2</v>
      </c>
      <c r="H352" s="1">
        <v>38.974102639937428</v>
      </c>
      <c r="I352" s="1">
        <v>38.974102639937428</v>
      </c>
      <c r="J352" s="1" t="b">
        <v>1</v>
      </c>
      <c r="K352" s="1" t="b">
        <v>0</v>
      </c>
    </row>
    <row r="353" spans="1:11" ht="19" customHeight="1" x14ac:dyDescent="0.3">
      <c r="A353" t="s">
        <v>42</v>
      </c>
      <c r="B353" s="1">
        <v>44</v>
      </c>
      <c r="C353" s="1" t="s">
        <v>186</v>
      </c>
      <c r="D353" s="1">
        <v>20.733038881578508</v>
      </c>
      <c r="E353" s="1">
        <v>20.26915520713489</v>
      </c>
      <c r="F353" s="1">
        <v>3.5875968791887702E-2</v>
      </c>
      <c r="G353" s="1">
        <v>8.41304049530473E-2</v>
      </c>
      <c r="H353" s="1">
        <v>38.981496505639463</v>
      </c>
      <c r="I353" s="1">
        <v>38.981496505639463</v>
      </c>
      <c r="J353" s="1" t="b">
        <v>1</v>
      </c>
      <c r="K353" s="1" t="b">
        <v>0</v>
      </c>
    </row>
    <row r="354" spans="1:11" ht="19" customHeight="1" x14ac:dyDescent="0.3">
      <c r="A354" t="s">
        <v>42</v>
      </c>
      <c r="B354" s="1">
        <v>44</v>
      </c>
      <c r="C354" s="1" t="s">
        <v>186</v>
      </c>
      <c r="D354" s="1">
        <v>17.690253993437661</v>
      </c>
      <c r="E354" s="1">
        <v>21.721769257145532</v>
      </c>
      <c r="F354" s="1">
        <v>2.6396200903149099E-2</v>
      </c>
      <c r="G354" s="1">
        <v>6.54781532163589E-2</v>
      </c>
      <c r="H354" s="1">
        <v>38.982605472691141</v>
      </c>
      <c r="I354" s="1">
        <v>38.982605472691141</v>
      </c>
      <c r="J354" s="1" t="b">
        <v>1</v>
      </c>
      <c r="K354" s="1" t="b">
        <v>0</v>
      </c>
    </row>
    <row r="355" spans="1:11" ht="19" customHeight="1" x14ac:dyDescent="0.3">
      <c r="A355" t="s">
        <v>42</v>
      </c>
      <c r="B355" s="1">
        <v>44</v>
      </c>
      <c r="C355" s="1" t="s">
        <v>188</v>
      </c>
      <c r="D355" s="1">
        <v>16.27250147840434</v>
      </c>
      <c r="E355" s="1">
        <v>22.033183942009519</v>
      </c>
      <c r="F355" s="1">
        <v>2.8544781029748102E-2</v>
      </c>
      <c r="G355" s="1">
        <v>5.4191469561259802E-2</v>
      </c>
      <c r="H355" s="1">
        <v>38.989106742498613</v>
      </c>
      <c r="I355" s="1">
        <v>38.989106742498613</v>
      </c>
      <c r="J355" s="1" t="b">
        <v>1</v>
      </c>
      <c r="K355" s="1" t="b">
        <v>0</v>
      </c>
    </row>
    <row r="356" spans="1:11" ht="19" customHeight="1" x14ac:dyDescent="0.3">
      <c r="A356" t="s">
        <v>42</v>
      </c>
      <c r="B356" s="1">
        <v>44</v>
      </c>
      <c r="C356" s="1" t="s">
        <v>187</v>
      </c>
      <c r="D356" s="1">
        <v>21.25</v>
      </c>
      <c r="E356" s="1">
        <v>15</v>
      </c>
      <c r="F356" s="1">
        <v>4.7500000000000001E-2</v>
      </c>
      <c r="G356" s="1">
        <v>7.3749999999999996E-2</v>
      </c>
      <c r="H356" s="1">
        <v>38.999784388863567</v>
      </c>
      <c r="I356" s="1">
        <v>38.999784388863567</v>
      </c>
      <c r="J356" s="1" t="b">
        <v>1</v>
      </c>
      <c r="K356" s="1" t="b">
        <v>0</v>
      </c>
    </row>
    <row r="357" spans="1:11" ht="19" customHeight="1" x14ac:dyDescent="0.3">
      <c r="A357" t="s">
        <v>42</v>
      </c>
      <c r="B357" s="1">
        <v>44</v>
      </c>
      <c r="C357" s="1" t="s">
        <v>185</v>
      </c>
      <c r="D357" s="1">
        <v>15.24043497380954</v>
      </c>
      <c r="E357" s="1">
        <v>22.360679774997891</v>
      </c>
      <c r="F357" s="1">
        <v>3.5235070131822498E-2</v>
      </c>
      <c r="G357" s="1">
        <v>5.9980064577785E-2</v>
      </c>
      <c r="H357" s="1">
        <v>39.009670175882938</v>
      </c>
      <c r="I357" s="1">
        <v>39.009670175882938</v>
      </c>
      <c r="J357" s="1" t="b">
        <v>1</v>
      </c>
      <c r="K357" s="1" t="b">
        <v>0</v>
      </c>
    </row>
    <row r="358" spans="1:11" ht="19" customHeight="1" x14ac:dyDescent="0.3">
      <c r="A358" t="s">
        <v>42</v>
      </c>
      <c r="B358" s="1">
        <v>44</v>
      </c>
      <c r="C358" s="1" t="s">
        <v>186</v>
      </c>
      <c r="D358" s="1">
        <v>15.867297161750381</v>
      </c>
      <c r="E358" s="1">
        <v>22.590634766747041</v>
      </c>
      <c r="F358" s="1">
        <v>3.3712019804506298E-2</v>
      </c>
      <c r="G358" s="1">
        <v>4.6909246868890697E-2</v>
      </c>
      <c r="H358" s="1">
        <v>39.083374558857713</v>
      </c>
      <c r="I358" s="1">
        <v>39.083374558857713</v>
      </c>
      <c r="J358" s="1" t="b">
        <v>1</v>
      </c>
      <c r="K358" s="1" t="b">
        <v>0</v>
      </c>
    </row>
    <row r="359" spans="1:11" ht="19" customHeight="1" x14ac:dyDescent="0.3">
      <c r="A359" t="s">
        <v>42</v>
      </c>
      <c r="B359" s="1">
        <v>44</v>
      </c>
      <c r="C359" s="1" t="s">
        <v>188</v>
      </c>
      <c r="D359" s="1">
        <v>11.838482645108069</v>
      </c>
      <c r="E359" s="1">
        <v>15.162261495455461</v>
      </c>
      <c r="F359" s="1">
        <v>3.71731218346339E-2</v>
      </c>
      <c r="G359" s="1">
        <v>8.3613277666498995E-2</v>
      </c>
      <c r="H359" s="1">
        <v>39.085021852221999</v>
      </c>
      <c r="I359" s="1">
        <v>39.085021852221999</v>
      </c>
      <c r="J359" s="1" t="b">
        <v>1</v>
      </c>
      <c r="K359" s="1" t="b">
        <v>1</v>
      </c>
    </row>
    <row r="360" spans="1:11" ht="19" customHeight="1" x14ac:dyDescent="0.3">
      <c r="A360" t="s">
        <v>42</v>
      </c>
      <c r="B360" s="1">
        <v>44</v>
      </c>
      <c r="C360" s="1" t="s">
        <v>186</v>
      </c>
      <c r="D360" s="1">
        <v>11.27435391044507</v>
      </c>
      <c r="E360" s="1">
        <v>18.33106387220316</v>
      </c>
      <c r="F360" s="1">
        <v>4.48610108743248E-2</v>
      </c>
      <c r="G360" s="1">
        <v>6.36790629752403E-2</v>
      </c>
      <c r="H360" s="1">
        <v>39.085880789699601</v>
      </c>
      <c r="I360" s="1">
        <v>39.085880789699601</v>
      </c>
      <c r="J360" s="1" t="b">
        <v>1</v>
      </c>
      <c r="K360" s="1" t="b">
        <v>0</v>
      </c>
    </row>
    <row r="361" spans="1:11" ht="19" customHeight="1" x14ac:dyDescent="0.3">
      <c r="A361" t="s">
        <v>42</v>
      </c>
      <c r="B361" s="1">
        <v>44</v>
      </c>
      <c r="C361" s="1" t="s">
        <v>186</v>
      </c>
      <c r="D361" s="1">
        <v>24.350708648899019</v>
      </c>
      <c r="E361" s="1">
        <v>16.102280351445621</v>
      </c>
      <c r="F361" s="1">
        <v>3.1033560380024701E-2</v>
      </c>
      <c r="G361" s="1">
        <v>7.5135784820846804E-2</v>
      </c>
      <c r="H361" s="1">
        <v>39.123382643262467</v>
      </c>
      <c r="I361" s="1">
        <v>39.123382643262467</v>
      </c>
      <c r="J361" s="1" t="b">
        <v>1</v>
      </c>
      <c r="K361" s="1" t="b">
        <v>0</v>
      </c>
    </row>
    <row r="362" spans="1:11" ht="19" customHeight="1" x14ac:dyDescent="0.3">
      <c r="A362" t="s">
        <v>42</v>
      </c>
      <c r="B362" s="1">
        <v>44</v>
      </c>
      <c r="C362" s="1" t="s">
        <v>188</v>
      </c>
      <c r="D362" s="1">
        <v>14.109269727772279</v>
      </c>
      <c r="E362" s="1">
        <v>22.208609359288861</v>
      </c>
      <c r="F362" s="1">
        <v>3.1749726790949402E-2</v>
      </c>
      <c r="G362" s="1">
        <v>4.2132587216605302E-2</v>
      </c>
      <c r="H362" s="1">
        <v>39.159733301876102</v>
      </c>
      <c r="I362" s="1">
        <v>39.159733301876102</v>
      </c>
      <c r="J362" s="1" t="b">
        <v>1</v>
      </c>
      <c r="K362" s="1" t="b">
        <v>0</v>
      </c>
    </row>
    <row r="363" spans="1:11" ht="19" customHeight="1" x14ac:dyDescent="0.3">
      <c r="A363" t="s">
        <v>42</v>
      </c>
      <c r="B363" s="1">
        <v>44</v>
      </c>
      <c r="C363" s="1" t="s">
        <v>188</v>
      </c>
      <c r="D363" s="1">
        <v>24.754323782764239</v>
      </c>
      <c r="E363" s="1">
        <v>22.926138274154692</v>
      </c>
      <c r="F363" s="1">
        <v>4.0691916773857403E-2</v>
      </c>
      <c r="G363" s="1">
        <v>4.5138797884748401E-2</v>
      </c>
      <c r="H363" s="1">
        <v>39.200024746902507</v>
      </c>
      <c r="I363" s="1">
        <v>39.200024746902507</v>
      </c>
      <c r="J363" s="1" t="b">
        <v>1</v>
      </c>
      <c r="K363" s="1" t="b">
        <v>0</v>
      </c>
    </row>
    <row r="364" spans="1:11" ht="19" customHeight="1" x14ac:dyDescent="0.3">
      <c r="A364" t="s">
        <v>42</v>
      </c>
      <c r="B364" s="1">
        <v>44</v>
      </c>
      <c r="C364" s="1" t="s">
        <v>187</v>
      </c>
      <c r="D364" s="1">
        <v>21.25</v>
      </c>
      <c r="E364" s="1">
        <v>25</v>
      </c>
      <c r="F364" s="1">
        <v>3.2500000000000001E-2</v>
      </c>
      <c r="G364" s="1">
        <v>5.1249999999999997E-2</v>
      </c>
      <c r="H364" s="1">
        <v>39.217535001771303</v>
      </c>
      <c r="I364" s="1">
        <v>39.217535001771303</v>
      </c>
      <c r="J364" s="1" t="b">
        <v>1</v>
      </c>
      <c r="K364" s="1" t="b">
        <v>0</v>
      </c>
    </row>
    <row r="365" spans="1:11" ht="19" customHeight="1" x14ac:dyDescent="0.3">
      <c r="A365" t="s">
        <v>42</v>
      </c>
      <c r="B365" s="1">
        <v>44</v>
      </c>
      <c r="C365" s="1" t="s">
        <v>187</v>
      </c>
      <c r="D365" s="1">
        <v>21.25</v>
      </c>
      <c r="E365" s="1">
        <v>25</v>
      </c>
      <c r="F365" s="1">
        <v>3.2500000000000001E-2</v>
      </c>
      <c r="G365" s="1">
        <v>7.3749999999999996E-2</v>
      </c>
      <c r="H365" s="1">
        <v>39.281426296960213</v>
      </c>
      <c r="I365" s="1">
        <v>39.281426296960213</v>
      </c>
      <c r="J365" s="1" t="b">
        <v>1</v>
      </c>
      <c r="K365" s="1" t="b">
        <v>0</v>
      </c>
    </row>
    <row r="366" spans="1:11" ht="19" customHeight="1" x14ac:dyDescent="0.3">
      <c r="A366" t="s">
        <v>42</v>
      </c>
      <c r="B366" s="1">
        <v>44</v>
      </c>
      <c r="C366" s="1" t="s">
        <v>188</v>
      </c>
      <c r="D366" s="1">
        <v>20.25265183781984</v>
      </c>
      <c r="E366" s="1">
        <v>25.347703366154999</v>
      </c>
      <c r="F366" s="1">
        <v>3.3646967990714101E-2</v>
      </c>
      <c r="G366" s="1">
        <v>4.6595179793774998E-2</v>
      </c>
      <c r="H366" s="1">
        <v>39.291079972666552</v>
      </c>
      <c r="I366" s="1">
        <v>39.291079972666552</v>
      </c>
      <c r="J366" s="1" t="b">
        <v>1</v>
      </c>
      <c r="K366" s="1" t="b">
        <v>0</v>
      </c>
    </row>
    <row r="367" spans="1:11" ht="19" customHeight="1" x14ac:dyDescent="0.3">
      <c r="A367" t="s">
        <v>42</v>
      </c>
      <c r="B367" s="1">
        <v>44</v>
      </c>
      <c r="C367" s="1" t="s">
        <v>188</v>
      </c>
      <c r="D367" s="1">
        <v>14.88236061635186</v>
      </c>
      <c r="E367" s="1">
        <v>23.937436030666269</v>
      </c>
      <c r="F367" s="1">
        <v>3.6493834926351401E-2</v>
      </c>
      <c r="G367" s="1">
        <v>7.1703170173343503E-2</v>
      </c>
      <c r="H367" s="1">
        <v>39.300778766777569</v>
      </c>
      <c r="I367" s="1">
        <v>39.300778766777569</v>
      </c>
      <c r="J367" s="1" t="b">
        <v>1</v>
      </c>
      <c r="K367" s="1" t="b">
        <v>0</v>
      </c>
    </row>
    <row r="368" spans="1:11" ht="19" customHeight="1" x14ac:dyDescent="0.3">
      <c r="A368" t="s">
        <v>42</v>
      </c>
      <c r="B368" s="1">
        <v>44</v>
      </c>
      <c r="C368" s="1" t="s">
        <v>186</v>
      </c>
      <c r="D368" s="1">
        <v>22.28966265993984</v>
      </c>
      <c r="E368" s="1">
        <v>24.63778835478702</v>
      </c>
      <c r="F368" s="1">
        <v>3.84491779873418E-2</v>
      </c>
      <c r="G368" s="1">
        <v>7.7326262932314802E-2</v>
      </c>
      <c r="H368" s="1">
        <v>39.304827121708882</v>
      </c>
      <c r="I368" s="1">
        <v>39.304827121708882</v>
      </c>
      <c r="J368" s="1" t="b">
        <v>1</v>
      </c>
      <c r="K368" s="1" t="b">
        <v>0</v>
      </c>
    </row>
    <row r="369" spans="1:11" ht="19" customHeight="1" x14ac:dyDescent="0.3">
      <c r="A369" t="s">
        <v>42</v>
      </c>
      <c r="B369" s="1">
        <v>44</v>
      </c>
      <c r="C369" s="1" t="s">
        <v>188</v>
      </c>
      <c r="D369" s="1">
        <v>13.05135824947336</v>
      </c>
      <c r="E369" s="1">
        <v>16.025606758053591</v>
      </c>
      <c r="F369" s="1">
        <v>5.4314634295913003E-2</v>
      </c>
      <c r="G369" s="1">
        <v>5.2448130109943897E-2</v>
      </c>
      <c r="H369" s="1">
        <v>39.362583902986849</v>
      </c>
      <c r="I369" s="1">
        <v>39.362583902986849</v>
      </c>
      <c r="J369" s="1" t="b">
        <v>1</v>
      </c>
      <c r="K369" s="1" t="b">
        <v>1</v>
      </c>
    </row>
    <row r="370" spans="1:11" ht="19" customHeight="1" x14ac:dyDescent="0.3">
      <c r="A370" t="s">
        <v>42</v>
      </c>
      <c r="B370" s="1">
        <v>44</v>
      </c>
      <c r="C370" s="1" t="s">
        <v>188</v>
      </c>
      <c r="D370" s="1">
        <v>20.16584226070805</v>
      </c>
      <c r="E370" s="1">
        <v>22.330683431278171</v>
      </c>
      <c r="F370" s="1">
        <v>5.3648084922054903E-2</v>
      </c>
      <c r="G370" s="1">
        <v>5.8513035139031798E-2</v>
      </c>
      <c r="H370" s="1">
        <v>39.366061983842258</v>
      </c>
      <c r="I370" s="1">
        <v>39.366061983842258</v>
      </c>
      <c r="J370" s="1" t="b">
        <v>1</v>
      </c>
      <c r="K370" s="1" t="b">
        <v>0</v>
      </c>
    </row>
    <row r="371" spans="1:11" ht="19" customHeight="1" x14ac:dyDescent="0.3">
      <c r="A371" t="s">
        <v>42</v>
      </c>
      <c r="B371" s="1">
        <v>44</v>
      </c>
      <c r="C371" s="1" t="s">
        <v>188</v>
      </c>
      <c r="D371" s="1">
        <v>16.35623987726693</v>
      </c>
      <c r="E371" s="1">
        <v>24.568475978389301</v>
      </c>
      <c r="F371" s="1">
        <v>3.8124525253606399E-2</v>
      </c>
      <c r="G371" s="1">
        <v>7.1206028314542702E-2</v>
      </c>
      <c r="H371" s="1">
        <v>39.36896326244667</v>
      </c>
      <c r="I371" s="1">
        <v>39.36896326244667</v>
      </c>
      <c r="J371" s="1" t="b">
        <v>1</v>
      </c>
      <c r="K371" s="1" t="b">
        <v>0</v>
      </c>
    </row>
    <row r="372" spans="1:11" ht="19" customHeight="1" x14ac:dyDescent="0.3">
      <c r="A372" t="s">
        <v>42</v>
      </c>
      <c r="B372" s="1">
        <v>44</v>
      </c>
      <c r="C372" s="1" t="s">
        <v>187</v>
      </c>
      <c r="D372" s="1">
        <v>21.25</v>
      </c>
      <c r="E372" s="1">
        <v>25</v>
      </c>
      <c r="F372" s="1">
        <v>4.7500000000000001E-2</v>
      </c>
      <c r="G372" s="1">
        <v>5.1249999999999997E-2</v>
      </c>
      <c r="H372" s="1">
        <v>39.398488355266039</v>
      </c>
      <c r="I372" s="1">
        <v>39.398488355266039</v>
      </c>
      <c r="J372" s="1" t="b">
        <v>1</v>
      </c>
      <c r="K372" s="1" t="b">
        <v>0</v>
      </c>
    </row>
    <row r="373" spans="1:11" ht="19" customHeight="1" x14ac:dyDescent="0.3">
      <c r="A373" t="s">
        <v>42</v>
      </c>
      <c r="B373" s="1">
        <v>44</v>
      </c>
      <c r="C373" s="1" t="s">
        <v>188</v>
      </c>
      <c r="D373" s="1">
        <v>23.686661427936439</v>
      </c>
      <c r="E373" s="1">
        <v>16.655736722707839</v>
      </c>
      <c r="F373" s="1">
        <v>4.8722231711260097E-2</v>
      </c>
      <c r="G373" s="1">
        <v>8.0740153875063295E-2</v>
      </c>
      <c r="H373" s="1">
        <v>39.402461337893307</v>
      </c>
      <c r="I373" s="1">
        <v>39.402461337893307</v>
      </c>
      <c r="J373" s="1" t="b">
        <v>1</v>
      </c>
      <c r="K373" s="1" t="b">
        <v>0</v>
      </c>
    </row>
    <row r="374" spans="1:11" ht="19" customHeight="1" x14ac:dyDescent="0.3">
      <c r="A374" t="s">
        <v>42</v>
      </c>
      <c r="B374" s="1">
        <v>44</v>
      </c>
      <c r="C374" s="1" t="s">
        <v>187</v>
      </c>
      <c r="D374" s="1">
        <v>13.75</v>
      </c>
      <c r="E374" s="1">
        <v>25</v>
      </c>
      <c r="F374" s="1">
        <v>3.2500000000000001E-2</v>
      </c>
      <c r="G374" s="1">
        <v>5.1249999999999997E-2</v>
      </c>
      <c r="H374" s="1">
        <v>39.414163755620557</v>
      </c>
      <c r="I374" s="1">
        <v>39.414163755620557</v>
      </c>
      <c r="J374" s="1" t="b">
        <v>1</v>
      </c>
      <c r="K374" s="1" t="b">
        <v>0</v>
      </c>
    </row>
    <row r="375" spans="1:11" ht="19" customHeight="1" x14ac:dyDescent="0.3">
      <c r="A375" t="s">
        <v>42</v>
      </c>
      <c r="B375" s="1">
        <v>44</v>
      </c>
      <c r="C375" s="1" t="s">
        <v>186</v>
      </c>
      <c r="D375" s="1">
        <v>13.21342330099526</v>
      </c>
      <c r="E375" s="1">
        <v>25.118714979120568</v>
      </c>
      <c r="F375" s="1">
        <v>3.30367380813779E-2</v>
      </c>
      <c r="G375" s="1">
        <v>6.3042524996410498E-2</v>
      </c>
      <c r="H375" s="1">
        <v>39.428012283066323</v>
      </c>
      <c r="I375" s="1">
        <v>39.428012283066323</v>
      </c>
      <c r="J375" s="1" t="b">
        <v>1</v>
      </c>
      <c r="K375" s="1" t="b">
        <v>0</v>
      </c>
    </row>
    <row r="376" spans="1:11" ht="19" customHeight="1" x14ac:dyDescent="0.3">
      <c r="A376" t="s">
        <v>42</v>
      </c>
      <c r="B376" s="1">
        <v>44</v>
      </c>
      <c r="C376" s="1" t="s">
        <v>186</v>
      </c>
      <c r="D376" s="1">
        <v>11.27435391044507</v>
      </c>
      <c r="E376" s="1">
        <v>18.33106387220316</v>
      </c>
      <c r="F376" s="1">
        <v>4.5404896716118498E-2</v>
      </c>
      <c r="G376" s="1">
        <v>4.1013908601970801E-2</v>
      </c>
      <c r="H376" s="1">
        <v>39.446702338307041</v>
      </c>
      <c r="I376" s="1">
        <v>39.446702338307041</v>
      </c>
      <c r="J376" s="1" t="b">
        <v>1</v>
      </c>
      <c r="K376" s="1" t="b">
        <v>0</v>
      </c>
    </row>
    <row r="377" spans="1:11" ht="19" customHeight="1" x14ac:dyDescent="0.3">
      <c r="A377" t="s">
        <v>42</v>
      </c>
      <c r="B377" s="1">
        <v>44</v>
      </c>
      <c r="C377" s="1" t="s">
        <v>186</v>
      </c>
      <c r="D377" s="1">
        <v>23.099671591965041</v>
      </c>
      <c r="E377" s="1">
        <v>26.166908833492101</v>
      </c>
      <c r="F377" s="1">
        <v>4.35269144074193E-2</v>
      </c>
      <c r="G377" s="1">
        <v>5.8108613882731697E-2</v>
      </c>
      <c r="H377" s="1">
        <v>39.478683037574427</v>
      </c>
      <c r="I377" s="1">
        <v>39.478683037574427</v>
      </c>
      <c r="J377" s="1" t="b">
        <v>1</v>
      </c>
      <c r="K377" s="1" t="b">
        <v>0</v>
      </c>
    </row>
    <row r="378" spans="1:11" ht="19" customHeight="1" x14ac:dyDescent="0.3">
      <c r="A378" t="s">
        <v>42</v>
      </c>
      <c r="B378" s="1">
        <v>44</v>
      </c>
      <c r="C378" s="1" t="s">
        <v>187</v>
      </c>
      <c r="D378" s="1">
        <v>13.75</v>
      </c>
      <c r="E378" s="1">
        <v>25</v>
      </c>
      <c r="F378" s="1">
        <v>3.2500000000000001E-2</v>
      </c>
      <c r="G378" s="1">
        <v>7.3749999999999996E-2</v>
      </c>
      <c r="H378" s="1">
        <v>39.48653461895065</v>
      </c>
      <c r="I378" s="1">
        <v>39.48653461895065</v>
      </c>
      <c r="J378" s="1" t="b">
        <v>1</v>
      </c>
      <c r="K378" s="1" t="b">
        <v>0</v>
      </c>
    </row>
    <row r="379" spans="1:11" ht="19" customHeight="1" x14ac:dyDescent="0.3">
      <c r="A379" t="s">
        <v>42</v>
      </c>
      <c r="B379" s="1">
        <v>44</v>
      </c>
      <c r="C379" s="1" t="s">
        <v>187</v>
      </c>
      <c r="D379" s="1">
        <v>21.25</v>
      </c>
      <c r="E379" s="1">
        <v>25</v>
      </c>
      <c r="F379" s="1">
        <v>4.7500000000000001E-2</v>
      </c>
      <c r="G379" s="1">
        <v>7.3749999999999996E-2</v>
      </c>
      <c r="H379" s="1">
        <v>39.500017332607356</v>
      </c>
      <c r="I379" s="1">
        <v>39.500017332607356</v>
      </c>
      <c r="J379" s="1" t="b">
        <v>1</v>
      </c>
      <c r="K379" s="1" t="b">
        <v>0</v>
      </c>
    </row>
    <row r="380" spans="1:11" ht="19" customHeight="1" x14ac:dyDescent="0.3">
      <c r="A380" t="s">
        <v>42</v>
      </c>
      <c r="B380" s="1">
        <v>44</v>
      </c>
      <c r="C380" s="1" t="s">
        <v>186</v>
      </c>
      <c r="D380" s="1">
        <v>13.21342330099526</v>
      </c>
      <c r="E380" s="1">
        <v>25.118714979120568</v>
      </c>
      <c r="F380" s="1">
        <v>3.05509866722606E-2</v>
      </c>
      <c r="G380" s="1">
        <v>7.3553414134585396E-2</v>
      </c>
      <c r="H380" s="1">
        <v>39.521833511991517</v>
      </c>
      <c r="I380" s="1">
        <v>39.521833511991517</v>
      </c>
      <c r="J380" s="1" t="b">
        <v>1</v>
      </c>
      <c r="K380" s="1" t="b">
        <v>0</v>
      </c>
    </row>
    <row r="381" spans="1:11" ht="19" customHeight="1" x14ac:dyDescent="0.3">
      <c r="A381" t="s">
        <v>42</v>
      </c>
      <c r="B381" s="1">
        <v>44</v>
      </c>
      <c r="C381" s="1" t="s">
        <v>186</v>
      </c>
      <c r="D381" s="1">
        <v>16.20416419179401</v>
      </c>
      <c r="E381" s="1">
        <v>26.585726810890421</v>
      </c>
      <c r="F381" s="1">
        <v>3.84491779873418E-2</v>
      </c>
      <c r="G381" s="1">
        <v>4.7823598635656599E-2</v>
      </c>
      <c r="H381" s="1">
        <v>39.582768523689751</v>
      </c>
      <c r="I381" s="1">
        <v>39.582768523689751</v>
      </c>
      <c r="J381" s="1" t="b">
        <v>1</v>
      </c>
      <c r="K381" s="1" t="b">
        <v>0</v>
      </c>
    </row>
    <row r="382" spans="1:11" ht="19" customHeight="1" x14ac:dyDescent="0.3">
      <c r="A382" t="s">
        <v>42</v>
      </c>
      <c r="B382" s="1">
        <v>44</v>
      </c>
      <c r="C382" s="1" t="s">
        <v>187</v>
      </c>
      <c r="D382" s="1">
        <v>13.75</v>
      </c>
      <c r="E382" s="1">
        <v>25</v>
      </c>
      <c r="F382" s="1">
        <v>4.7500000000000001E-2</v>
      </c>
      <c r="G382" s="1">
        <v>5.1249999999999997E-2</v>
      </c>
      <c r="H382" s="1">
        <v>39.606000742512343</v>
      </c>
      <c r="I382" s="1">
        <v>39.606000742512343</v>
      </c>
      <c r="J382" s="1" t="b">
        <v>1</v>
      </c>
      <c r="K382" s="1" t="b">
        <v>0</v>
      </c>
    </row>
    <row r="383" spans="1:11" ht="19" customHeight="1" x14ac:dyDescent="0.3">
      <c r="A383" t="s">
        <v>42</v>
      </c>
      <c r="B383" s="1">
        <v>44</v>
      </c>
      <c r="C383" s="1" t="s">
        <v>186</v>
      </c>
      <c r="D383" s="1">
        <v>21.093780824164149</v>
      </c>
      <c r="E383" s="1">
        <v>27.705293306905109</v>
      </c>
      <c r="F383" s="1">
        <v>4.1489827967927898E-2</v>
      </c>
      <c r="G383" s="1">
        <v>5.72936351773118E-2</v>
      </c>
      <c r="H383" s="1">
        <v>39.650778761558598</v>
      </c>
      <c r="I383" s="1">
        <v>39.650778761558598</v>
      </c>
      <c r="J383" s="1" t="b">
        <v>1</v>
      </c>
      <c r="K383" s="1" t="b">
        <v>0</v>
      </c>
    </row>
    <row r="384" spans="1:11" ht="19" customHeight="1" x14ac:dyDescent="0.3">
      <c r="A384" t="s">
        <v>42</v>
      </c>
      <c r="B384" s="1">
        <v>44</v>
      </c>
      <c r="C384" s="1" t="s">
        <v>186</v>
      </c>
      <c r="D384" s="1">
        <v>12.13377630053594</v>
      </c>
      <c r="E384" s="1">
        <v>26.356696706080768</v>
      </c>
      <c r="F384" s="1">
        <v>3.40578665150615E-2</v>
      </c>
      <c r="G384" s="1">
        <v>4.8772518826261699E-2</v>
      </c>
      <c r="H384" s="1">
        <v>39.663444489739277</v>
      </c>
      <c r="I384" s="1">
        <v>39.663444489739277</v>
      </c>
      <c r="J384" s="1" t="b">
        <v>1</v>
      </c>
      <c r="K384" s="1" t="b">
        <v>0</v>
      </c>
    </row>
    <row r="385" spans="1:12" ht="19" customHeight="1" x14ac:dyDescent="0.3">
      <c r="A385" t="s">
        <v>42</v>
      </c>
      <c r="B385" s="1">
        <v>44</v>
      </c>
      <c r="C385" s="1" t="s">
        <v>187</v>
      </c>
      <c r="D385" s="1">
        <v>13.75</v>
      </c>
      <c r="E385" s="1">
        <v>25</v>
      </c>
      <c r="F385" s="1">
        <v>4.7500000000000001E-2</v>
      </c>
      <c r="G385" s="1">
        <v>7.3749999999999996E-2</v>
      </c>
      <c r="H385" s="1">
        <v>39.67032275502433</v>
      </c>
      <c r="I385" s="1">
        <v>39.67032275502433</v>
      </c>
      <c r="J385" s="1" t="b">
        <v>1</v>
      </c>
      <c r="K385" s="1" t="b">
        <v>0</v>
      </c>
    </row>
    <row r="386" spans="1:12" ht="19" customHeight="1" x14ac:dyDescent="0.3">
      <c r="A386" t="s">
        <v>42</v>
      </c>
      <c r="B386" s="1">
        <v>44</v>
      </c>
      <c r="C386" s="1" t="s">
        <v>188</v>
      </c>
      <c r="D386" s="1">
        <v>12.71189845971065</v>
      </c>
      <c r="E386" s="1">
        <v>26.90790278251038</v>
      </c>
      <c r="F386" s="1">
        <v>2.7617232799434E-2</v>
      </c>
      <c r="G386" s="1">
        <v>6.4579289307853199E-2</v>
      </c>
      <c r="H386" s="1">
        <v>39.672377467137281</v>
      </c>
      <c r="I386" s="1">
        <v>39.672377467137281</v>
      </c>
      <c r="J386" s="1" t="b">
        <v>1</v>
      </c>
      <c r="K386" s="1" t="b">
        <v>0</v>
      </c>
    </row>
    <row r="387" spans="1:12" ht="19" customHeight="1" x14ac:dyDescent="0.3">
      <c r="A387" t="s">
        <v>42</v>
      </c>
      <c r="B387" s="1">
        <v>44</v>
      </c>
      <c r="C387" s="1" t="s">
        <v>188</v>
      </c>
      <c r="D387" s="1">
        <v>12.434756871783501</v>
      </c>
      <c r="E387" s="1">
        <v>27.145873471135431</v>
      </c>
      <c r="F387" s="1">
        <v>2.9891358132131899E-2</v>
      </c>
      <c r="G387" s="1">
        <v>5.5208287703466197E-2</v>
      </c>
      <c r="H387" s="1">
        <v>39.679382388485223</v>
      </c>
      <c r="I387" s="1">
        <v>39.679382388485223</v>
      </c>
      <c r="J387" s="1" t="b">
        <v>1</v>
      </c>
      <c r="K387" s="1" t="b">
        <v>0</v>
      </c>
    </row>
    <row r="388" spans="1:12" ht="19" customHeight="1" x14ac:dyDescent="0.3">
      <c r="A388" t="s">
        <v>42</v>
      </c>
      <c r="B388" s="1">
        <v>44</v>
      </c>
      <c r="C388" s="1" t="s">
        <v>188</v>
      </c>
      <c r="D388" s="1">
        <v>16.765380638235399</v>
      </c>
      <c r="E388" s="1">
        <v>26.046513712676401</v>
      </c>
      <c r="F388" s="1">
        <v>4.2822525053428498E-2</v>
      </c>
      <c r="G388" s="1">
        <v>8.06426934443632E-2</v>
      </c>
      <c r="H388" s="1">
        <v>39.685001382984417</v>
      </c>
      <c r="I388" s="1">
        <v>39.685001382984417</v>
      </c>
      <c r="J388" s="1" t="b">
        <v>1</v>
      </c>
      <c r="K388" s="1" t="b">
        <v>0</v>
      </c>
    </row>
    <row r="389" spans="1:12" ht="19" customHeight="1" x14ac:dyDescent="0.3">
      <c r="A389" t="s">
        <v>42</v>
      </c>
      <c r="B389" s="1">
        <v>44</v>
      </c>
      <c r="C389" s="1" t="s">
        <v>188</v>
      </c>
      <c r="D389" s="1">
        <v>21.960989500831431</v>
      </c>
      <c r="E389" s="1">
        <v>28.015103769062272</v>
      </c>
      <c r="F389" s="1">
        <v>4.0715884593386799E-2</v>
      </c>
      <c r="G389" s="1">
        <v>4.8872321000881701E-2</v>
      </c>
      <c r="H389" s="1">
        <v>39.736985530891033</v>
      </c>
      <c r="I389" s="1">
        <v>39.736985530891033</v>
      </c>
      <c r="J389" s="1" t="b">
        <v>1</v>
      </c>
      <c r="K389" s="1" t="b">
        <v>0</v>
      </c>
    </row>
    <row r="390" spans="1:12" ht="19" customHeight="1" x14ac:dyDescent="0.3">
      <c r="A390" t="s">
        <v>42</v>
      </c>
      <c r="B390" s="1">
        <v>44</v>
      </c>
      <c r="C390" s="1" t="s">
        <v>186</v>
      </c>
      <c r="D390" s="1">
        <v>10.87015275805396</v>
      </c>
      <c r="E390" s="1">
        <v>27.705293306905109</v>
      </c>
      <c r="F390" s="1">
        <v>3.1461818945014298E-2</v>
      </c>
      <c r="G390" s="1">
        <v>6.0844764766400397E-2</v>
      </c>
      <c r="H390" s="1">
        <v>39.795670578721491</v>
      </c>
      <c r="I390" s="1">
        <v>39.795670578721491</v>
      </c>
      <c r="J390" s="1" t="b">
        <v>1</v>
      </c>
      <c r="K390" s="1" t="b">
        <v>0</v>
      </c>
    </row>
    <row r="391" spans="1:12" ht="19" customHeight="1" x14ac:dyDescent="0.3">
      <c r="A391" t="s">
        <v>42</v>
      </c>
      <c r="B391" s="1">
        <v>44</v>
      </c>
      <c r="C391" s="1" t="s">
        <v>188</v>
      </c>
      <c r="D391" s="1">
        <v>10.609710142021379</v>
      </c>
      <c r="E391" s="1">
        <v>25.490810835133921</v>
      </c>
      <c r="F391" s="1">
        <v>4.5514624444518502E-2</v>
      </c>
      <c r="G391" s="1">
        <v>7.8230301077450201E-2</v>
      </c>
      <c r="H391" s="1">
        <v>40.026511267707598</v>
      </c>
      <c r="I391" s="1">
        <v>40.026511267707598</v>
      </c>
      <c r="J391" s="1" t="b">
        <v>1</v>
      </c>
      <c r="K391" s="1" t="b">
        <v>0</v>
      </c>
    </row>
    <row r="392" spans="1:12" ht="19" customHeight="1" x14ac:dyDescent="0.3">
      <c r="A392" t="s">
        <v>42</v>
      </c>
      <c r="B392" s="1">
        <v>44</v>
      </c>
      <c r="C392" s="1" t="s">
        <v>188</v>
      </c>
      <c r="D392" s="1">
        <v>24.094627179675921</v>
      </c>
      <c r="E392" s="1">
        <v>28.5349738550712</v>
      </c>
      <c r="F392" s="1">
        <v>4.6467152258285897E-2</v>
      </c>
      <c r="G392" s="1">
        <v>4.0875794986150397E-2</v>
      </c>
      <c r="H392" s="1">
        <v>40.042048995636513</v>
      </c>
      <c r="I392" s="1">
        <v>40.042048995636513</v>
      </c>
      <c r="J392" s="1" t="b">
        <v>1</v>
      </c>
      <c r="K392" s="1" t="b">
        <v>0</v>
      </c>
    </row>
    <row r="393" spans="1:12" ht="19" customHeight="1" x14ac:dyDescent="0.3">
      <c r="A393" t="s">
        <v>42</v>
      </c>
      <c r="B393" s="1">
        <v>44</v>
      </c>
      <c r="C393" s="1" t="s">
        <v>186</v>
      </c>
      <c r="D393" s="1">
        <v>12.35303350899026</v>
      </c>
      <c r="E393" s="1">
        <v>26.442168076077191</v>
      </c>
      <c r="F393" s="1">
        <v>5.1220532562449697E-2</v>
      </c>
      <c r="G393" s="1">
        <v>8.3785211986340993E-2</v>
      </c>
      <c r="H393" s="1">
        <v>40.282266825359351</v>
      </c>
      <c r="I393" s="1">
        <v>40.282266825359351</v>
      </c>
      <c r="J393" s="1" t="b">
        <v>1</v>
      </c>
      <c r="K393" s="1" t="b">
        <v>1</v>
      </c>
    </row>
    <row r="394" spans="1:12" ht="19" customHeight="1" x14ac:dyDescent="0.3">
      <c r="A394" t="s">
        <v>42</v>
      </c>
      <c r="B394" s="1">
        <v>44</v>
      </c>
      <c r="C394" s="1" t="s">
        <v>186</v>
      </c>
      <c r="D394" s="1">
        <v>15.284530012943909</v>
      </c>
      <c r="E394" s="1">
        <v>29.277568983443</v>
      </c>
      <c r="F394" s="1">
        <v>5.1498171802634697E-2</v>
      </c>
      <c r="G394" s="1">
        <v>4.3963016715233699E-2</v>
      </c>
      <c r="H394" s="1">
        <v>40.323203838850638</v>
      </c>
      <c r="I394" s="1">
        <v>40.323203838850638</v>
      </c>
      <c r="J394" s="1" t="b">
        <v>1</v>
      </c>
      <c r="K394" s="1" t="b">
        <v>0</v>
      </c>
    </row>
    <row r="395" spans="1:12" ht="19" customHeight="1" x14ac:dyDescent="0.3">
      <c r="A395" t="s">
        <v>42</v>
      </c>
      <c r="B395" s="1">
        <v>44</v>
      </c>
      <c r="C395" s="1" t="s">
        <v>188</v>
      </c>
      <c r="D395" s="1">
        <v>13.08768605792223</v>
      </c>
      <c r="E395" s="1">
        <v>29.558962434076079</v>
      </c>
      <c r="F395" s="1">
        <v>5.1825936821989903E-2</v>
      </c>
      <c r="G395" s="1">
        <v>6.5475678236618901E-2</v>
      </c>
      <c r="H395" s="1">
        <v>40.361575529114319</v>
      </c>
      <c r="I395" s="1">
        <v>40.361575529114319</v>
      </c>
      <c r="J395" s="1" t="b">
        <v>1</v>
      </c>
      <c r="K395" s="1" t="b">
        <v>0</v>
      </c>
    </row>
    <row r="396" spans="1:12" ht="19" customHeight="1" x14ac:dyDescent="0.3">
      <c r="A396" t="s">
        <v>42</v>
      </c>
      <c r="B396" s="1">
        <v>44</v>
      </c>
      <c r="C396" s="1" t="s">
        <v>188</v>
      </c>
      <c r="D396" s="1">
        <v>20.157786482543649</v>
      </c>
      <c r="E396" s="1">
        <v>11.045018211473</v>
      </c>
      <c r="F396" s="1">
        <v>4.6033946408462999E-2</v>
      </c>
      <c r="G396" s="1">
        <v>6.4614735034350099E-2</v>
      </c>
      <c r="H396" s="1">
        <v>39.015689896500838</v>
      </c>
      <c r="I396" s="1">
        <v>39.015689896500838</v>
      </c>
      <c r="J396" s="1" t="b">
        <v>0</v>
      </c>
      <c r="K396" s="1" t="b">
        <v>0</v>
      </c>
      <c r="L396" s="1" t="s">
        <v>191</v>
      </c>
    </row>
    <row r="397" spans="1:12" ht="19" customHeight="1" x14ac:dyDescent="0.3">
      <c r="A397" t="s">
        <v>42</v>
      </c>
      <c r="B397" s="1">
        <v>44</v>
      </c>
      <c r="C397" s="1" t="s">
        <v>186</v>
      </c>
      <c r="D397" s="1">
        <v>23.966079893710351</v>
      </c>
      <c r="E397" s="1">
        <v>13.387684991658841</v>
      </c>
      <c r="F397" s="1">
        <v>4.2842007673040902E-2</v>
      </c>
      <c r="G397" s="1">
        <v>7.0167037614718403E-2</v>
      </c>
      <c r="H397" s="1">
        <v>39.100630781111001</v>
      </c>
      <c r="I397" s="1">
        <v>39.100630781111001</v>
      </c>
      <c r="J397" s="1" t="b">
        <v>0</v>
      </c>
      <c r="K397" s="1" t="b">
        <v>0</v>
      </c>
      <c r="L397" s="1" t="s">
        <v>191</v>
      </c>
    </row>
    <row r="398" spans="1:12" ht="19" customHeight="1" x14ac:dyDescent="0.3">
      <c r="A398" t="s">
        <v>42</v>
      </c>
      <c r="B398" s="1">
        <v>44</v>
      </c>
      <c r="C398" s="1" t="s">
        <v>186</v>
      </c>
      <c r="D398" s="1">
        <v>10.78266451437405</v>
      </c>
      <c r="E398" s="1">
        <v>10.13099513046234</v>
      </c>
      <c r="F398" s="1">
        <v>4.8355930782320103E-2</v>
      </c>
      <c r="G398" s="1">
        <v>5.11303901942535E-2</v>
      </c>
      <c r="H398" s="1">
        <v>39.149241009855388</v>
      </c>
      <c r="I398" s="1">
        <v>39.149241009855388</v>
      </c>
      <c r="J398" s="1" t="b">
        <v>0</v>
      </c>
      <c r="K398" s="1" t="b">
        <v>0</v>
      </c>
      <c r="L398" s="1" t="s">
        <v>190</v>
      </c>
    </row>
    <row r="399" spans="1:12" ht="19" customHeight="1" x14ac:dyDescent="0.3">
      <c r="A399" t="s">
        <v>42</v>
      </c>
      <c r="B399" s="1">
        <v>44</v>
      </c>
      <c r="C399" s="1" t="s">
        <v>188</v>
      </c>
      <c r="D399" s="1">
        <v>24.426891984731629</v>
      </c>
      <c r="E399" s="1">
        <v>14.5957460108107</v>
      </c>
      <c r="F399" s="1">
        <v>2.7334291726411799E-2</v>
      </c>
      <c r="G399" s="1">
        <v>7.7480071678045201E-2</v>
      </c>
      <c r="H399" s="1">
        <v>39.209911025161531</v>
      </c>
      <c r="I399" s="1">
        <v>39.209911025161531</v>
      </c>
      <c r="J399" s="1" t="b">
        <v>0</v>
      </c>
      <c r="K399" s="1" t="b">
        <v>0</v>
      </c>
      <c r="L399" s="1" t="s">
        <v>191</v>
      </c>
    </row>
    <row r="400" spans="1:12" ht="19" customHeight="1" x14ac:dyDescent="0.3">
      <c r="A400" t="s">
        <v>42</v>
      </c>
      <c r="B400" s="1">
        <v>44</v>
      </c>
      <c r="C400" s="1" t="s">
        <v>188</v>
      </c>
      <c r="D400" s="1">
        <v>24.930785293156202</v>
      </c>
      <c r="E400" s="1">
        <v>14.67427526207346</v>
      </c>
      <c r="F400" s="1">
        <v>4.7752785901883997E-2</v>
      </c>
      <c r="G400" s="1">
        <v>6.1455431920950002E-2</v>
      </c>
      <c r="H400" s="1">
        <v>39.278841946397073</v>
      </c>
      <c r="I400" s="1">
        <v>39.278841946397073</v>
      </c>
      <c r="J400" s="1" t="b">
        <v>0</v>
      </c>
      <c r="K400" s="1" t="b">
        <v>0</v>
      </c>
      <c r="L400" s="1" t="s">
        <v>191</v>
      </c>
    </row>
    <row r="401" spans="1:12" ht="19" customHeight="1" x14ac:dyDescent="0.3">
      <c r="A401" t="s">
        <v>42</v>
      </c>
      <c r="B401" s="1">
        <v>44</v>
      </c>
      <c r="C401" s="1" t="s">
        <v>186</v>
      </c>
      <c r="D401" s="1">
        <v>10.882939617999689</v>
      </c>
      <c r="E401" s="1">
        <v>14.17185930143672</v>
      </c>
      <c r="F401" s="1">
        <v>4.9076797189356598E-2</v>
      </c>
      <c r="G401" s="1">
        <v>4.37734269814226E-2</v>
      </c>
      <c r="H401" s="1">
        <v>39.378592556387787</v>
      </c>
      <c r="I401" s="1">
        <v>39.378592556387787</v>
      </c>
      <c r="J401" s="1" t="b">
        <v>0</v>
      </c>
      <c r="K401" s="1" t="b">
        <v>0</v>
      </c>
      <c r="L401" s="1" t="s">
        <v>190</v>
      </c>
    </row>
    <row r="402" spans="1:12" ht="19" customHeight="1" x14ac:dyDescent="0.3">
      <c r="A402" t="s">
        <v>42</v>
      </c>
      <c r="B402" s="1">
        <v>44</v>
      </c>
      <c r="C402" s="1" t="s">
        <v>186</v>
      </c>
      <c r="D402" s="1">
        <v>19.19220362554417</v>
      </c>
      <c r="E402" s="1">
        <v>12.01154797577269</v>
      </c>
      <c r="F402" s="1">
        <v>5.3745618232751403E-2</v>
      </c>
      <c r="G402" s="1">
        <v>8.0267556445007396E-2</v>
      </c>
      <c r="H402" s="1">
        <v>39.865784955164649</v>
      </c>
      <c r="I402" s="1">
        <v>39.865784955164649</v>
      </c>
      <c r="J402" s="1" t="b">
        <v>0</v>
      </c>
      <c r="K402" s="1" t="b">
        <v>0</v>
      </c>
      <c r="L402" s="1" t="s">
        <v>191</v>
      </c>
    </row>
    <row r="403" spans="1:12" ht="19" customHeight="1" x14ac:dyDescent="0.3">
      <c r="A403" t="s">
        <v>42</v>
      </c>
      <c r="B403" s="1">
        <v>44</v>
      </c>
      <c r="C403" s="1" t="s">
        <v>186</v>
      </c>
      <c r="D403" s="1">
        <v>11.505494048365</v>
      </c>
      <c r="E403" s="1">
        <v>29.691798717184771</v>
      </c>
      <c r="F403" s="1">
        <v>2.97896966220846E-2</v>
      </c>
      <c r="G403" s="1">
        <v>6.2318861998314101E-2</v>
      </c>
      <c r="H403" s="1">
        <v>40.114142073053337</v>
      </c>
      <c r="I403" s="1">
        <v>40.114142073053337</v>
      </c>
      <c r="J403" s="1" t="b">
        <v>0</v>
      </c>
      <c r="K403" s="1" t="b">
        <v>0</v>
      </c>
      <c r="L403" s="1" t="s">
        <v>193</v>
      </c>
    </row>
    <row r="404" spans="1:12" ht="19" customHeight="1" x14ac:dyDescent="0.3">
      <c r="A404" t="s">
        <v>42</v>
      </c>
      <c r="B404" s="1">
        <v>45</v>
      </c>
      <c r="C404" s="1" t="s">
        <v>185</v>
      </c>
      <c r="D404" s="1">
        <v>14.931844362706149</v>
      </c>
      <c r="E404" s="1">
        <v>13.856766878193699</v>
      </c>
      <c r="F404" s="1">
        <v>4.1261970182385602E-2</v>
      </c>
      <c r="G404" s="1">
        <v>6.3931768149381105E-2</v>
      </c>
      <c r="H404" s="1">
        <v>38.253563209048892</v>
      </c>
      <c r="I404" s="1">
        <v>38.253563209048892</v>
      </c>
      <c r="J404" s="1" t="b">
        <v>1</v>
      </c>
      <c r="K404" s="1" t="b">
        <v>1</v>
      </c>
    </row>
    <row r="405" spans="1:12" ht="19" customHeight="1" x14ac:dyDescent="0.3">
      <c r="A405" t="s">
        <v>42</v>
      </c>
      <c r="B405" s="1">
        <v>45</v>
      </c>
      <c r="C405" s="1" t="s">
        <v>185</v>
      </c>
      <c r="D405" s="1">
        <v>14.931844362706149</v>
      </c>
      <c r="E405" s="1">
        <v>13.837107017450791</v>
      </c>
      <c r="F405" s="1">
        <v>4.1261970182385602E-2</v>
      </c>
      <c r="G405" s="1">
        <v>6.3931768149381105E-2</v>
      </c>
      <c r="H405" s="1">
        <v>38.253979418167731</v>
      </c>
      <c r="I405" s="1">
        <v>38.253979418167731</v>
      </c>
      <c r="J405" s="1" t="b">
        <v>1</v>
      </c>
      <c r="K405" s="1" t="b">
        <v>1</v>
      </c>
    </row>
    <row r="406" spans="1:12" ht="19" customHeight="1" x14ac:dyDescent="0.3">
      <c r="A406" t="s">
        <v>42</v>
      </c>
      <c r="B406" s="1">
        <v>45</v>
      </c>
      <c r="C406" s="1" t="s">
        <v>185</v>
      </c>
      <c r="D406" s="1">
        <v>14.931844362706149</v>
      </c>
      <c r="E406" s="1">
        <v>13.805427016585179</v>
      </c>
      <c r="F406" s="1">
        <v>4.1261970182385602E-2</v>
      </c>
      <c r="G406" s="1">
        <v>6.3931768149381105E-2</v>
      </c>
      <c r="H406" s="1">
        <v>38.254652582115398</v>
      </c>
      <c r="I406" s="1">
        <v>38.254652582115398</v>
      </c>
      <c r="J406" s="1" t="b">
        <v>1</v>
      </c>
      <c r="K406" s="1" t="b">
        <v>1</v>
      </c>
    </row>
    <row r="407" spans="1:12" ht="19" customHeight="1" x14ac:dyDescent="0.3">
      <c r="A407" t="s">
        <v>42</v>
      </c>
      <c r="B407" s="1">
        <v>45</v>
      </c>
      <c r="C407" s="1" t="s">
        <v>185</v>
      </c>
      <c r="D407" s="1">
        <v>14.931844362706149</v>
      </c>
      <c r="E407" s="1">
        <v>13.932063026901149</v>
      </c>
      <c r="F407" s="1">
        <v>4.1261970182385602E-2</v>
      </c>
      <c r="G407" s="1">
        <v>6.3931768149381105E-2</v>
      </c>
      <c r="H407" s="1">
        <v>38.255560519172789</v>
      </c>
      <c r="I407" s="1">
        <v>38.255560519172789</v>
      </c>
      <c r="J407" s="1" t="b">
        <v>1</v>
      </c>
      <c r="K407" s="1" t="b">
        <v>0</v>
      </c>
    </row>
    <row r="408" spans="1:12" ht="19" customHeight="1" x14ac:dyDescent="0.3">
      <c r="A408" t="s">
        <v>42</v>
      </c>
      <c r="B408" s="1">
        <v>45</v>
      </c>
      <c r="C408" s="1" t="s">
        <v>185</v>
      </c>
      <c r="D408" s="1">
        <v>14.931844362706149</v>
      </c>
      <c r="E408" s="1">
        <v>14.04654565755725</v>
      </c>
      <c r="F408" s="1">
        <v>4.1261970182385602E-2</v>
      </c>
      <c r="G408" s="1">
        <v>6.3931768149381105E-2</v>
      </c>
      <c r="H408" s="1">
        <v>38.259509054801207</v>
      </c>
      <c r="I408" s="1">
        <v>38.259509054801207</v>
      </c>
      <c r="J408" s="1" t="b">
        <v>1</v>
      </c>
      <c r="K408" s="1" t="b">
        <v>0</v>
      </c>
    </row>
    <row r="409" spans="1:12" ht="19" customHeight="1" x14ac:dyDescent="0.3">
      <c r="A409" t="s">
        <v>42</v>
      </c>
      <c r="B409" s="1">
        <v>45</v>
      </c>
      <c r="C409" s="1" t="s">
        <v>185</v>
      </c>
      <c r="D409" s="1">
        <v>14.931844362706149</v>
      </c>
      <c r="E409" s="1">
        <v>13.544710396548529</v>
      </c>
      <c r="F409" s="1">
        <v>4.1261970182385602E-2</v>
      </c>
      <c r="G409" s="1">
        <v>6.3931768149381105E-2</v>
      </c>
      <c r="H409" s="1">
        <v>38.260431436652418</v>
      </c>
      <c r="I409" s="1">
        <v>38.260431436652418</v>
      </c>
      <c r="J409" s="1" t="b">
        <v>1</v>
      </c>
      <c r="K409" s="1" t="b">
        <v>1</v>
      </c>
    </row>
    <row r="410" spans="1:12" ht="19" customHeight="1" x14ac:dyDescent="0.3">
      <c r="A410" t="s">
        <v>42</v>
      </c>
      <c r="B410" s="1">
        <v>45</v>
      </c>
      <c r="C410" s="1" t="s">
        <v>185</v>
      </c>
      <c r="D410" s="1">
        <v>14.931844362706149</v>
      </c>
      <c r="E410" s="1">
        <v>13.284239603380531</v>
      </c>
      <c r="F410" s="1">
        <v>4.1261970182385602E-2</v>
      </c>
      <c r="G410" s="1">
        <v>6.3931768149381105E-2</v>
      </c>
      <c r="H410" s="1">
        <v>38.266432126937602</v>
      </c>
      <c r="I410" s="1">
        <v>38.266432126937602</v>
      </c>
      <c r="J410" s="1" t="b">
        <v>1</v>
      </c>
      <c r="K410" s="1" t="b">
        <v>1</v>
      </c>
    </row>
    <row r="411" spans="1:12" ht="19" customHeight="1" x14ac:dyDescent="0.3">
      <c r="A411" t="s">
        <v>42</v>
      </c>
      <c r="B411" s="1">
        <v>45</v>
      </c>
      <c r="C411" s="1" t="s">
        <v>185</v>
      </c>
      <c r="D411" s="1">
        <v>14.928511029077621</v>
      </c>
      <c r="E411" s="1">
        <v>13.284239603380531</v>
      </c>
      <c r="F411" s="1">
        <v>4.1261970182385602E-2</v>
      </c>
      <c r="G411" s="1">
        <v>6.3931768149381105E-2</v>
      </c>
      <c r="H411" s="1">
        <v>38.266495221676841</v>
      </c>
      <c r="I411" s="1">
        <v>38.266495221676841</v>
      </c>
      <c r="J411" s="1" t="b">
        <v>1</v>
      </c>
      <c r="K411" s="1" t="b">
        <v>1</v>
      </c>
    </row>
    <row r="412" spans="1:12" ht="19" customHeight="1" x14ac:dyDescent="0.3">
      <c r="A412" t="s">
        <v>42</v>
      </c>
      <c r="B412" s="1">
        <v>45</v>
      </c>
      <c r="C412" s="1" t="s">
        <v>185</v>
      </c>
      <c r="D412" s="1">
        <v>14.935310224772699</v>
      </c>
      <c r="E412" s="1">
        <v>13.284239603380531</v>
      </c>
      <c r="F412" s="1">
        <v>4.1261970182385602E-2</v>
      </c>
      <c r="G412" s="1">
        <v>6.3931768149381105E-2</v>
      </c>
      <c r="H412" s="1">
        <v>38.266526086024271</v>
      </c>
      <c r="I412" s="1">
        <v>38.266526086024271</v>
      </c>
      <c r="J412" s="1" t="b">
        <v>1</v>
      </c>
      <c r="K412" s="1" t="b">
        <v>0</v>
      </c>
    </row>
    <row r="413" spans="1:12" ht="19" customHeight="1" x14ac:dyDescent="0.3">
      <c r="A413" t="s">
        <v>42</v>
      </c>
      <c r="B413" s="1">
        <v>45</v>
      </c>
      <c r="C413" s="1" t="s">
        <v>185</v>
      </c>
      <c r="D413" s="1">
        <v>14.92517769549853</v>
      </c>
      <c r="E413" s="1">
        <v>13.284239603380531</v>
      </c>
      <c r="F413" s="1">
        <v>4.1261970182385602E-2</v>
      </c>
      <c r="G413" s="1">
        <v>6.3931768149381105E-2</v>
      </c>
      <c r="H413" s="1">
        <v>38.266562604370449</v>
      </c>
      <c r="I413" s="1">
        <v>38.266562604370449</v>
      </c>
      <c r="J413" s="1" t="b">
        <v>1</v>
      </c>
      <c r="K413" s="1" t="b">
        <v>1</v>
      </c>
    </row>
    <row r="414" spans="1:12" ht="19" customHeight="1" x14ac:dyDescent="0.3">
      <c r="A414" t="s">
        <v>42</v>
      </c>
      <c r="B414" s="1">
        <v>45</v>
      </c>
      <c r="C414" s="1" t="s">
        <v>185</v>
      </c>
      <c r="D414" s="1">
        <v>14.940918107396699</v>
      </c>
      <c r="E414" s="1">
        <v>13.284239603380531</v>
      </c>
      <c r="F414" s="1">
        <v>4.1261970182385602E-2</v>
      </c>
      <c r="G414" s="1">
        <v>6.3931768149381105E-2</v>
      </c>
      <c r="H414" s="1">
        <v>38.266786872717887</v>
      </c>
      <c r="I414" s="1">
        <v>38.266786872717887</v>
      </c>
      <c r="J414" s="1" t="b">
        <v>1</v>
      </c>
      <c r="K414" s="1" t="b">
        <v>0</v>
      </c>
    </row>
    <row r="415" spans="1:12" ht="19" customHeight="1" x14ac:dyDescent="0.3">
      <c r="A415" t="s">
        <v>42</v>
      </c>
      <c r="B415" s="1">
        <v>45</v>
      </c>
      <c r="C415" s="1" t="s">
        <v>185</v>
      </c>
      <c r="D415" s="1">
        <v>14.91348226537759</v>
      </c>
      <c r="E415" s="1">
        <v>13.284239603380531</v>
      </c>
      <c r="F415" s="1">
        <v>4.1261970182385602E-2</v>
      </c>
      <c r="G415" s="1">
        <v>6.3931768149381105E-2</v>
      </c>
      <c r="H415" s="1">
        <v>38.266824003739679</v>
      </c>
      <c r="I415" s="1">
        <v>38.266824003739679</v>
      </c>
      <c r="J415" s="1" t="b">
        <v>1</v>
      </c>
      <c r="K415" s="1" t="b">
        <v>1</v>
      </c>
    </row>
    <row r="416" spans="1:12" ht="19" customHeight="1" x14ac:dyDescent="0.3">
      <c r="A416" t="s">
        <v>42</v>
      </c>
      <c r="B416" s="1">
        <v>45</v>
      </c>
      <c r="C416" s="1" t="s">
        <v>186</v>
      </c>
      <c r="D416" s="1">
        <v>14.908609054749951</v>
      </c>
      <c r="E416" s="1">
        <v>13.284239603380531</v>
      </c>
      <c r="F416" s="1">
        <v>4.1261970182385602E-2</v>
      </c>
      <c r="G416" s="1">
        <v>6.3931768149381105E-2</v>
      </c>
      <c r="H416" s="1">
        <v>38.266932998435351</v>
      </c>
      <c r="I416" s="1">
        <v>38.266932998435351</v>
      </c>
      <c r="J416" s="1" t="b">
        <v>1</v>
      </c>
      <c r="K416" s="1" t="b">
        <v>1</v>
      </c>
    </row>
    <row r="417" spans="1:11" ht="19" customHeight="1" x14ac:dyDescent="0.3">
      <c r="A417" t="s">
        <v>42</v>
      </c>
      <c r="B417" s="1">
        <v>45</v>
      </c>
      <c r="C417" s="1" t="s">
        <v>185</v>
      </c>
      <c r="D417" s="1">
        <v>14.84023769828981</v>
      </c>
      <c r="E417" s="1">
        <v>13.284239603380531</v>
      </c>
      <c r="F417" s="1">
        <v>4.1261970182385602E-2</v>
      </c>
      <c r="G417" s="1">
        <v>6.3931768149381105E-2</v>
      </c>
      <c r="H417" s="1">
        <v>38.268466144922527</v>
      </c>
      <c r="I417" s="1">
        <v>38.268466144922527</v>
      </c>
      <c r="J417" s="1" t="b">
        <v>1</v>
      </c>
      <c r="K417" s="1" t="b">
        <v>1</v>
      </c>
    </row>
    <row r="418" spans="1:11" ht="19" customHeight="1" x14ac:dyDescent="0.3">
      <c r="A418" t="s">
        <v>42</v>
      </c>
      <c r="B418" s="1">
        <v>45</v>
      </c>
      <c r="C418" s="1" t="s">
        <v>185</v>
      </c>
      <c r="D418" s="1">
        <v>15.10335733474381</v>
      </c>
      <c r="E418" s="1">
        <v>13.284239603380531</v>
      </c>
      <c r="F418" s="1">
        <v>4.1261970182385602E-2</v>
      </c>
      <c r="G418" s="1">
        <v>6.3931768149381105E-2</v>
      </c>
      <c r="H418" s="1">
        <v>38.274379398375189</v>
      </c>
      <c r="I418" s="1">
        <v>38.274379398375189</v>
      </c>
      <c r="J418" s="1" t="b">
        <v>1</v>
      </c>
      <c r="K418" s="1" t="b">
        <v>0</v>
      </c>
    </row>
    <row r="419" spans="1:11" ht="19" customHeight="1" x14ac:dyDescent="0.3">
      <c r="A419" t="s">
        <v>42</v>
      </c>
      <c r="B419" s="1">
        <v>45</v>
      </c>
      <c r="C419" s="1" t="s">
        <v>185</v>
      </c>
      <c r="D419" s="1">
        <v>14.40620448224308</v>
      </c>
      <c r="E419" s="1">
        <v>13.284239603380531</v>
      </c>
      <c r="F419" s="1">
        <v>4.1261970182385602E-2</v>
      </c>
      <c r="G419" s="1">
        <v>6.3931768149381105E-2</v>
      </c>
      <c r="H419" s="1">
        <v>38.280187093255464</v>
      </c>
      <c r="I419" s="1">
        <v>38.280187093255464</v>
      </c>
      <c r="J419" s="1" t="b">
        <v>1</v>
      </c>
      <c r="K419" s="1" t="b">
        <v>1</v>
      </c>
    </row>
    <row r="420" spans="1:11" ht="19" customHeight="1" x14ac:dyDescent="0.3">
      <c r="A420" t="s">
        <v>42</v>
      </c>
      <c r="B420" s="1">
        <v>45</v>
      </c>
      <c r="C420" s="1" t="s">
        <v>185</v>
      </c>
      <c r="D420" s="1">
        <v>14.931844362706149</v>
      </c>
      <c r="E420" s="1">
        <v>14.721359549995791</v>
      </c>
      <c r="F420" s="1">
        <v>4.1261970182385602E-2</v>
      </c>
      <c r="G420" s="1">
        <v>6.3931768149381105E-2</v>
      </c>
      <c r="H420" s="1">
        <v>38.284674424558247</v>
      </c>
      <c r="I420" s="1">
        <v>38.284674424558247</v>
      </c>
      <c r="J420" s="1" t="b">
        <v>1</v>
      </c>
      <c r="K420" s="1" t="b">
        <v>0</v>
      </c>
    </row>
    <row r="421" spans="1:11" ht="19" customHeight="1" x14ac:dyDescent="0.3">
      <c r="A421" t="s">
        <v>42</v>
      </c>
      <c r="B421" s="1">
        <v>45</v>
      </c>
      <c r="C421" s="1" t="s">
        <v>185</v>
      </c>
      <c r="D421" s="1">
        <v>15.366189525697701</v>
      </c>
      <c r="E421" s="1">
        <v>13.284239603380531</v>
      </c>
      <c r="F421" s="1">
        <v>4.1261970182385602E-2</v>
      </c>
      <c r="G421" s="1">
        <v>6.3931768149381105E-2</v>
      </c>
      <c r="H421" s="1">
        <v>38.286820772989572</v>
      </c>
      <c r="I421" s="1">
        <v>38.286820772989572</v>
      </c>
      <c r="J421" s="1" t="b">
        <v>1</v>
      </c>
      <c r="K421" s="1" t="b">
        <v>0</v>
      </c>
    </row>
    <row r="422" spans="1:11" ht="19" customHeight="1" x14ac:dyDescent="0.3">
      <c r="A422" t="s">
        <v>42</v>
      </c>
      <c r="B422" s="1">
        <v>45</v>
      </c>
      <c r="C422" s="1" t="s">
        <v>188</v>
      </c>
      <c r="D422" s="1">
        <v>13.500108287146791</v>
      </c>
      <c r="E422" s="1">
        <v>13.63431219764184</v>
      </c>
      <c r="F422" s="1">
        <v>3.7489039574583903E-2</v>
      </c>
      <c r="G422" s="1">
        <v>6.3173837895838802E-2</v>
      </c>
      <c r="H422" s="1">
        <v>38.297034984659952</v>
      </c>
      <c r="I422" s="1">
        <v>38.297034984659952</v>
      </c>
      <c r="J422" s="1" t="b">
        <v>1</v>
      </c>
      <c r="K422" s="1" t="b">
        <v>1</v>
      </c>
    </row>
    <row r="423" spans="1:11" ht="19" customHeight="1" x14ac:dyDescent="0.3">
      <c r="A423" t="s">
        <v>42</v>
      </c>
      <c r="B423" s="1">
        <v>45</v>
      </c>
      <c r="C423" s="1" t="s">
        <v>185</v>
      </c>
      <c r="D423" s="1">
        <v>14.931844362706149</v>
      </c>
      <c r="E423" s="1">
        <v>12.917960675006309</v>
      </c>
      <c r="F423" s="1">
        <v>4.1261970182385602E-2</v>
      </c>
      <c r="G423" s="1">
        <v>6.3931768149381105E-2</v>
      </c>
      <c r="H423" s="1">
        <v>38.301402899230332</v>
      </c>
      <c r="I423" s="1">
        <v>38.301402899230332</v>
      </c>
      <c r="J423" s="1" t="b">
        <v>1</v>
      </c>
      <c r="K423" s="1" t="b">
        <v>0</v>
      </c>
    </row>
    <row r="424" spans="1:11" ht="19" customHeight="1" x14ac:dyDescent="0.3">
      <c r="A424" t="s">
        <v>42</v>
      </c>
      <c r="B424" s="1">
        <v>45</v>
      </c>
      <c r="C424" s="1" t="s">
        <v>185</v>
      </c>
      <c r="D424" s="1">
        <v>15.72949016875158</v>
      </c>
      <c r="E424" s="1">
        <v>13.284239603380531</v>
      </c>
      <c r="F424" s="1">
        <v>4.1261970182385602E-2</v>
      </c>
      <c r="G424" s="1">
        <v>6.3931768149381105E-2</v>
      </c>
      <c r="H424" s="1">
        <v>38.304452488113633</v>
      </c>
      <c r="I424" s="1">
        <v>38.304452488113633</v>
      </c>
      <c r="J424" s="1" t="b">
        <v>1</v>
      </c>
      <c r="K424" s="1" t="b">
        <v>0</v>
      </c>
    </row>
    <row r="425" spans="1:11" ht="19" customHeight="1" x14ac:dyDescent="0.3">
      <c r="A425" t="s">
        <v>42</v>
      </c>
      <c r="B425" s="1">
        <v>45</v>
      </c>
      <c r="C425" s="1" t="s">
        <v>186</v>
      </c>
      <c r="D425" s="1">
        <v>17.06703342572948</v>
      </c>
      <c r="E425" s="1">
        <v>12.54391387185888</v>
      </c>
      <c r="F425" s="1">
        <v>3.6074373543646503E-2</v>
      </c>
      <c r="G425" s="1">
        <v>5.9890652562789901E-2</v>
      </c>
      <c r="H425" s="1">
        <v>38.351485700165313</v>
      </c>
      <c r="I425" s="1">
        <v>38.351485700165313</v>
      </c>
      <c r="J425" s="1" t="b">
        <v>1</v>
      </c>
      <c r="K425" s="1" t="b">
        <v>0</v>
      </c>
    </row>
    <row r="426" spans="1:11" ht="19" customHeight="1" x14ac:dyDescent="0.3">
      <c r="A426" t="s">
        <v>42</v>
      </c>
      <c r="B426" s="1">
        <v>45</v>
      </c>
      <c r="C426" s="1" t="s">
        <v>185</v>
      </c>
      <c r="D426" s="1">
        <v>13.54101966249684</v>
      </c>
      <c r="E426" s="1">
        <v>13.284239603380531</v>
      </c>
      <c r="F426" s="1">
        <v>4.1261970182385602E-2</v>
      </c>
      <c r="G426" s="1">
        <v>6.3931768149381105E-2</v>
      </c>
      <c r="H426" s="1">
        <v>38.35794334332379</v>
      </c>
      <c r="I426" s="1">
        <v>38.35794334332379</v>
      </c>
      <c r="J426" s="1" t="b">
        <v>1</v>
      </c>
      <c r="K426" s="1" t="b">
        <v>1</v>
      </c>
    </row>
    <row r="427" spans="1:11" ht="19" customHeight="1" x14ac:dyDescent="0.3">
      <c r="A427" t="s">
        <v>42</v>
      </c>
      <c r="B427" s="1">
        <v>45</v>
      </c>
      <c r="C427" s="1" t="s">
        <v>186</v>
      </c>
      <c r="D427" s="1">
        <v>16.184444814111188</v>
      </c>
      <c r="E427" s="1">
        <v>14.673484166150759</v>
      </c>
      <c r="F427" s="1">
        <v>4.3243009912456797E-2</v>
      </c>
      <c r="G427" s="1">
        <v>6.4728062032185202E-2</v>
      </c>
      <c r="H427" s="1">
        <v>38.369386129867237</v>
      </c>
      <c r="I427" s="1">
        <v>38.369386129867237</v>
      </c>
      <c r="J427" s="1" t="b">
        <v>1</v>
      </c>
      <c r="K427" s="1" t="b">
        <v>0</v>
      </c>
    </row>
    <row r="428" spans="1:11" ht="19" customHeight="1" x14ac:dyDescent="0.3">
      <c r="A428" t="s">
        <v>42</v>
      </c>
      <c r="B428" s="1">
        <v>45</v>
      </c>
      <c r="C428" s="1" t="s">
        <v>186</v>
      </c>
      <c r="D428" s="1">
        <v>15.85258577198136</v>
      </c>
      <c r="E428" s="1">
        <v>14.33793843550473</v>
      </c>
      <c r="F428" s="1">
        <v>3.0355341341116698E-2</v>
      </c>
      <c r="G428" s="1">
        <v>7.7269326961106402E-2</v>
      </c>
      <c r="H428" s="1">
        <v>38.479386022681737</v>
      </c>
      <c r="I428" s="1">
        <v>38.479386022681737</v>
      </c>
      <c r="J428" s="1" t="b">
        <v>1</v>
      </c>
      <c r="K428" s="1" t="b">
        <v>1</v>
      </c>
    </row>
    <row r="429" spans="1:11" ht="19" customHeight="1" x14ac:dyDescent="0.3">
      <c r="A429" t="s">
        <v>42</v>
      </c>
      <c r="B429" s="1">
        <v>45</v>
      </c>
      <c r="C429" s="1" t="s">
        <v>186</v>
      </c>
      <c r="D429" s="1">
        <v>13.0801689402916</v>
      </c>
      <c r="E429" s="1">
        <v>11.31342078931322</v>
      </c>
      <c r="F429" s="1">
        <v>4.16623710080593E-2</v>
      </c>
      <c r="G429" s="1">
        <v>5.9890652562789901E-2</v>
      </c>
      <c r="H429" s="1">
        <v>38.499108082931102</v>
      </c>
      <c r="I429" s="1">
        <v>38.499108082931102</v>
      </c>
      <c r="J429" s="1" t="b">
        <v>1</v>
      </c>
      <c r="K429" s="1" t="b">
        <v>1</v>
      </c>
    </row>
    <row r="430" spans="1:11" ht="19" customHeight="1" x14ac:dyDescent="0.3">
      <c r="A430" t="s">
        <v>42</v>
      </c>
      <c r="B430" s="1">
        <v>45</v>
      </c>
      <c r="C430" s="1" t="s">
        <v>186</v>
      </c>
      <c r="D430" s="1">
        <v>15.1653434537942</v>
      </c>
      <c r="E430" s="1">
        <v>10.68693090855591</v>
      </c>
      <c r="F430" s="1">
        <v>3.6877768584605501E-2</v>
      </c>
      <c r="G430" s="1">
        <v>5.5408428356861002E-2</v>
      </c>
      <c r="H430" s="1">
        <v>38.511364639153271</v>
      </c>
      <c r="I430" s="1">
        <v>38.511364639153271</v>
      </c>
      <c r="J430" s="1" t="b">
        <v>1</v>
      </c>
      <c r="K430" s="1" t="b">
        <v>0</v>
      </c>
    </row>
    <row r="431" spans="1:11" ht="19" customHeight="1" x14ac:dyDescent="0.3">
      <c r="A431" t="s">
        <v>42</v>
      </c>
      <c r="B431" s="1">
        <v>45</v>
      </c>
      <c r="C431" s="1" t="s">
        <v>186</v>
      </c>
      <c r="D431" s="1">
        <v>15.1653434537942</v>
      </c>
      <c r="E431" s="1">
        <v>10.68693090855591</v>
      </c>
      <c r="F431" s="1">
        <v>3.4800540230016698E-2</v>
      </c>
      <c r="G431" s="1">
        <v>5.5408428356861002E-2</v>
      </c>
      <c r="H431" s="1">
        <v>38.515744823675611</v>
      </c>
      <c r="I431" s="1">
        <v>38.515744823675611</v>
      </c>
      <c r="J431" s="1" t="b">
        <v>1</v>
      </c>
      <c r="K431" s="1" t="b">
        <v>1</v>
      </c>
    </row>
    <row r="432" spans="1:11" ht="19" customHeight="1" x14ac:dyDescent="0.3">
      <c r="A432" t="s">
        <v>42</v>
      </c>
      <c r="B432" s="1">
        <v>45</v>
      </c>
      <c r="C432" s="1" t="s">
        <v>187</v>
      </c>
      <c r="D432" s="1">
        <v>13.75</v>
      </c>
      <c r="E432" s="1">
        <v>15</v>
      </c>
      <c r="F432" s="1">
        <v>3.2500000000000001E-2</v>
      </c>
      <c r="G432" s="1">
        <v>5.1249999999999997E-2</v>
      </c>
      <c r="H432" s="1">
        <v>38.521634787179742</v>
      </c>
      <c r="I432" s="1">
        <v>38.521634787179742</v>
      </c>
      <c r="J432" s="1" t="b">
        <v>1</v>
      </c>
      <c r="K432" s="1" t="b">
        <v>0</v>
      </c>
    </row>
    <row r="433" spans="1:11" ht="19" customHeight="1" x14ac:dyDescent="0.3">
      <c r="A433" t="s">
        <v>42</v>
      </c>
      <c r="B433" s="1">
        <v>45</v>
      </c>
      <c r="C433" s="1" t="s">
        <v>185</v>
      </c>
      <c r="D433" s="1">
        <v>14.931844362706149</v>
      </c>
      <c r="E433" s="1">
        <v>17.639320225002098</v>
      </c>
      <c r="F433" s="1">
        <v>4.1261970182385602E-2</v>
      </c>
      <c r="G433" s="1">
        <v>6.3931768149381105E-2</v>
      </c>
      <c r="H433" s="1">
        <v>38.539234148920968</v>
      </c>
      <c r="I433" s="1">
        <v>38.539234148920968</v>
      </c>
      <c r="J433" s="1" t="b">
        <v>1</v>
      </c>
      <c r="K433" s="1" t="b">
        <v>0</v>
      </c>
    </row>
    <row r="434" spans="1:11" ht="19" customHeight="1" x14ac:dyDescent="0.3">
      <c r="A434" t="s">
        <v>42</v>
      </c>
      <c r="B434" s="1">
        <v>45</v>
      </c>
      <c r="C434" s="1" t="s">
        <v>185</v>
      </c>
      <c r="D434" s="1">
        <v>19.270509831248422</v>
      </c>
      <c r="E434" s="1">
        <v>13.284239603380531</v>
      </c>
      <c r="F434" s="1">
        <v>4.1261970182385602E-2</v>
      </c>
      <c r="G434" s="1">
        <v>6.3931768149381105E-2</v>
      </c>
      <c r="H434" s="1">
        <v>38.557117145881541</v>
      </c>
      <c r="I434" s="1">
        <v>38.557117145881541</v>
      </c>
      <c r="J434" s="1" t="b">
        <v>1</v>
      </c>
      <c r="K434" s="1" t="b">
        <v>0</v>
      </c>
    </row>
    <row r="435" spans="1:11" ht="19" customHeight="1" x14ac:dyDescent="0.3">
      <c r="A435" t="s">
        <v>42</v>
      </c>
      <c r="B435" s="1">
        <v>45</v>
      </c>
      <c r="C435" s="1" t="s">
        <v>186</v>
      </c>
      <c r="D435" s="1">
        <v>16.22423748701091</v>
      </c>
      <c r="E435" s="1">
        <v>17.80791735062056</v>
      </c>
      <c r="F435" s="1">
        <v>4.5748419500922302E-2</v>
      </c>
      <c r="G435" s="1">
        <v>5.9998465347172597E-2</v>
      </c>
      <c r="H435" s="1">
        <v>38.58034062647716</v>
      </c>
      <c r="I435" s="1">
        <v>38.58034062647716</v>
      </c>
      <c r="J435" s="1" t="b">
        <v>1</v>
      </c>
      <c r="K435" s="1" t="b">
        <v>0</v>
      </c>
    </row>
    <row r="436" spans="1:11" ht="19" customHeight="1" x14ac:dyDescent="0.3">
      <c r="A436" t="s">
        <v>42</v>
      </c>
      <c r="B436" s="1">
        <v>45</v>
      </c>
      <c r="C436" s="1" t="s">
        <v>187</v>
      </c>
      <c r="D436" s="1">
        <v>13.75</v>
      </c>
      <c r="E436" s="1">
        <v>15</v>
      </c>
      <c r="F436" s="1">
        <v>3.2500000000000001E-2</v>
      </c>
      <c r="G436" s="1">
        <v>7.3749999999999996E-2</v>
      </c>
      <c r="H436" s="1">
        <v>38.584273997893767</v>
      </c>
      <c r="I436" s="1">
        <v>38.584273997893767</v>
      </c>
      <c r="J436" s="1" t="b">
        <v>1</v>
      </c>
      <c r="K436" s="1" t="b">
        <v>0</v>
      </c>
    </row>
    <row r="437" spans="1:11" ht="19" customHeight="1" x14ac:dyDescent="0.3">
      <c r="A437" t="s">
        <v>42</v>
      </c>
      <c r="B437" s="1">
        <v>45</v>
      </c>
      <c r="C437" s="1" t="s">
        <v>188</v>
      </c>
      <c r="D437" s="1">
        <v>20.50310182154832</v>
      </c>
      <c r="E437" s="1">
        <v>18.397508723717579</v>
      </c>
      <c r="F437" s="1">
        <v>3.6081152671904503E-2</v>
      </c>
      <c r="G437" s="1">
        <v>4.6926631066677001E-2</v>
      </c>
      <c r="H437" s="1">
        <v>38.619511496124318</v>
      </c>
      <c r="I437" s="1">
        <v>38.619511496124318</v>
      </c>
      <c r="J437" s="1" t="b">
        <v>1</v>
      </c>
      <c r="K437" s="1" t="b">
        <v>0</v>
      </c>
    </row>
    <row r="438" spans="1:11" ht="19" customHeight="1" x14ac:dyDescent="0.3">
      <c r="A438" t="s">
        <v>42</v>
      </c>
      <c r="B438" s="1">
        <v>45</v>
      </c>
      <c r="C438" s="1" t="s">
        <v>186</v>
      </c>
      <c r="D438" s="1">
        <v>13.754004589354119</v>
      </c>
      <c r="E438" s="1">
        <v>10.597703866728599</v>
      </c>
      <c r="F438" s="1">
        <v>3.64697747278784E-2</v>
      </c>
      <c r="G438" s="1">
        <v>7.1467150239338403E-2</v>
      </c>
      <c r="H438" s="1">
        <v>38.656707601787637</v>
      </c>
      <c r="I438" s="1">
        <v>38.656707601787637</v>
      </c>
      <c r="J438" s="1" t="b">
        <v>1</v>
      </c>
      <c r="K438" s="1" t="b">
        <v>1</v>
      </c>
    </row>
    <row r="439" spans="1:11" ht="19" customHeight="1" x14ac:dyDescent="0.3">
      <c r="A439" t="s">
        <v>42</v>
      </c>
      <c r="B439" s="1">
        <v>45</v>
      </c>
      <c r="C439" s="1" t="s">
        <v>187</v>
      </c>
      <c r="D439" s="1">
        <v>21.25</v>
      </c>
      <c r="E439" s="1">
        <v>15</v>
      </c>
      <c r="F439" s="1">
        <v>3.2500000000000001E-2</v>
      </c>
      <c r="G439" s="1">
        <v>5.1249999999999997E-2</v>
      </c>
      <c r="H439" s="1">
        <v>38.669429829942402</v>
      </c>
      <c r="I439" s="1">
        <v>38.669429829942402</v>
      </c>
      <c r="J439" s="1" t="b">
        <v>1</v>
      </c>
      <c r="K439" s="1" t="b">
        <v>0</v>
      </c>
    </row>
    <row r="440" spans="1:11" ht="19" customHeight="1" x14ac:dyDescent="0.3">
      <c r="A440" t="s">
        <v>42</v>
      </c>
      <c r="B440" s="1">
        <v>45</v>
      </c>
      <c r="C440" s="1" t="s">
        <v>186</v>
      </c>
      <c r="D440" s="1">
        <v>20.05622237153877</v>
      </c>
      <c r="E440" s="1">
        <v>13.284239603380531</v>
      </c>
      <c r="F440" s="1">
        <v>3.3325995416452203E-2</v>
      </c>
      <c r="G440" s="1">
        <v>7.4234219173674301E-2</v>
      </c>
      <c r="H440" s="1">
        <v>38.6740801565279</v>
      </c>
      <c r="I440" s="1">
        <v>38.6740801565279</v>
      </c>
      <c r="J440" s="1" t="b">
        <v>1</v>
      </c>
      <c r="K440" s="1" t="b">
        <v>0</v>
      </c>
    </row>
    <row r="441" spans="1:11" ht="19" customHeight="1" x14ac:dyDescent="0.3">
      <c r="A441" t="s">
        <v>42</v>
      </c>
      <c r="B441" s="1">
        <v>45</v>
      </c>
      <c r="C441" s="1" t="s">
        <v>188</v>
      </c>
      <c r="D441" s="1">
        <v>15.599894672888571</v>
      </c>
      <c r="E441" s="1">
        <v>10.708848657893361</v>
      </c>
      <c r="F441" s="1">
        <v>3.9862362395631401E-2</v>
      </c>
      <c r="G441" s="1">
        <v>4.9113848364676201E-2</v>
      </c>
      <c r="H441" s="1">
        <v>38.702274660580358</v>
      </c>
      <c r="I441" s="1">
        <v>38.702274660580358</v>
      </c>
      <c r="J441" s="1" t="b">
        <v>1</v>
      </c>
      <c r="K441" s="1" t="b">
        <v>1</v>
      </c>
    </row>
    <row r="442" spans="1:11" ht="19" customHeight="1" x14ac:dyDescent="0.3">
      <c r="A442" t="s">
        <v>42</v>
      </c>
      <c r="B442" s="1">
        <v>45</v>
      </c>
      <c r="C442" s="1" t="s">
        <v>189</v>
      </c>
      <c r="D442" s="1">
        <v>17.5</v>
      </c>
      <c r="E442" s="1">
        <v>20</v>
      </c>
      <c r="F442" s="1">
        <v>0.04</v>
      </c>
      <c r="G442" s="1">
        <v>0.06</v>
      </c>
      <c r="H442" s="1">
        <v>38.703266664516811</v>
      </c>
      <c r="I442" s="1">
        <v>38.703266664516811</v>
      </c>
      <c r="J442" s="1" t="b">
        <v>1</v>
      </c>
      <c r="K442" s="1" t="b">
        <v>0</v>
      </c>
    </row>
    <row r="443" spans="1:11" ht="19" customHeight="1" x14ac:dyDescent="0.3">
      <c r="A443" t="s">
        <v>42</v>
      </c>
      <c r="B443" s="1">
        <v>45</v>
      </c>
      <c r="C443" s="1" t="s">
        <v>186</v>
      </c>
      <c r="D443" s="1">
        <v>13.768279626110161</v>
      </c>
      <c r="E443" s="1">
        <v>16.276455841608769</v>
      </c>
      <c r="F443" s="1">
        <v>3.0355341341116698E-2</v>
      </c>
      <c r="G443" s="1">
        <v>7.7269326961106402E-2</v>
      </c>
      <c r="H443" s="1">
        <v>38.713219794069992</v>
      </c>
      <c r="I443" s="1">
        <v>38.713219794069992</v>
      </c>
      <c r="J443" s="1" t="b">
        <v>1</v>
      </c>
      <c r="K443" s="1" t="b">
        <v>0</v>
      </c>
    </row>
    <row r="444" spans="1:11" ht="19" customHeight="1" x14ac:dyDescent="0.3">
      <c r="A444" t="s">
        <v>42</v>
      </c>
      <c r="B444" s="1">
        <v>45</v>
      </c>
      <c r="C444" s="1" t="s">
        <v>187</v>
      </c>
      <c r="D444" s="1">
        <v>13.75</v>
      </c>
      <c r="E444" s="1">
        <v>15</v>
      </c>
      <c r="F444" s="1">
        <v>4.7500000000000001E-2</v>
      </c>
      <c r="G444" s="1">
        <v>5.1249999999999997E-2</v>
      </c>
      <c r="H444" s="1">
        <v>38.743737709273162</v>
      </c>
      <c r="I444" s="1">
        <v>38.743737709273162</v>
      </c>
      <c r="J444" s="1" t="b">
        <v>1</v>
      </c>
      <c r="K444" s="1" t="b">
        <v>1</v>
      </c>
    </row>
    <row r="445" spans="1:11" ht="19" customHeight="1" x14ac:dyDescent="0.3">
      <c r="A445" t="s">
        <v>42</v>
      </c>
      <c r="B445" s="1">
        <v>45</v>
      </c>
      <c r="C445" s="1" t="s">
        <v>186</v>
      </c>
      <c r="D445" s="1">
        <v>13.754004589354119</v>
      </c>
      <c r="E445" s="1">
        <v>14.384542707708331</v>
      </c>
      <c r="F445" s="1">
        <v>4.82306165047185E-2</v>
      </c>
      <c r="G445" s="1">
        <v>5.2064745644459003E-2</v>
      </c>
      <c r="H445" s="1">
        <v>38.747013968832768</v>
      </c>
      <c r="I445" s="1">
        <v>38.747013968832768</v>
      </c>
      <c r="J445" s="1" t="b">
        <v>1</v>
      </c>
      <c r="K445" s="1" t="b">
        <v>1</v>
      </c>
    </row>
    <row r="446" spans="1:11" ht="19" customHeight="1" x14ac:dyDescent="0.3">
      <c r="A446" t="s">
        <v>42</v>
      </c>
      <c r="B446" s="1">
        <v>45</v>
      </c>
      <c r="C446" s="1" t="s">
        <v>186</v>
      </c>
      <c r="D446" s="1">
        <v>18.063441365802991</v>
      </c>
      <c r="E446" s="1">
        <v>11.841009962194359</v>
      </c>
      <c r="F446" s="1">
        <v>2.6965978751699499E-2</v>
      </c>
      <c r="G446" s="1">
        <v>5.9998465347172597E-2</v>
      </c>
      <c r="H446" s="1">
        <v>38.756513414594821</v>
      </c>
      <c r="I446" s="1">
        <v>38.756513414594821</v>
      </c>
      <c r="J446" s="1" t="b">
        <v>1</v>
      </c>
      <c r="K446" s="1" t="b">
        <v>0</v>
      </c>
    </row>
    <row r="447" spans="1:11" ht="19" customHeight="1" x14ac:dyDescent="0.3">
      <c r="A447" t="s">
        <v>42</v>
      </c>
      <c r="B447" s="1">
        <v>45</v>
      </c>
      <c r="C447" s="1" t="s">
        <v>186</v>
      </c>
      <c r="D447" s="1">
        <v>17.119602176420781</v>
      </c>
      <c r="E447" s="1">
        <v>11.1772300877125</v>
      </c>
      <c r="F447" s="1">
        <v>2.7917461696743699E-2</v>
      </c>
      <c r="G447" s="1">
        <v>6.5811030519346003E-2</v>
      </c>
      <c r="H447" s="1">
        <v>38.760228084023353</v>
      </c>
      <c r="I447" s="1">
        <v>38.760228084023353</v>
      </c>
      <c r="J447" s="1" t="b">
        <v>1</v>
      </c>
      <c r="K447" s="1" t="b">
        <v>1</v>
      </c>
    </row>
    <row r="448" spans="1:11" ht="19" customHeight="1" x14ac:dyDescent="0.3">
      <c r="A448" t="s">
        <v>42</v>
      </c>
      <c r="B448" s="1">
        <v>45</v>
      </c>
      <c r="C448" s="1" t="s">
        <v>187</v>
      </c>
      <c r="D448" s="1">
        <v>21.25</v>
      </c>
      <c r="E448" s="1">
        <v>15</v>
      </c>
      <c r="F448" s="1">
        <v>3.2500000000000001E-2</v>
      </c>
      <c r="G448" s="1">
        <v>7.3749999999999996E-2</v>
      </c>
      <c r="H448" s="1">
        <v>38.769327117246327</v>
      </c>
      <c r="I448" s="1">
        <v>38.769327117246327</v>
      </c>
      <c r="J448" s="1" t="b">
        <v>1</v>
      </c>
      <c r="K448" s="1" t="b">
        <v>0</v>
      </c>
    </row>
    <row r="449" spans="1:11" ht="19" customHeight="1" x14ac:dyDescent="0.3">
      <c r="A449" t="s">
        <v>42</v>
      </c>
      <c r="B449" s="1">
        <v>45</v>
      </c>
      <c r="C449" s="1" t="s">
        <v>186</v>
      </c>
      <c r="D449" s="1">
        <v>12.722892535024689</v>
      </c>
      <c r="E449" s="1">
        <v>14.033926367077621</v>
      </c>
      <c r="F449" s="1">
        <v>4.6515161270946903E-2</v>
      </c>
      <c r="G449" s="1">
        <v>5.22599895023153E-2</v>
      </c>
      <c r="H449" s="1">
        <v>38.769493408485758</v>
      </c>
      <c r="I449" s="1">
        <v>38.769493408485758</v>
      </c>
      <c r="J449" s="1" t="b">
        <v>1</v>
      </c>
      <c r="K449" s="1" t="b">
        <v>1</v>
      </c>
    </row>
    <row r="450" spans="1:11" ht="19" customHeight="1" x14ac:dyDescent="0.3">
      <c r="A450" t="s">
        <v>42</v>
      </c>
      <c r="B450" s="1">
        <v>45</v>
      </c>
      <c r="C450" s="1" t="s">
        <v>188</v>
      </c>
      <c r="D450" s="1">
        <v>13.70339846269378</v>
      </c>
      <c r="E450" s="1">
        <v>18.953228849457851</v>
      </c>
      <c r="F450" s="1">
        <v>3.9658167476469601E-2</v>
      </c>
      <c r="G450" s="1">
        <v>4.7731769311227003E-2</v>
      </c>
      <c r="H450" s="1">
        <v>38.789265033558962</v>
      </c>
      <c r="I450" s="1">
        <v>38.789265033558962</v>
      </c>
      <c r="J450" s="1" t="b">
        <v>1</v>
      </c>
      <c r="K450" s="1" t="b">
        <v>0</v>
      </c>
    </row>
    <row r="451" spans="1:11" ht="19" customHeight="1" x14ac:dyDescent="0.3">
      <c r="A451" t="s">
        <v>42</v>
      </c>
      <c r="B451" s="1">
        <v>45</v>
      </c>
      <c r="C451" s="1" t="s">
        <v>186</v>
      </c>
      <c r="D451" s="1">
        <v>18.86662936699436</v>
      </c>
      <c r="E451" s="1">
        <v>15.84133499891459</v>
      </c>
      <c r="F451" s="1">
        <v>4.7844909973482799E-2</v>
      </c>
      <c r="G451" s="1">
        <v>4.32718500105857E-2</v>
      </c>
      <c r="H451" s="1">
        <v>38.809122444925791</v>
      </c>
      <c r="I451" s="1">
        <v>38.809122444925791</v>
      </c>
      <c r="J451" s="1" t="b">
        <v>1</v>
      </c>
      <c r="K451" s="1" t="b">
        <v>0</v>
      </c>
    </row>
    <row r="452" spans="1:11" ht="19" customHeight="1" x14ac:dyDescent="0.3">
      <c r="A452" t="s">
        <v>42</v>
      </c>
      <c r="B452" s="1">
        <v>45</v>
      </c>
      <c r="C452" s="1" t="s">
        <v>186</v>
      </c>
      <c r="D452" s="1">
        <v>20.71878453725483</v>
      </c>
      <c r="E452" s="1">
        <v>19.031120102511821</v>
      </c>
      <c r="F452" s="1">
        <v>4.2347406624609098E-2</v>
      </c>
      <c r="G452" s="1">
        <v>4.7453413059308697E-2</v>
      </c>
      <c r="H452" s="1">
        <v>38.812239627071769</v>
      </c>
      <c r="I452" s="1">
        <v>38.812239627071769</v>
      </c>
      <c r="J452" s="1" t="b">
        <v>1</v>
      </c>
      <c r="K452" s="1" t="b">
        <v>0</v>
      </c>
    </row>
    <row r="453" spans="1:11" ht="19" customHeight="1" x14ac:dyDescent="0.3">
      <c r="A453" t="s">
        <v>42</v>
      </c>
      <c r="B453" s="1">
        <v>45</v>
      </c>
      <c r="C453" s="1" t="s">
        <v>187</v>
      </c>
      <c r="D453" s="1">
        <v>13.75</v>
      </c>
      <c r="E453" s="1">
        <v>15</v>
      </c>
      <c r="F453" s="1">
        <v>4.7500000000000001E-2</v>
      </c>
      <c r="G453" s="1">
        <v>7.3749999999999996E-2</v>
      </c>
      <c r="H453" s="1">
        <v>38.816246330965797</v>
      </c>
      <c r="I453" s="1">
        <v>38.816246330965797</v>
      </c>
      <c r="J453" s="1" t="b">
        <v>1</v>
      </c>
      <c r="K453" s="1" t="b">
        <v>1</v>
      </c>
    </row>
    <row r="454" spans="1:11" ht="19" customHeight="1" x14ac:dyDescent="0.3">
      <c r="A454" t="s">
        <v>42</v>
      </c>
      <c r="B454" s="1">
        <v>45</v>
      </c>
      <c r="C454" s="1" t="s">
        <v>186</v>
      </c>
      <c r="D454" s="1">
        <v>10.51775947669783</v>
      </c>
      <c r="E454" s="1">
        <v>12.56205742957129</v>
      </c>
      <c r="F454" s="1">
        <v>4.2664463244463997E-2</v>
      </c>
      <c r="G454" s="1">
        <v>6.09154350005175E-2</v>
      </c>
      <c r="H454" s="1">
        <v>38.8604459138677</v>
      </c>
      <c r="I454" s="1">
        <v>38.8604459138677</v>
      </c>
      <c r="J454" s="1" t="b">
        <v>1</v>
      </c>
      <c r="K454" s="1" t="b">
        <v>1</v>
      </c>
    </row>
    <row r="455" spans="1:11" ht="19" customHeight="1" x14ac:dyDescent="0.3">
      <c r="A455" t="s">
        <v>42</v>
      </c>
      <c r="B455" s="1">
        <v>45</v>
      </c>
      <c r="C455" s="1" t="s">
        <v>186</v>
      </c>
      <c r="D455" s="1">
        <v>18.563678523694001</v>
      </c>
      <c r="E455" s="1">
        <v>18.374282756783231</v>
      </c>
      <c r="F455" s="1">
        <v>5.2092169359681702E-2</v>
      </c>
      <c r="G455" s="1">
        <v>5.19467342959537E-2</v>
      </c>
      <c r="H455" s="1">
        <v>38.910541097751889</v>
      </c>
      <c r="I455" s="1">
        <v>38.910541097751889</v>
      </c>
      <c r="J455" s="1" t="b">
        <v>1</v>
      </c>
      <c r="K455" s="1" t="b">
        <v>0</v>
      </c>
    </row>
    <row r="456" spans="1:11" ht="19" customHeight="1" x14ac:dyDescent="0.3">
      <c r="A456" t="s">
        <v>42</v>
      </c>
      <c r="B456" s="1">
        <v>45</v>
      </c>
      <c r="C456" s="1" t="s">
        <v>187</v>
      </c>
      <c r="D456" s="1">
        <v>21.25</v>
      </c>
      <c r="E456" s="1">
        <v>15</v>
      </c>
      <c r="F456" s="1">
        <v>4.7500000000000001E-2</v>
      </c>
      <c r="G456" s="1">
        <v>5.1249999999999997E-2</v>
      </c>
      <c r="H456" s="1">
        <v>38.914024985157461</v>
      </c>
      <c r="I456" s="1">
        <v>38.914024985157461</v>
      </c>
      <c r="J456" s="1" t="b">
        <v>1</v>
      </c>
      <c r="K456" s="1" t="b">
        <v>0</v>
      </c>
    </row>
    <row r="457" spans="1:11" ht="19" customHeight="1" x14ac:dyDescent="0.3">
      <c r="A457" t="s">
        <v>42</v>
      </c>
      <c r="B457" s="1">
        <v>45</v>
      </c>
      <c r="C457" s="1" t="s">
        <v>188</v>
      </c>
      <c r="D457" s="1">
        <v>21.26093956928576</v>
      </c>
      <c r="E457" s="1">
        <v>22.243099938543999</v>
      </c>
      <c r="F457" s="1">
        <v>4.0907411158595301E-2</v>
      </c>
      <c r="G457" s="1">
        <v>4.6355890733041499E-2</v>
      </c>
      <c r="H457" s="1">
        <v>38.923459610389429</v>
      </c>
      <c r="I457" s="1">
        <v>38.923459610389429</v>
      </c>
      <c r="J457" s="1" t="b">
        <v>1</v>
      </c>
      <c r="K457" s="1" t="b">
        <v>0</v>
      </c>
    </row>
    <row r="458" spans="1:11" ht="19" customHeight="1" x14ac:dyDescent="0.3">
      <c r="A458" t="s">
        <v>42</v>
      </c>
      <c r="B458" s="1">
        <v>45</v>
      </c>
      <c r="C458" s="1" t="s">
        <v>186</v>
      </c>
      <c r="D458" s="1">
        <v>11.983703792029321</v>
      </c>
      <c r="E458" s="1">
        <v>16.390576119744988</v>
      </c>
      <c r="F458" s="1">
        <v>4.5298288685307199E-2</v>
      </c>
      <c r="G458" s="1">
        <v>5.2064745644459003E-2</v>
      </c>
      <c r="H458" s="1">
        <v>38.945627799576087</v>
      </c>
      <c r="I458" s="1">
        <v>38.945627799576087</v>
      </c>
      <c r="J458" s="1" t="b">
        <v>1</v>
      </c>
      <c r="K458" s="1" t="b">
        <v>0</v>
      </c>
    </row>
    <row r="459" spans="1:11" ht="19" customHeight="1" x14ac:dyDescent="0.3">
      <c r="A459" t="s">
        <v>42</v>
      </c>
      <c r="B459" s="1">
        <v>45</v>
      </c>
      <c r="C459" s="1" t="s">
        <v>186</v>
      </c>
      <c r="D459" s="1">
        <v>18.86662936699436</v>
      </c>
      <c r="E459" s="1">
        <v>11.70261345910431</v>
      </c>
      <c r="F459" s="1">
        <v>4.7844909973482799E-2</v>
      </c>
      <c r="G459" s="1">
        <v>6.4728062032185202E-2</v>
      </c>
      <c r="H459" s="1">
        <v>38.985900320333968</v>
      </c>
      <c r="I459" s="1">
        <v>38.985900320333968</v>
      </c>
      <c r="J459" s="1" t="b">
        <v>1</v>
      </c>
      <c r="K459" s="1" t="b">
        <v>0</v>
      </c>
    </row>
    <row r="460" spans="1:11" ht="19" customHeight="1" x14ac:dyDescent="0.3">
      <c r="A460" t="s">
        <v>42</v>
      </c>
      <c r="B460" s="1">
        <v>45</v>
      </c>
      <c r="C460" s="1" t="s">
        <v>187</v>
      </c>
      <c r="D460" s="1">
        <v>21.25</v>
      </c>
      <c r="E460" s="1">
        <v>15</v>
      </c>
      <c r="F460" s="1">
        <v>4.7500000000000001E-2</v>
      </c>
      <c r="G460" s="1">
        <v>7.3749999999999996E-2</v>
      </c>
      <c r="H460" s="1">
        <v>38.999784388863567</v>
      </c>
      <c r="I460" s="1">
        <v>38.999784388863567</v>
      </c>
      <c r="J460" s="1" t="b">
        <v>1</v>
      </c>
      <c r="K460" s="1" t="b">
        <v>0</v>
      </c>
    </row>
    <row r="461" spans="1:11" ht="19" customHeight="1" x14ac:dyDescent="0.3">
      <c r="A461" t="s">
        <v>42</v>
      </c>
      <c r="B461" s="1">
        <v>45</v>
      </c>
      <c r="C461" s="1" t="s">
        <v>186</v>
      </c>
      <c r="D461" s="1">
        <v>14.420259789531761</v>
      </c>
      <c r="E461" s="1">
        <v>15.110021208740131</v>
      </c>
      <c r="F461" s="1">
        <v>4.9265136827756899E-2</v>
      </c>
      <c r="G461" s="1">
        <v>4.0217376904597597E-2</v>
      </c>
      <c r="H461" s="1">
        <v>39.044606424132077</v>
      </c>
      <c r="I461" s="1">
        <v>39.044606424132077</v>
      </c>
      <c r="J461" s="1" t="b">
        <v>1</v>
      </c>
      <c r="K461" s="1" t="b">
        <v>1</v>
      </c>
    </row>
    <row r="462" spans="1:11" ht="19" customHeight="1" x14ac:dyDescent="0.3">
      <c r="A462" t="s">
        <v>42</v>
      </c>
      <c r="B462" s="1">
        <v>45</v>
      </c>
      <c r="C462" s="1" t="s">
        <v>188</v>
      </c>
      <c r="D462" s="1">
        <v>20.15236345863833</v>
      </c>
      <c r="E462" s="1">
        <v>12.282201113885529</v>
      </c>
      <c r="F462" s="1">
        <v>4.9099026543209898E-2</v>
      </c>
      <c r="G462" s="1">
        <v>6.2553309784746602E-2</v>
      </c>
      <c r="H462" s="1">
        <v>39.056193251523553</v>
      </c>
      <c r="I462" s="1">
        <v>39.056193251523553</v>
      </c>
      <c r="J462" s="1" t="b">
        <v>1</v>
      </c>
      <c r="K462" s="1" t="b">
        <v>0</v>
      </c>
    </row>
    <row r="463" spans="1:11" ht="19" customHeight="1" x14ac:dyDescent="0.3">
      <c r="A463" t="s">
        <v>42</v>
      </c>
      <c r="B463" s="1">
        <v>45</v>
      </c>
      <c r="C463" s="1" t="s">
        <v>185</v>
      </c>
      <c r="D463" s="1">
        <v>14.931844362706149</v>
      </c>
      <c r="E463" s="1">
        <v>22.360679774997891</v>
      </c>
      <c r="F463" s="1">
        <v>4.1261970182385602E-2</v>
      </c>
      <c r="G463" s="1">
        <v>6.3931768149381105E-2</v>
      </c>
      <c r="H463" s="1">
        <v>39.085516970199613</v>
      </c>
      <c r="I463" s="1">
        <v>39.085516970199613</v>
      </c>
      <c r="J463" s="1" t="b">
        <v>1</v>
      </c>
      <c r="K463" s="1" t="b">
        <v>0</v>
      </c>
    </row>
    <row r="464" spans="1:11" ht="19" customHeight="1" x14ac:dyDescent="0.3">
      <c r="A464" t="s">
        <v>42</v>
      </c>
      <c r="B464" s="1">
        <v>45</v>
      </c>
      <c r="C464" s="1" t="s">
        <v>188</v>
      </c>
      <c r="D464" s="1">
        <v>18.596959854212589</v>
      </c>
      <c r="E464" s="1">
        <v>20.569822903404059</v>
      </c>
      <c r="F464" s="1">
        <v>4.7909507194057697E-2</v>
      </c>
      <c r="G464" s="1">
        <v>7.6526174515432296E-2</v>
      </c>
      <c r="H464" s="1">
        <v>39.08942727116095</v>
      </c>
      <c r="I464" s="1">
        <v>39.08942727116095</v>
      </c>
      <c r="J464" s="1" t="b">
        <v>1</v>
      </c>
      <c r="K464" s="1" t="b">
        <v>0</v>
      </c>
    </row>
    <row r="465" spans="1:11" ht="19" customHeight="1" x14ac:dyDescent="0.3">
      <c r="A465" t="s">
        <v>42</v>
      </c>
      <c r="B465" s="1">
        <v>45</v>
      </c>
      <c r="C465" s="1" t="s">
        <v>188</v>
      </c>
      <c r="D465" s="1">
        <v>16.13092424748957</v>
      </c>
      <c r="E465" s="1">
        <v>22.456398015018799</v>
      </c>
      <c r="F465" s="1">
        <v>3.3899406499547903E-2</v>
      </c>
      <c r="G465" s="1">
        <v>4.3428122851901597E-2</v>
      </c>
      <c r="H465" s="1">
        <v>39.099385217065752</v>
      </c>
      <c r="I465" s="1">
        <v>39.099385217065752</v>
      </c>
      <c r="J465" s="1" t="b">
        <v>1</v>
      </c>
      <c r="K465" s="1" t="b">
        <v>0</v>
      </c>
    </row>
    <row r="466" spans="1:11" ht="19" customHeight="1" x14ac:dyDescent="0.3">
      <c r="A466" t="s">
        <v>42</v>
      </c>
      <c r="B466" s="1">
        <v>45</v>
      </c>
      <c r="C466" s="1" t="s">
        <v>186</v>
      </c>
      <c r="D466" s="1">
        <v>24.478631993203209</v>
      </c>
      <c r="E466" s="1">
        <v>19.031120102511821</v>
      </c>
      <c r="F466" s="1">
        <v>4.2347406624609098E-2</v>
      </c>
      <c r="G466" s="1">
        <v>4.7453413059308697E-2</v>
      </c>
      <c r="H466" s="1">
        <v>39.100745600193541</v>
      </c>
      <c r="I466" s="1">
        <v>39.100745600193541</v>
      </c>
      <c r="J466" s="1" t="b">
        <v>1</v>
      </c>
      <c r="K466" s="1" t="b">
        <v>0</v>
      </c>
    </row>
    <row r="467" spans="1:11" ht="19" customHeight="1" x14ac:dyDescent="0.3">
      <c r="A467" t="s">
        <v>42</v>
      </c>
      <c r="B467" s="1">
        <v>45</v>
      </c>
      <c r="C467" s="1" t="s">
        <v>186</v>
      </c>
      <c r="D467" s="1">
        <v>12.496656022224</v>
      </c>
      <c r="E467" s="1">
        <v>16.589442497733511</v>
      </c>
      <c r="F467" s="1">
        <v>5.07790246856447E-2</v>
      </c>
      <c r="G467" s="1">
        <v>6.08226425638526E-2</v>
      </c>
      <c r="H467" s="1">
        <v>39.153829761110558</v>
      </c>
      <c r="I467" s="1">
        <v>39.153829761110558</v>
      </c>
      <c r="J467" s="1" t="b">
        <v>1</v>
      </c>
      <c r="K467" s="1" t="b">
        <v>0</v>
      </c>
    </row>
    <row r="468" spans="1:11" ht="19" customHeight="1" x14ac:dyDescent="0.3">
      <c r="A468" t="s">
        <v>42</v>
      </c>
      <c r="B468" s="1">
        <v>45</v>
      </c>
      <c r="C468" s="1" t="s">
        <v>186</v>
      </c>
      <c r="D468" s="1">
        <v>10.92719829388338</v>
      </c>
      <c r="E468" s="1">
        <v>17.98497814700896</v>
      </c>
      <c r="F468" s="1">
        <v>2.5527713691165702E-2</v>
      </c>
      <c r="G468" s="1">
        <v>5.7084645958266803E-2</v>
      </c>
      <c r="H468" s="1">
        <v>39.18097317044306</v>
      </c>
      <c r="I468" s="1">
        <v>39.18097317044306</v>
      </c>
      <c r="J468" s="1" t="b">
        <v>1</v>
      </c>
      <c r="K468" s="1" t="b">
        <v>0</v>
      </c>
    </row>
    <row r="469" spans="1:11" ht="19" customHeight="1" x14ac:dyDescent="0.3">
      <c r="A469" t="s">
        <v>42</v>
      </c>
      <c r="B469" s="1">
        <v>45</v>
      </c>
      <c r="C469" s="1" t="s">
        <v>187</v>
      </c>
      <c r="D469" s="1">
        <v>21.25</v>
      </c>
      <c r="E469" s="1">
        <v>25</v>
      </c>
      <c r="F469" s="1">
        <v>3.2500000000000001E-2</v>
      </c>
      <c r="G469" s="1">
        <v>5.1249999999999997E-2</v>
      </c>
      <c r="H469" s="1">
        <v>39.217535001771303</v>
      </c>
      <c r="I469" s="1">
        <v>39.217535001771303</v>
      </c>
      <c r="J469" s="1" t="b">
        <v>1</v>
      </c>
      <c r="K469" s="1" t="b">
        <v>0</v>
      </c>
    </row>
    <row r="470" spans="1:11" ht="19" customHeight="1" x14ac:dyDescent="0.3">
      <c r="A470" t="s">
        <v>42</v>
      </c>
      <c r="B470" s="1">
        <v>45</v>
      </c>
      <c r="C470" s="1" t="s">
        <v>188</v>
      </c>
      <c r="D470" s="1">
        <v>20.862452327691521</v>
      </c>
      <c r="E470" s="1">
        <v>20.580368162780921</v>
      </c>
      <c r="F470" s="1">
        <v>5.39219776557689E-2</v>
      </c>
      <c r="G470" s="1">
        <v>6.1093939320867499E-2</v>
      </c>
      <c r="H470" s="1">
        <v>39.2244238918015</v>
      </c>
      <c r="I470" s="1">
        <v>39.2244238918015</v>
      </c>
      <c r="J470" s="1" t="b">
        <v>1</v>
      </c>
      <c r="K470" s="1" t="b">
        <v>0</v>
      </c>
    </row>
    <row r="471" spans="1:11" ht="19" customHeight="1" x14ac:dyDescent="0.3">
      <c r="A471" t="s">
        <v>42</v>
      </c>
      <c r="B471" s="1">
        <v>45</v>
      </c>
      <c r="C471" s="1" t="s">
        <v>186</v>
      </c>
      <c r="D471" s="1">
        <v>23.05213560386666</v>
      </c>
      <c r="E471" s="1">
        <v>24.859004047012331</v>
      </c>
      <c r="F471" s="1">
        <v>3.7785387676685003E-2</v>
      </c>
      <c r="G471" s="1">
        <v>6.5622553718872295E-2</v>
      </c>
      <c r="H471" s="1">
        <v>39.225094038564322</v>
      </c>
      <c r="I471" s="1">
        <v>39.225094038564322</v>
      </c>
      <c r="J471" s="1" t="b">
        <v>1</v>
      </c>
      <c r="K471" s="1" t="b">
        <v>0</v>
      </c>
    </row>
    <row r="472" spans="1:11" ht="19" customHeight="1" x14ac:dyDescent="0.3">
      <c r="A472" t="s">
        <v>42</v>
      </c>
      <c r="B472" s="1">
        <v>45</v>
      </c>
      <c r="C472" s="1" t="s">
        <v>186</v>
      </c>
      <c r="D472" s="1">
        <v>22.018261050781021</v>
      </c>
      <c r="E472" s="1">
        <v>23.673932969200479</v>
      </c>
      <c r="F472" s="1">
        <v>4.8599240566476201E-2</v>
      </c>
      <c r="G472" s="1">
        <v>5.2430423403874001E-2</v>
      </c>
      <c r="H472" s="1">
        <v>39.246923659683588</v>
      </c>
      <c r="I472" s="1">
        <v>39.246923659683588</v>
      </c>
      <c r="J472" s="1" t="b">
        <v>1</v>
      </c>
      <c r="K472" s="1" t="b">
        <v>0</v>
      </c>
    </row>
    <row r="473" spans="1:11" ht="19" customHeight="1" x14ac:dyDescent="0.3">
      <c r="A473" t="s">
        <v>42</v>
      </c>
      <c r="B473" s="1">
        <v>45</v>
      </c>
      <c r="C473" s="1" t="s">
        <v>188</v>
      </c>
      <c r="D473" s="1">
        <v>13.1257923948748</v>
      </c>
      <c r="E473" s="1">
        <v>22.662960907744239</v>
      </c>
      <c r="F473" s="1">
        <v>2.5001625774394201E-2</v>
      </c>
      <c r="G473" s="1">
        <v>5.7876621118217397E-2</v>
      </c>
      <c r="H473" s="1">
        <v>39.279010169650761</v>
      </c>
      <c r="I473" s="1">
        <v>39.279010169650761</v>
      </c>
      <c r="J473" s="1" t="b">
        <v>1</v>
      </c>
      <c r="K473" s="1" t="b">
        <v>0</v>
      </c>
    </row>
    <row r="474" spans="1:11" ht="19" customHeight="1" x14ac:dyDescent="0.3">
      <c r="A474" t="s">
        <v>42</v>
      </c>
      <c r="B474" s="1">
        <v>45</v>
      </c>
      <c r="C474" s="1" t="s">
        <v>188</v>
      </c>
      <c r="D474" s="1">
        <v>20.399327023646869</v>
      </c>
      <c r="E474" s="1">
        <v>25.46036140099109</v>
      </c>
      <c r="F474" s="1">
        <v>2.97860519512958E-2</v>
      </c>
      <c r="G474" s="1">
        <v>5.3920579513652103E-2</v>
      </c>
      <c r="H474" s="1">
        <v>39.280373552655433</v>
      </c>
      <c r="I474" s="1">
        <v>39.280373552655433</v>
      </c>
      <c r="J474" s="1" t="b">
        <v>1</v>
      </c>
      <c r="K474" s="1" t="b">
        <v>0</v>
      </c>
    </row>
    <row r="475" spans="1:11" ht="19" customHeight="1" x14ac:dyDescent="0.3">
      <c r="A475" t="s">
        <v>42</v>
      </c>
      <c r="B475" s="1">
        <v>45</v>
      </c>
      <c r="C475" s="1" t="s">
        <v>187</v>
      </c>
      <c r="D475" s="1">
        <v>21.25</v>
      </c>
      <c r="E475" s="1">
        <v>25</v>
      </c>
      <c r="F475" s="1">
        <v>3.2500000000000001E-2</v>
      </c>
      <c r="G475" s="1">
        <v>7.3749999999999996E-2</v>
      </c>
      <c r="H475" s="1">
        <v>39.281426296960213</v>
      </c>
      <c r="I475" s="1">
        <v>39.281426296960213</v>
      </c>
      <c r="J475" s="1" t="b">
        <v>1</v>
      </c>
      <c r="K475" s="1" t="b">
        <v>0</v>
      </c>
    </row>
    <row r="476" spans="1:11" ht="19" customHeight="1" x14ac:dyDescent="0.3">
      <c r="A476" t="s">
        <v>42</v>
      </c>
      <c r="B476" s="1">
        <v>45</v>
      </c>
      <c r="C476" s="1" t="s">
        <v>186</v>
      </c>
      <c r="D476" s="1">
        <v>18.93556702185726</v>
      </c>
      <c r="E476" s="1">
        <v>25.69626821776356</v>
      </c>
      <c r="F476" s="1">
        <v>3.1725514154801099E-2</v>
      </c>
      <c r="G476" s="1">
        <v>6.4728062032185202E-2</v>
      </c>
      <c r="H476" s="1">
        <v>39.295756402467383</v>
      </c>
      <c r="I476" s="1">
        <v>39.295756402467383</v>
      </c>
      <c r="J476" s="1" t="b">
        <v>1</v>
      </c>
      <c r="K476" s="1" t="b">
        <v>0</v>
      </c>
    </row>
    <row r="477" spans="1:11" ht="19" customHeight="1" x14ac:dyDescent="0.3">
      <c r="A477" t="s">
        <v>42</v>
      </c>
      <c r="B477" s="1">
        <v>45</v>
      </c>
      <c r="C477" s="1" t="s">
        <v>188</v>
      </c>
      <c r="D477" s="1">
        <v>22.390199399788109</v>
      </c>
      <c r="E477" s="1">
        <v>24.112788655401879</v>
      </c>
      <c r="F477" s="1">
        <v>4.0505914653295103E-2</v>
      </c>
      <c r="G477" s="1">
        <v>8.1036969610477003E-2</v>
      </c>
      <c r="H477" s="1">
        <v>39.310267527273609</v>
      </c>
      <c r="I477" s="1">
        <v>39.310267527273609</v>
      </c>
      <c r="J477" s="1" t="b">
        <v>1</v>
      </c>
      <c r="K477" s="1" t="b">
        <v>0</v>
      </c>
    </row>
    <row r="478" spans="1:11" ht="19" customHeight="1" x14ac:dyDescent="0.3">
      <c r="A478" t="s">
        <v>42</v>
      </c>
      <c r="B478" s="1">
        <v>45</v>
      </c>
      <c r="C478" s="1" t="s">
        <v>186</v>
      </c>
      <c r="D478" s="1">
        <v>13.741301579460441</v>
      </c>
      <c r="E478" s="1">
        <v>21.745086621729151</v>
      </c>
      <c r="F478" s="1">
        <v>5.0621294441548399E-2</v>
      </c>
      <c r="G478" s="1">
        <v>6.3203210578311103E-2</v>
      </c>
      <c r="H478" s="1">
        <v>39.331024068911113</v>
      </c>
      <c r="I478" s="1">
        <v>39.331024068911113</v>
      </c>
      <c r="J478" s="1" t="b">
        <v>1</v>
      </c>
      <c r="K478" s="1" t="b">
        <v>0</v>
      </c>
    </row>
    <row r="479" spans="1:11" ht="19" customHeight="1" x14ac:dyDescent="0.3">
      <c r="A479" t="s">
        <v>42</v>
      </c>
      <c r="B479" s="1">
        <v>45</v>
      </c>
      <c r="C479" s="1" t="s">
        <v>186</v>
      </c>
      <c r="D479" s="1">
        <v>24.105606367078231</v>
      </c>
      <c r="E479" s="1">
        <v>21.524238317652181</v>
      </c>
      <c r="F479" s="1">
        <v>4.7844909973482799E-2</v>
      </c>
      <c r="G479" s="1">
        <v>4.32718500105857E-2</v>
      </c>
      <c r="H479" s="1">
        <v>39.348685640967773</v>
      </c>
      <c r="I479" s="1">
        <v>39.348685640967773</v>
      </c>
      <c r="J479" s="1" t="b">
        <v>1</v>
      </c>
      <c r="K479" s="1" t="b">
        <v>0</v>
      </c>
    </row>
    <row r="480" spans="1:11" ht="19" customHeight="1" x14ac:dyDescent="0.3">
      <c r="A480" t="s">
        <v>42</v>
      </c>
      <c r="B480" s="1">
        <v>45</v>
      </c>
      <c r="C480" s="1" t="s">
        <v>188</v>
      </c>
      <c r="D480" s="1">
        <v>20.645905901426421</v>
      </c>
      <c r="E480" s="1">
        <v>24.037518549074459</v>
      </c>
      <c r="F480" s="1">
        <v>4.0686598495375897E-2</v>
      </c>
      <c r="G480" s="1">
        <v>8.3217836068790907E-2</v>
      </c>
      <c r="H480" s="1">
        <v>39.360713138879021</v>
      </c>
      <c r="I480" s="1">
        <v>39.360713138879021</v>
      </c>
      <c r="J480" s="1" t="b">
        <v>1</v>
      </c>
      <c r="K480" s="1" t="b">
        <v>0</v>
      </c>
    </row>
    <row r="481" spans="1:11" ht="19" customHeight="1" x14ac:dyDescent="0.3">
      <c r="A481" t="s">
        <v>42</v>
      </c>
      <c r="B481" s="1">
        <v>45</v>
      </c>
      <c r="C481" s="1" t="s">
        <v>188</v>
      </c>
      <c r="D481" s="1">
        <v>20.60729387080579</v>
      </c>
      <c r="E481" s="1">
        <v>26.368214957076169</v>
      </c>
      <c r="F481" s="1">
        <v>3.4573907587968397E-2</v>
      </c>
      <c r="G481" s="1">
        <v>5.9633808943538702E-2</v>
      </c>
      <c r="H481" s="1">
        <v>39.383145135639751</v>
      </c>
      <c r="I481" s="1">
        <v>39.383145135639751</v>
      </c>
      <c r="J481" s="1" t="b">
        <v>1</v>
      </c>
      <c r="K481" s="1" t="b">
        <v>0</v>
      </c>
    </row>
    <row r="482" spans="1:11" ht="19" customHeight="1" x14ac:dyDescent="0.3">
      <c r="A482" t="s">
        <v>42</v>
      </c>
      <c r="B482" s="1">
        <v>45</v>
      </c>
      <c r="C482" s="1" t="s">
        <v>188</v>
      </c>
      <c r="D482" s="1">
        <v>16.128670703439159</v>
      </c>
      <c r="E482" s="1">
        <v>23.425528796095961</v>
      </c>
      <c r="F482" s="1">
        <v>4.38240348956076E-2</v>
      </c>
      <c r="G482" s="1">
        <v>7.7803706007992801E-2</v>
      </c>
      <c r="H482" s="1">
        <v>39.383811223580437</v>
      </c>
      <c r="I482" s="1">
        <v>39.383811223580437</v>
      </c>
      <c r="J482" s="1" t="b">
        <v>1</v>
      </c>
      <c r="K482" s="1" t="b">
        <v>0</v>
      </c>
    </row>
    <row r="483" spans="1:11" ht="19" customHeight="1" x14ac:dyDescent="0.3">
      <c r="A483" t="s">
        <v>42</v>
      </c>
      <c r="B483" s="1">
        <v>45</v>
      </c>
      <c r="C483" s="1" t="s">
        <v>187</v>
      </c>
      <c r="D483" s="1">
        <v>21.25</v>
      </c>
      <c r="E483" s="1">
        <v>25</v>
      </c>
      <c r="F483" s="1">
        <v>4.7500000000000001E-2</v>
      </c>
      <c r="G483" s="1">
        <v>5.1249999999999997E-2</v>
      </c>
      <c r="H483" s="1">
        <v>39.398488355266039</v>
      </c>
      <c r="I483" s="1">
        <v>39.398488355266039</v>
      </c>
      <c r="J483" s="1" t="b">
        <v>1</v>
      </c>
      <c r="K483" s="1" t="b">
        <v>0</v>
      </c>
    </row>
    <row r="484" spans="1:11" ht="19" customHeight="1" x14ac:dyDescent="0.3">
      <c r="A484" t="s">
        <v>42</v>
      </c>
      <c r="B484" s="1">
        <v>45</v>
      </c>
      <c r="C484" s="1" t="s">
        <v>186</v>
      </c>
      <c r="D484" s="1">
        <v>17.427952692838439</v>
      </c>
      <c r="E484" s="1">
        <v>21.946790878352591</v>
      </c>
      <c r="F484" s="1">
        <v>4.9853231416256499E-2</v>
      </c>
      <c r="G484" s="1">
        <v>8.4014179235296402E-2</v>
      </c>
      <c r="H484" s="1">
        <v>39.400825496435417</v>
      </c>
      <c r="I484" s="1">
        <v>39.400825496435417</v>
      </c>
      <c r="J484" s="1" t="b">
        <v>1</v>
      </c>
      <c r="K484" s="1" t="b">
        <v>0</v>
      </c>
    </row>
    <row r="485" spans="1:11" ht="19" customHeight="1" x14ac:dyDescent="0.3">
      <c r="A485" t="s">
        <v>42</v>
      </c>
      <c r="B485" s="1">
        <v>45</v>
      </c>
      <c r="C485" s="1" t="s">
        <v>186</v>
      </c>
      <c r="D485" s="1">
        <v>20.400755246031711</v>
      </c>
      <c r="E485" s="1">
        <v>22.887592421895281</v>
      </c>
      <c r="F485" s="1">
        <v>5.2004446157416902E-2</v>
      </c>
      <c r="G485" s="1">
        <v>4.9232501518368901E-2</v>
      </c>
      <c r="H485" s="1">
        <v>39.406132289804873</v>
      </c>
      <c r="I485" s="1">
        <v>39.406132289804873</v>
      </c>
      <c r="J485" s="1" t="b">
        <v>1</v>
      </c>
      <c r="K485" s="1" t="b">
        <v>0</v>
      </c>
    </row>
    <row r="486" spans="1:11" ht="19" customHeight="1" x14ac:dyDescent="0.3">
      <c r="A486" t="s">
        <v>42</v>
      </c>
      <c r="B486" s="1">
        <v>45</v>
      </c>
      <c r="C486" s="1" t="s">
        <v>187</v>
      </c>
      <c r="D486" s="1">
        <v>13.75</v>
      </c>
      <c r="E486" s="1">
        <v>25</v>
      </c>
      <c r="F486" s="1">
        <v>3.2500000000000001E-2</v>
      </c>
      <c r="G486" s="1">
        <v>5.1249999999999997E-2</v>
      </c>
      <c r="H486" s="1">
        <v>39.414163755620557</v>
      </c>
      <c r="I486" s="1">
        <v>39.414163755620557</v>
      </c>
      <c r="J486" s="1" t="b">
        <v>1</v>
      </c>
      <c r="K486" s="1" t="b">
        <v>0</v>
      </c>
    </row>
    <row r="487" spans="1:11" ht="19" customHeight="1" x14ac:dyDescent="0.3">
      <c r="A487" t="s">
        <v>42</v>
      </c>
      <c r="B487" s="1">
        <v>45</v>
      </c>
      <c r="C487" s="1" t="s">
        <v>186</v>
      </c>
      <c r="D487" s="1">
        <v>16.898834432152999</v>
      </c>
      <c r="E487" s="1">
        <v>22.887592421895281</v>
      </c>
      <c r="F487" s="1">
        <v>5.2004446157416902E-2</v>
      </c>
      <c r="G487" s="1">
        <v>4.9232501518368901E-2</v>
      </c>
      <c r="H487" s="1">
        <v>39.41473430748448</v>
      </c>
      <c r="I487" s="1">
        <v>39.41473430748448</v>
      </c>
      <c r="J487" s="1" t="b">
        <v>1</v>
      </c>
      <c r="K487" s="1" t="b">
        <v>0</v>
      </c>
    </row>
    <row r="488" spans="1:11" ht="19" customHeight="1" x14ac:dyDescent="0.3">
      <c r="A488" t="s">
        <v>42</v>
      </c>
      <c r="B488" s="1">
        <v>45</v>
      </c>
      <c r="C488" s="1" t="s">
        <v>186</v>
      </c>
      <c r="D488" s="1">
        <v>22.052377254703401</v>
      </c>
      <c r="E488" s="1">
        <v>25.083672838985439</v>
      </c>
      <c r="F488" s="1">
        <v>4.7015788989926102E-2</v>
      </c>
      <c r="G488" s="1">
        <v>6.9395312106193402E-2</v>
      </c>
      <c r="H488" s="1">
        <v>39.428021686188814</v>
      </c>
      <c r="I488" s="1">
        <v>39.428021686188814</v>
      </c>
      <c r="J488" s="1" t="b">
        <v>1</v>
      </c>
      <c r="K488" s="1" t="b">
        <v>0</v>
      </c>
    </row>
    <row r="489" spans="1:11" ht="19" customHeight="1" x14ac:dyDescent="0.3">
      <c r="A489" t="s">
        <v>42</v>
      </c>
      <c r="B489" s="1">
        <v>45</v>
      </c>
      <c r="C489" s="1" t="s">
        <v>186</v>
      </c>
      <c r="D489" s="1">
        <v>11.35419015247356</v>
      </c>
      <c r="E489" s="1">
        <v>20.508490672610371</v>
      </c>
      <c r="F489" s="1">
        <v>4.15690552195601E-2</v>
      </c>
      <c r="G489" s="1">
        <v>4.0217376904597597E-2</v>
      </c>
      <c r="H489" s="1">
        <v>39.476768339265817</v>
      </c>
      <c r="I489" s="1">
        <v>39.476768339265817</v>
      </c>
      <c r="J489" s="1" t="b">
        <v>1</v>
      </c>
      <c r="K489" s="1" t="b">
        <v>0</v>
      </c>
    </row>
    <row r="490" spans="1:11" ht="19" customHeight="1" x14ac:dyDescent="0.3">
      <c r="A490" t="s">
        <v>42</v>
      </c>
      <c r="B490" s="1">
        <v>45</v>
      </c>
      <c r="C490" s="1" t="s">
        <v>187</v>
      </c>
      <c r="D490" s="1">
        <v>13.75</v>
      </c>
      <c r="E490" s="1">
        <v>25</v>
      </c>
      <c r="F490" s="1">
        <v>3.2500000000000001E-2</v>
      </c>
      <c r="G490" s="1">
        <v>7.3749999999999996E-2</v>
      </c>
      <c r="H490" s="1">
        <v>39.48653461895065</v>
      </c>
      <c r="I490" s="1">
        <v>39.48653461895065</v>
      </c>
      <c r="J490" s="1" t="b">
        <v>1</v>
      </c>
      <c r="K490" s="1" t="b">
        <v>0</v>
      </c>
    </row>
    <row r="491" spans="1:11" ht="19" customHeight="1" x14ac:dyDescent="0.3">
      <c r="A491" t="s">
        <v>42</v>
      </c>
      <c r="B491" s="1">
        <v>45</v>
      </c>
      <c r="C491" s="1" t="s">
        <v>187</v>
      </c>
      <c r="D491" s="1">
        <v>21.25</v>
      </c>
      <c r="E491" s="1">
        <v>25</v>
      </c>
      <c r="F491" s="1">
        <v>4.7500000000000001E-2</v>
      </c>
      <c r="G491" s="1">
        <v>7.3749999999999996E-2</v>
      </c>
      <c r="H491" s="1">
        <v>39.500017332607356</v>
      </c>
      <c r="I491" s="1">
        <v>39.500017332607356</v>
      </c>
      <c r="J491" s="1" t="b">
        <v>1</v>
      </c>
      <c r="K491" s="1" t="b">
        <v>0</v>
      </c>
    </row>
    <row r="492" spans="1:11" ht="19" customHeight="1" x14ac:dyDescent="0.3">
      <c r="A492" t="s">
        <v>42</v>
      </c>
      <c r="B492" s="1">
        <v>45</v>
      </c>
      <c r="C492" s="1" t="s">
        <v>188</v>
      </c>
      <c r="D492" s="1">
        <v>13.68483818081047</v>
      </c>
      <c r="E492" s="1">
        <v>25.779992317910281</v>
      </c>
      <c r="F492" s="1">
        <v>3.5896163269437398E-2</v>
      </c>
      <c r="G492" s="1">
        <v>6.7580476724031502E-2</v>
      </c>
      <c r="H492" s="1">
        <v>39.542340090152031</v>
      </c>
      <c r="I492" s="1">
        <v>39.542340090152031</v>
      </c>
      <c r="J492" s="1" t="b">
        <v>1</v>
      </c>
      <c r="K492" s="1" t="b">
        <v>0</v>
      </c>
    </row>
    <row r="493" spans="1:11" ht="19" customHeight="1" x14ac:dyDescent="0.3">
      <c r="A493" t="s">
        <v>42</v>
      </c>
      <c r="B493" s="1">
        <v>45</v>
      </c>
      <c r="C493" s="1" t="s">
        <v>186</v>
      </c>
      <c r="D493" s="1">
        <v>14.53939339961534</v>
      </c>
      <c r="E493" s="1">
        <v>25.635227037654879</v>
      </c>
      <c r="F493" s="1">
        <v>2.54019046104467E-2</v>
      </c>
      <c r="G493" s="1">
        <v>6.5811030519346003E-2</v>
      </c>
      <c r="H493" s="1">
        <v>39.567836957281777</v>
      </c>
      <c r="I493" s="1">
        <v>39.567836957281777</v>
      </c>
      <c r="J493" s="1" t="b">
        <v>1</v>
      </c>
      <c r="K493" s="1" t="b">
        <v>0</v>
      </c>
    </row>
    <row r="494" spans="1:11" ht="19" customHeight="1" x14ac:dyDescent="0.3">
      <c r="A494" t="s">
        <v>42</v>
      </c>
      <c r="B494" s="1">
        <v>45</v>
      </c>
      <c r="C494" s="1" t="s">
        <v>188</v>
      </c>
      <c r="D494" s="1">
        <v>17.65343282801086</v>
      </c>
      <c r="E494" s="1">
        <v>25.586793447955749</v>
      </c>
      <c r="F494" s="1">
        <v>4.8883399133801297E-2</v>
      </c>
      <c r="G494" s="1">
        <v>6.6763975195338998E-2</v>
      </c>
      <c r="H494" s="1">
        <v>39.604197153215203</v>
      </c>
      <c r="I494" s="1">
        <v>39.604197153215203</v>
      </c>
      <c r="J494" s="1" t="b">
        <v>1</v>
      </c>
      <c r="K494" s="1" t="b">
        <v>0</v>
      </c>
    </row>
    <row r="495" spans="1:11" ht="19" customHeight="1" x14ac:dyDescent="0.3">
      <c r="A495" t="s">
        <v>42</v>
      </c>
      <c r="B495" s="1">
        <v>45</v>
      </c>
      <c r="C495" s="1" t="s">
        <v>187</v>
      </c>
      <c r="D495" s="1">
        <v>13.75</v>
      </c>
      <c r="E495" s="1">
        <v>25</v>
      </c>
      <c r="F495" s="1">
        <v>4.7500000000000001E-2</v>
      </c>
      <c r="G495" s="1">
        <v>5.1249999999999997E-2</v>
      </c>
      <c r="H495" s="1">
        <v>39.606000742512343</v>
      </c>
      <c r="I495" s="1">
        <v>39.606000742512343</v>
      </c>
      <c r="J495" s="1" t="b">
        <v>1</v>
      </c>
      <c r="K495" s="1" t="b">
        <v>0</v>
      </c>
    </row>
    <row r="496" spans="1:11" ht="19" customHeight="1" x14ac:dyDescent="0.3">
      <c r="A496" t="s">
        <v>42</v>
      </c>
      <c r="B496" s="1">
        <v>45</v>
      </c>
      <c r="C496" s="1" t="s">
        <v>186</v>
      </c>
      <c r="D496" s="1">
        <v>17.574245856640289</v>
      </c>
      <c r="E496" s="1">
        <v>25.40424133049747</v>
      </c>
      <c r="F496" s="1">
        <v>4.6738307547611602E-2</v>
      </c>
      <c r="G496" s="1">
        <v>8.0562013901190804E-2</v>
      </c>
      <c r="H496" s="1">
        <v>39.66258198805545</v>
      </c>
      <c r="I496" s="1">
        <v>39.66258198805545</v>
      </c>
      <c r="J496" s="1" t="b">
        <v>1</v>
      </c>
      <c r="K496" s="1" t="b">
        <v>0</v>
      </c>
    </row>
    <row r="497" spans="1:12" ht="19" customHeight="1" x14ac:dyDescent="0.3">
      <c r="A497" t="s">
        <v>42</v>
      </c>
      <c r="B497" s="1">
        <v>45</v>
      </c>
      <c r="C497" s="1" t="s">
        <v>188</v>
      </c>
      <c r="D497" s="1">
        <v>15.6240775255029</v>
      </c>
      <c r="E497" s="1">
        <v>27.48577907570364</v>
      </c>
      <c r="F497" s="1">
        <v>3.44796106193139E-2</v>
      </c>
      <c r="G497" s="1">
        <v>5.5324984416872898E-2</v>
      </c>
      <c r="H497" s="1">
        <v>39.664068292479527</v>
      </c>
      <c r="I497" s="1">
        <v>39.664068292479527</v>
      </c>
      <c r="J497" s="1" t="b">
        <v>1</v>
      </c>
      <c r="K497" s="1" t="b">
        <v>0</v>
      </c>
    </row>
    <row r="498" spans="1:12" ht="19" customHeight="1" x14ac:dyDescent="0.3">
      <c r="A498" t="s">
        <v>42</v>
      </c>
      <c r="B498" s="1">
        <v>45</v>
      </c>
      <c r="C498" s="1" t="s">
        <v>187</v>
      </c>
      <c r="D498" s="1">
        <v>13.75</v>
      </c>
      <c r="E498" s="1">
        <v>25</v>
      </c>
      <c r="F498" s="1">
        <v>4.7500000000000001E-2</v>
      </c>
      <c r="G498" s="1">
        <v>7.3749999999999996E-2</v>
      </c>
      <c r="H498" s="1">
        <v>39.67032275502433</v>
      </c>
      <c r="I498" s="1">
        <v>39.67032275502433</v>
      </c>
      <c r="J498" s="1" t="b">
        <v>1</v>
      </c>
      <c r="K498" s="1" t="b">
        <v>0</v>
      </c>
    </row>
    <row r="499" spans="1:12" ht="19" customHeight="1" x14ac:dyDescent="0.3">
      <c r="A499" t="s">
        <v>42</v>
      </c>
      <c r="B499" s="1">
        <v>45</v>
      </c>
      <c r="C499" s="1" t="s">
        <v>188</v>
      </c>
      <c r="D499" s="1">
        <v>22.166589496480022</v>
      </c>
      <c r="E499" s="1">
        <v>27.30553740527408</v>
      </c>
      <c r="F499" s="1">
        <v>4.3895287979593002E-2</v>
      </c>
      <c r="G499" s="1">
        <v>4.21110239701823E-2</v>
      </c>
      <c r="H499" s="1">
        <v>39.749840209384267</v>
      </c>
      <c r="I499" s="1">
        <v>39.749840209384267</v>
      </c>
      <c r="J499" s="1" t="b">
        <v>1</v>
      </c>
      <c r="K499" s="1" t="b">
        <v>0</v>
      </c>
    </row>
    <row r="500" spans="1:12" ht="19" customHeight="1" x14ac:dyDescent="0.3">
      <c r="A500" t="s">
        <v>42</v>
      </c>
      <c r="B500" s="1">
        <v>45</v>
      </c>
      <c r="C500" s="1" t="s">
        <v>186</v>
      </c>
      <c r="D500" s="1">
        <v>13.61199313222596</v>
      </c>
      <c r="E500" s="1">
        <v>28.34849421791538</v>
      </c>
      <c r="F500" s="1">
        <v>3.1784302156688801E-2</v>
      </c>
      <c r="G500" s="1">
        <v>6.5605320689215499E-2</v>
      </c>
      <c r="H500" s="1">
        <v>39.882089789773552</v>
      </c>
      <c r="I500" s="1">
        <v>39.882089789773552</v>
      </c>
      <c r="J500" s="1" t="b">
        <v>1</v>
      </c>
      <c r="K500" s="1" t="b">
        <v>0</v>
      </c>
    </row>
    <row r="501" spans="1:12" ht="19" customHeight="1" x14ac:dyDescent="0.3">
      <c r="A501" t="s">
        <v>42</v>
      </c>
      <c r="B501" s="1">
        <v>45</v>
      </c>
      <c r="C501" s="1" t="s">
        <v>186</v>
      </c>
      <c r="D501" s="1">
        <v>24.04753427972334</v>
      </c>
      <c r="E501" s="1">
        <v>28.34849421791538</v>
      </c>
      <c r="F501" s="1">
        <v>3.1784302156688801E-2</v>
      </c>
      <c r="G501" s="1">
        <v>7.9555484582404606E-2</v>
      </c>
      <c r="H501" s="1">
        <v>39.906857371893032</v>
      </c>
      <c r="I501" s="1">
        <v>39.906857371893032</v>
      </c>
      <c r="J501" s="1" t="b">
        <v>1</v>
      </c>
      <c r="K501" s="1" t="b">
        <v>0</v>
      </c>
    </row>
    <row r="502" spans="1:12" ht="19" customHeight="1" x14ac:dyDescent="0.3">
      <c r="A502" t="s">
        <v>42</v>
      </c>
      <c r="B502" s="1">
        <v>45</v>
      </c>
      <c r="C502" s="1" t="s">
        <v>186</v>
      </c>
      <c r="D502" s="1">
        <v>11.451792122866619</v>
      </c>
      <c r="E502" s="1">
        <v>24.859004047012331</v>
      </c>
      <c r="F502" s="1">
        <v>5.0697760010737801E-2</v>
      </c>
      <c r="G502" s="1">
        <v>6.5622553718872295E-2</v>
      </c>
      <c r="H502" s="1">
        <v>39.924570726118638</v>
      </c>
      <c r="I502" s="1">
        <v>39.924570726118638</v>
      </c>
      <c r="J502" s="1" t="b">
        <v>1</v>
      </c>
      <c r="K502" s="1" t="b">
        <v>0</v>
      </c>
    </row>
    <row r="503" spans="1:12" ht="19" customHeight="1" x14ac:dyDescent="0.3">
      <c r="A503" t="s">
        <v>42</v>
      </c>
      <c r="B503" s="1">
        <v>45</v>
      </c>
      <c r="C503" s="1" t="s">
        <v>186</v>
      </c>
      <c r="D503" s="1">
        <v>13.628183445244259</v>
      </c>
      <c r="E503" s="1">
        <v>28.160393028226249</v>
      </c>
      <c r="F503" s="1">
        <v>3.1902645923222797E-2</v>
      </c>
      <c r="G503" s="1">
        <v>7.7269326961106402E-2</v>
      </c>
      <c r="H503" s="1">
        <v>39.929131982592693</v>
      </c>
      <c r="I503" s="1">
        <v>39.929131982592693</v>
      </c>
      <c r="J503" s="1" t="b">
        <v>1</v>
      </c>
      <c r="K503" s="1" t="b">
        <v>0</v>
      </c>
    </row>
    <row r="504" spans="1:12" ht="19" customHeight="1" x14ac:dyDescent="0.3">
      <c r="A504" t="s">
        <v>42</v>
      </c>
      <c r="B504" s="1">
        <v>45</v>
      </c>
      <c r="C504" s="1" t="s">
        <v>188</v>
      </c>
      <c r="D504" s="1">
        <v>15.745401535058191</v>
      </c>
      <c r="E504" s="1">
        <v>27.985485072136839</v>
      </c>
      <c r="F504" s="1">
        <v>2.7903655219220499E-2</v>
      </c>
      <c r="G504" s="1">
        <v>7.6543753878465501E-2</v>
      </c>
      <c r="H504" s="1">
        <v>39.954364089382977</v>
      </c>
      <c r="I504" s="1">
        <v>39.954364089382977</v>
      </c>
      <c r="J504" s="1" t="b">
        <v>1</v>
      </c>
      <c r="K504" s="1" t="b">
        <v>0</v>
      </c>
    </row>
    <row r="505" spans="1:12" ht="19" customHeight="1" x14ac:dyDescent="0.3">
      <c r="A505" t="s">
        <v>42</v>
      </c>
      <c r="B505" s="1">
        <v>45</v>
      </c>
      <c r="C505" s="1" t="s">
        <v>186</v>
      </c>
      <c r="D505" s="1">
        <v>13.50234860920796</v>
      </c>
      <c r="E505" s="1">
        <v>24.204316646308211</v>
      </c>
      <c r="F505" s="1">
        <v>5.4833886249772701E-2</v>
      </c>
      <c r="G505" s="1">
        <v>7.1629220111436395E-2</v>
      </c>
      <c r="H505" s="1">
        <v>39.958432044695151</v>
      </c>
      <c r="I505" s="1">
        <v>39.958432044695151</v>
      </c>
      <c r="J505" s="1" t="b">
        <v>1</v>
      </c>
      <c r="K505" s="1" t="b">
        <v>1</v>
      </c>
    </row>
    <row r="506" spans="1:12" ht="19" customHeight="1" x14ac:dyDescent="0.3">
      <c r="A506" t="s">
        <v>42</v>
      </c>
      <c r="B506" s="1">
        <v>45</v>
      </c>
      <c r="C506" s="1" t="s">
        <v>186</v>
      </c>
      <c r="D506" s="1">
        <v>13.741301579460441</v>
      </c>
      <c r="E506" s="1">
        <v>29.00886453534325</v>
      </c>
      <c r="F506" s="1">
        <v>3.9449446533639902E-2</v>
      </c>
      <c r="G506" s="1">
        <v>6.3203210578311103E-2</v>
      </c>
      <c r="H506" s="1">
        <v>40.016918723556252</v>
      </c>
      <c r="I506" s="1">
        <v>40.016918723556252</v>
      </c>
      <c r="J506" s="1" t="b">
        <v>1</v>
      </c>
      <c r="K506" s="1" t="b">
        <v>0</v>
      </c>
    </row>
    <row r="507" spans="1:12" ht="19" customHeight="1" x14ac:dyDescent="0.3">
      <c r="A507" t="s">
        <v>42</v>
      </c>
      <c r="B507" s="1">
        <v>45</v>
      </c>
      <c r="C507" s="1" t="s">
        <v>186</v>
      </c>
      <c r="D507" s="1">
        <v>14.66500310857894</v>
      </c>
      <c r="E507" s="1">
        <v>27.08291558902933</v>
      </c>
      <c r="F507" s="1">
        <v>5.3729856163226702E-2</v>
      </c>
      <c r="G507" s="1">
        <v>7.1280434524660305E-2</v>
      </c>
      <c r="H507" s="1">
        <v>40.032522611795528</v>
      </c>
      <c r="I507" s="1">
        <v>40.032522611795528</v>
      </c>
      <c r="J507" s="1" t="b">
        <v>1</v>
      </c>
      <c r="K507" s="1" t="b">
        <v>0</v>
      </c>
    </row>
    <row r="508" spans="1:12" ht="19" customHeight="1" x14ac:dyDescent="0.3">
      <c r="A508" t="s">
        <v>42</v>
      </c>
      <c r="B508" s="1">
        <v>45</v>
      </c>
      <c r="C508" s="1" t="s">
        <v>188</v>
      </c>
      <c r="D508" s="1">
        <v>11.595569694952809</v>
      </c>
      <c r="E508" s="1">
        <v>12.507791585194891</v>
      </c>
      <c r="F508" s="1">
        <v>4.8334308792674002E-2</v>
      </c>
      <c r="G508" s="1">
        <v>4.7855919069413499E-2</v>
      </c>
      <c r="H508" s="1">
        <v>39.136389761485248</v>
      </c>
      <c r="I508" s="1">
        <v>39.136389761485248</v>
      </c>
      <c r="J508" s="1" t="b">
        <v>0</v>
      </c>
      <c r="K508" s="1" t="b">
        <v>0</v>
      </c>
      <c r="L508" s="1" t="s">
        <v>190</v>
      </c>
    </row>
    <row r="509" spans="1:12" ht="19" customHeight="1" x14ac:dyDescent="0.3">
      <c r="A509" t="s">
        <v>42</v>
      </c>
      <c r="B509" s="1">
        <v>45</v>
      </c>
      <c r="C509" s="1" t="s">
        <v>188</v>
      </c>
      <c r="D509" s="1">
        <v>10.823309754814719</v>
      </c>
      <c r="E509" s="1">
        <v>12.397598178572251</v>
      </c>
      <c r="F509" s="1">
        <v>4.60692839819241E-2</v>
      </c>
      <c r="G509" s="1">
        <v>4.1983401223210898E-2</v>
      </c>
      <c r="H509" s="1">
        <v>39.266935391813462</v>
      </c>
      <c r="I509" s="1">
        <v>39.266935391813462</v>
      </c>
      <c r="J509" s="1" t="b">
        <v>0</v>
      </c>
      <c r="K509" s="1" t="b">
        <v>0</v>
      </c>
      <c r="L509" s="1" t="s">
        <v>190</v>
      </c>
    </row>
    <row r="510" spans="1:12" ht="19" customHeight="1" x14ac:dyDescent="0.3">
      <c r="A510" t="s">
        <v>42</v>
      </c>
      <c r="B510" s="1">
        <v>45</v>
      </c>
      <c r="C510" s="1" t="s">
        <v>186</v>
      </c>
      <c r="D510" s="1">
        <v>12.17081025878112</v>
      </c>
      <c r="E510" s="1">
        <v>14.033926367077621</v>
      </c>
      <c r="F510" s="1">
        <v>5.2427813591751901E-2</v>
      </c>
      <c r="G510" s="1">
        <v>4.6770094154548802E-2</v>
      </c>
      <c r="H510" s="1">
        <v>39.335676623153141</v>
      </c>
      <c r="I510" s="1">
        <v>39.335676623153141</v>
      </c>
      <c r="J510" s="1" t="b">
        <v>0</v>
      </c>
      <c r="K510" s="1" t="b">
        <v>0</v>
      </c>
      <c r="L510" s="1" t="s">
        <v>190</v>
      </c>
    </row>
    <row r="511" spans="1:12" ht="19" customHeight="1" x14ac:dyDescent="0.3">
      <c r="A511" t="s">
        <v>42</v>
      </c>
      <c r="B511" s="1">
        <v>45</v>
      </c>
      <c r="C511" s="1" t="s">
        <v>186</v>
      </c>
      <c r="D511" s="1">
        <v>12.17081025878112</v>
      </c>
      <c r="E511" s="1">
        <v>10.297487872731599</v>
      </c>
      <c r="F511" s="1">
        <v>5.2427813591751901E-2</v>
      </c>
      <c r="G511" s="1">
        <v>4.6770094154548802E-2</v>
      </c>
      <c r="H511" s="1">
        <v>39.569794085982558</v>
      </c>
      <c r="I511" s="1">
        <v>39.569794085982558</v>
      </c>
      <c r="J511" s="1" t="b">
        <v>0</v>
      </c>
      <c r="K511" s="1" t="b">
        <v>0</v>
      </c>
      <c r="L511" s="1" t="s">
        <v>190</v>
      </c>
    </row>
    <row r="512" spans="1:12" ht="19" customHeight="1" x14ac:dyDescent="0.3">
      <c r="A512" t="s">
        <v>42</v>
      </c>
      <c r="B512" s="1">
        <v>45</v>
      </c>
      <c r="C512" s="1" t="s">
        <v>188</v>
      </c>
      <c r="D512" s="1">
        <v>13.154797835344819</v>
      </c>
      <c r="E512" s="1">
        <v>10.27140557206171</v>
      </c>
      <c r="F512" s="1">
        <v>5.4242831899763401E-2</v>
      </c>
      <c r="G512" s="1">
        <v>7.2549252849506404E-2</v>
      </c>
      <c r="H512" s="1">
        <v>39.773853975088088</v>
      </c>
      <c r="I512" s="1">
        <v>39.773853975088088</v>
      </c>
      <c r="J512" s="1" t="b">
        <v>0</v>
      </c>
      <c r="K512" s="1" t="b">
        <v>0</v>
      </c>
      <c r="L512" s="1" t="s">
        <v>190</v>
      </c>
    </row>
    <row r="513" spans="1:12" ht="19" customHeight="1" x14ac:dyDescent="0.3">
      <c r="A513" t="s">
        <v>42</v>
      </c>
      <c r="B513" s="1">
        <v>45</v>
      </c>
      <c r="C513" s="1" t="s">
        <v>186</v>
      </c>
      <c r="D513" s="1">
        <v>11.14892644730123</v>
      </c>
      <c r="E513" s="1">
        <v>29.00886453534325</v>
      </c>
      <c r="F513" s="1">
        <v>3.73819198135893E-2</v>
      </c>
      <c r="G513" s="1">
        <v>7.0013838808549E-2</v>
      </c>
      <c r="H513" s="1">
        <v>40.052085371819651</v>
      </c>
      <c r="I513" s="1">
        <v>40.052085371819651</v>
      </c>
      <c r="J513" s="1" t="b">
        <v>0</v>
      </c>
      <c r="K513" s="1" t="b">
        <v>0</v>
      </c>
      <c r="L513" s="1" t="s">
        <v>193</v>
      </c>
    </row>
    <row r="514" spans="1:12" ht="19" customHeight="1" x14ac:dyDescent="0.3">
      <c r="A514" t="s">
        <v>42</v>
      </c>
      <c r="B514" s="1">
        <v>45</v>
      </c>
      <c r="C514" s="1" t="s">
        <v>186</v>
      </c>
      <c r="D514" s="1">
        <v>11.14892644730123</v>
      </c>
      <c r="E514" s="1">
        <v>29.764276082028069</v>
      </c>
      <c r="F514" s="1">
        <v>3.73819198135893E-2</v>
      </c>
      <c r="G514" s="1">
        <v>7.0013838808549E-2</v>
      </c>
      <c r="H514" s="1">
        <v>40.185881418055168</v>
      </c>
      <c r="I514" s="1">
        <v>40.185881418055168</v>
      </c>
      <c r="J514" s="1" t="b">
        <v>0</v>
      </c>
      <c r="K514" s="1" t="b">
        <v>0</v>
      </c>
      <c r="L514" s="1" t="s">
        <v>193</v>
      </c>
    </row>
    <row r="515" spans="1:12" ht="19" customHeight="1" x14ac:dyDescent="0.3">
      <c r="A515" t="s">
        <v>42</v>
      </c>
      <c r="B515" s="1">
        <v>45</v>
      </c>
      <c r="C515" s="1" t="s">
        <v>188</v>
      </c>
      <c r="D515" s="1">
        <v>11.86496139282321</v>
      </c>
      <c r="E515" s="1">
        <v>29.849863151674331</v>
      </c>
      <c r="F515" s="1">
        <v>3.5753086727984301E-2</v>
      </c>
      <c r="G515" s="1">
        <v>7.1148830911496902E-2</v>
      </c>
      <c r="H515" s="1">
        <v>40.212047353305039</v>
      </c>
      <c r="I515" s="1">
        <v>40.212047353305039</v>
      </c>
      <c r="J515" s="1" t="b">
        <v>0</v>
      </c>
      <c r="K515" s="1" t="b">
        <v>0</v>
      </c>
      <c r="L515" s="1" t="s">
        <v>193</v>
      </c>
    </row>
    <row r="516" spans="1:12" ht="19" customHeight="1" x14ac:dyDescent="0.3">
      <c r="A516" t="s">
        <v>42</v>
      </c>
      <c r="B516" s="1">
        <v>46</v>
      </c>
      <c r="C516" s="1" t="s">
        <v>185</v>
      </c>
      <c r="D516" s="1">
        <v>15.155085743584269</v>
      </c>
      <c r="E516" s="1">
        <v>14.171951643311941</v>
      </c>
      <c r="F516" s="1">
        <v>3.8909805125399703E-2</v>
      </c>
      <c r="G516" s="1">
        <v>4.5937293337999299E-2</v>
      </c>
      <c r="H516" s="1">
        <v>38.370616139518077</v>
      </c>
      <c r="I516" s="1">
        <v>38.370616139518077</v>
      </c>
      <c r="J516" s="1" t="b">
        <v>1</v>
      </c>
      <c r="K516" s="1" t="b">
        <v>1</v>
      </c>
    </row>
    <row r="517" spans="1:12" ht="19" customHeight="1" x14ac:dyDescent="0.3">
      <c r="A517" t="s">
        <v>42</v>
      </c>
      <c r="B517" s="1">
        <v>46</v>
      </c>
      <c r="C517" s="1" t="s">
        <v>185</v>
      </c>
      <c r="D517" s="1">
        <v>15.155085743584269</v>
      </c>
      <c r="E517" s="1">
        <v>13.91278618537139</v>
      </c>
      <c r="F517" s="1">
        <v>3.8909805125399703E-2</v>
      </c>
      <c r="G517" s="1">
        <v>4.5937293337999299E-2</v>
      </c>
      <c r="H517" s="1">
        <v>38.376026292745863</v>
      </c>
      <c r="I517" s="1">
        <v>38.376026292745863</v>
      </c>
      <c r="J517" s="1" t="b">
        <v>1</v>
      </c>
      <c r="K517" s="1" t="b">
        <v>1</v>
      </c>
    </row>
    <row r="518" spans="1:12" ht="19" customHeight="1" x14ac:dyDescent="0.3">
      <c r="A518" t="s">
        <v>42</v>
      </c>
      <c r="B518" s="1">
        <v>46</v>
      </c>
      <c r="C518" s="1" t="s">
        <v>185</v>
      </c>
      <c r="D518" s="1">
        <v>15.155085743584269</v>
      </c>
      <c r="E518" s="1">
        <v>13.855991447976679</v>
      </c>
      <c r="F518" s="1">
        <v>3.8909805125399703E-2</v>
      </c>
      <c r="G518" s="1">
        <v>4.5937293337999299E-2</v>
      </c>
      <c r="H518" s="1">
        <v>38.377351309381922</v>
      </c>
      <c r="I518" s="1">
        <v>38.377351309381922</v>
      </c>
      <c r="J518" s="1" t="b">
        <v>1</v>
      </c>
      <c r="K518" s="1" t="b">
        <v>1</v>
      </c>
    </row>
    <row r="519" spans="1:12" ht="19" customHeight="1" x14ac:dyDescent="0.3">
      <c r="A519" t="s">
        <v>42</v>
      </c>
      <c r="B519" s="1">
        <v>46</v>
      </c>
      <c r="C519" s="1" t="s">
        <v>185</v>
      </c>
      <c r="D519" s="1">
        <v>15.15175238694807</v>
      </c>
      <c r="E519" s="1">
        <v>13.855991447976679</v>
      </c>
      <c r="F519" s="1">
        <v>3.8909805125399703E-2</v>
      </c>
      <c r="G519" s="1">
        <v>4.5937293337999299E-2</v>
      </c>
      <c r="H519" s="1">
        <v>38.377432936762332</v>
      </c>
      <c r="I519" s="1">
        <v>38.377432936762332</v>
      </c>
      <c r="J519" s="1" t="b">
        <v>1</v>
      </c>
      <c r="K519" s="1" t="b">
        <v>1</v>
      </c>
    </row>
    <row r="520" spans="1:12" ht="19" customHeight="1" x14ac:dyDescent="0.3">
      <c r="A520" t="s">
        <v>42</v>
      </c>
      <c r="B520" s="1">
        <v>46</v>
      </c>
      <c r="C520" s="1" t="s">
        <v>185</v>
      </c>
      <c r="D520" s="1">
        <v>15.159739256880391</v>
      </c>
      <c r="E520" s="1">
        <v>13.855991447976679</v>
      </c>
      <c r="F520" s="1">
        <v>3.8909805125399703E-2</v>
      </c>
      <c r="G520" s="1">
        <v>4.5937293337999299E-2</v>
      </c>
      <c r="H520" s="1">
        <v>38.377516063182902</v>
      </c>
      <c r="I520" s="1">
        <v>38.377516063182902</v>
      </c>
      <c r="J520" s="1" t="b">
        <v>1</v>
      </c>
      <c r="K520" s="1" t="b">
        <v>0</v>
      </c>
    </row>
    <row r="521" spans="1:12" ht="19" customHeight="1" x14ac:dyDescent="0.3">
      <c r="A521" t="s">
        <v>42</v>
      </c>
      <c r="B521" s="1">
        <v>46</v>
      </c>
      <c r="C521" s="1" t="s">
        <v>185</v>
      </c>
      <c r="D521" s="1">
        <v>15.14130238928276</v>
      </c>
      <c r="E521" s="1">
        <v>13.855991447976679</v>
      </c>
      <c r="F521" s="1">
        <v>3.8909805125399703E-2</v>
      </c>
      <c r="G521" s="1">
        <v>4.5937293337999299E-2</v>
      </c>
      <c r="H521" s="1">
        <v>38.377772235624143</v>
      </c>
      <c r="I521" s="1">
        <v>38.377772235624143</v>
      </c>
      <c r="J521" s="1" t="b">
        <v>1</v>
      </c>
      <c r="K521" s="1" t="b">
        <v>1</v>
      </c>
    </row>
    <row r="522" spans="1:12" ht="19" customHeight="1" x14ac:dyDescent="0.3">
      <c r="A522" t="s">
        <v>42</v>
      </c>
      <c r="B522" s="1">
        <v>46</v>
      </c>
      <c r="C522" s="1" t="s">
        <v>185</v>
      </c>
      <c r="D522" s="1">
        <v>15.16726879956061</v>
      </c>
      <c r="E522" s="1">
        <v>13.855991447976679</v>
      </c>
      <c r="F522" s="1">
        <v>3.8909805125399703E-2</v>
      </c>
      <c r="G522" s="1">
        <v>4.5937293337999299E-2</v>
      </c>
      <c r="H522" s="1">
        <v>38.377848131844758</v>
      </c>
      <c r="I522" s="1">
        <v>38.377848131844758</v>
      </c>
      <c r="J522" s="1" t="b">
        <v>1</v>
      </c>
      <c r="K522" s="1" t="b">
        <v>0</v>
      </c>
    </row>
    <row r="523" spans="1:12" ht="19" customHeight="1" x14ac:dyDescent="0.3">
      <c r="A523" t="s">
        <v>42</v>
      </c>
      <c r="B523" s="1">
        <v>46</v>
      </c>
      <c r="C523" s="1" t="s">
        <v>185</v>
      </c>
      <c r="D523" s="1">
        <v>15.1199059612208</v>
      </c>
      <c r="E523" s="1">
        <v>13.855991447976679</v>
      </c>
      <c r="F523" s="1">
        <v>3.8909805125399703E-2</v>
      </c>
      <c r="G523" s="1">
        <v>4.5937293337999299E-2</v>
      </c>
      <c r="H523" s="1">
        <v>38.378467633034042</v>
      </c>
      <c r="I523" s="1">
        <v>38.378467633034042</v>
      </c>
      <c r="J523" s="1" t="b">
        <v>1</v>
      </c>
      <c r="K523" s="1" t="b">
        <v>1</v>
      </c>
    </row>
    <row r="524" spans="1:12" ht="19" customHeight="1" x14ac:dyDescent="0.3">
      <c r="A524" t="s">
        <v>42</v>
      </c>
      <c r="B524" s="1">
        <v>46</v>
      </c>
      <c r="C524" s="1" t="s">
        <v>185</v>
      </c>
      <c r="D524" s="1">
        <v>15.192374882551171</v>
      </c>
      <c r="E524" s="1">
        <v>13.855991447976679</v>
      </c>
      <c r="F524" s="1">
        <v>3.8909805125399703E-2</v>
      </c>
      <c r="G524" s="1">
        <v>4.5937293337999299E-2</v>
      </c>
      <c r="H524" s="1">
        <v>38.378956330419612</v>
      </c>
      <c r="I524" s="1">
        <v>38.378956330419612</v>
      </c>
      <c r="J524" s="1" t="b">
        <v>1</v>
      </c>
      <c r="K524" s="1" t="b">
        <v>0</v>
      </c>
    </row>
    <row r="525" spans="1:12" ht="19" customHeight="1" x14ac:dyDescent="0.3">
      <c r="A525" t="s">
        <v>42</v>
      </c>
      <c r="B525" s="1">
        <v>46</v>
      </c>
      <c r="C525" s="1" t="s">
        <v>185</v>
      </c>
      <c r="D525" s="1">
        <v>15.02202585272865</v>
      </c>
      <c r="E525" s="1">
        <v>13.855991447976679</v>
      </c>
      <c r="F525" s="1">
        <v>3.8909805125399703E-2</v>
      </c>
      <c r="G525" s="1">
        <v>4.5937293337999299E-2</v>
      </c>
      <c r="H525" s="1">
        <v>38.381746014777953</v>
      </c>
      <c r="I525" s="1">
        <v>38.381746014777953</v>
      </c>
      <c r="J525" s="1" t="b">
        <v>1</v>
      </c>
      <c r="K525" s="1" t="b">
        <v>1</v>
      </c>
    </row>
    <row r="526" spans="1:12" ht="19" customHeight="1" x14ac:dyDescent="0.3">
      <c r="A526" t="s">
        <v>42</v>
      </c>
      <c r="B526" s="1">
        <v>46</v>
      </c>
      <c r="C526" s="1" t="s">
        <v>185</v>
      </c>
      <c r="D526" s="1">
        <v>15.27501191254964</v>
      </c>
      <c r="E526" s="1">
        <v>13.855991447976679</v>
      </c>
      <c r="F526" s="1">
        <v>3.8909805125399703E-2</v>
      </c>
      <c r="G526" s="1">
        <v>4.5937293337999299E-2</v>
      </c>
      <c r="H526" s="1">
        <v>38.382615389970198</v>
      </c>
      <c r="I526" s="1">
        <v>38.382615389970198</v>
      </c>
      <c r="J526" s="1" t="b">
        <v>1</v>
      </c>
      <c r="K526" s="1" t="b">
        <v>0</v>
      </c>
    </row>
    <row r="527" spans="1:12" ht="19" customHeight="1" x14ac:dyDescent="0.3">
      <c r="A527" t="s">
        <v>42</v>
      </c>
      <c r="B527" s="1">
        <v>46</v>
      </c>
      <c r="C527" s="1" t="s">
        <v>185</v>
      </c>
      <c r="D527" s="1">
        <v>15.155085743584269</v>
      </c>
      <c r="E527" s="1">
        <v>14.591290162969671</v>
      </c>
      <c r="F527" s="1">
        <v>3.8909805125399703E-2</v>
      </c>
      <c r="G527" s="1">
        <v>4.5937293337999299E-2</v>
      </c>
      <c r="H527" s="1">
        <v>38.382816771344153</v>
      </c>
      <c r="I527" s="1">
        <v>38.382816771344153</v>
      </c>
      <c r="J527" s="1" t="b">
        <v>1</v>
      </c>
      <c r="K527" s="1" t="b">
        <v>0</v>
      </c>
    </row>
    <row r="528" spans="1:12" ht="19" customHeight="1" x14ac:dyDescent="0.3">
      <c r="A528" t="s">
        <v>42</v>
      </c>
      <c r="B528" s="1">
        <v>46</v>
      </c>
      <c r="C528" s="1" t="s">
        <v>185</v>
      </c>
      <c r="D528" s="1">
        <v>15.155085743584269</v>
      </c>
      <c r="E528" s="1">
        <v>14.721359549995791</v>
      </c>
      <c r="F528" s="1">
        <v>3.8909805125399703E-2</v>
      </c>
      <c r="G528" s="1">
        <v>4.5937293337999299E-2</v>
      </c>
      <c r="H528" s="1">
        <v>38.38752456161702</v>
      </c>
      <c r="I528" s="1">
        <v>38.38752456161702</v>
      </c>
      <c r="J528" s="1" t="b">
        <v>1</v>
      </c>
      <c r="K528" s="1" t="b">
        <v>0</v>
      </c>
    </row>
    <row r="529" spans="1:11" ht="19" customHeight="1" x14ac:dyDescent="0.3">
      <c r="A529" t="s">
        <v>42</v>
      </c>
      <c r="B529" s="1">
        <v>46</v>
      </c>
      <c r="C529" s="1" t="s">
        <v>185</v>
      </c>
      <c r="D529" s="1">
        <v>15.155085743584269</v>
      </c>
      <c r="E529" s="1">
        <v>14.87009573446908</v>
      </c>
      <c r="F529" s="1">
        <v>3.8909805125399703E-2</v>
      </c>
      <c r="G529" s="1">
        <v>4.5937293337999299E-2</v>
      </c>
      <c r="H529" s="1">
        <v>38.392999551251009</v>
      </c>
      <c r="I529" s="1">
        <v>38.392999551251009</v>
      </c>
      <c r="J529" s="1" t="b">
        <v>1</v>
      </c>
      <c r="K529" s="1" t="b">
        <v>0</v>
      </c>
    </row>
    <row r="530" spans="1:11" ht="19" customHeight="1" x14ac:dyDescent="0.3">
      <c r="A530" t="s">
        <v>42</v>
      </c>
      <c r="B530" s="1">
        <v>46</v>
      </c>
      <c r="C530" s="1" t="s">
        <v>185</v>
      </c>
      <c r="D530" s="1">
        <v>15.72949016875158</v>
      </c>
      <c r="E530" s="1">
        <v>13.855991447976679</v>
      </c>
      <c r="F530" s="1">
        <v>3.8909805125399703E-2</v>
      </c>
      <c r="G530" s="1">
        <v>4.5937293337999299E-2</v>
      </c>
      <c r="H530" s="1">
        <v>38.403485131264667</v>
      </c>
      <c r="I530" s="1">
        <v>38.403485131264667</v>
      </c>
      <c r="J530" s="1" t="b">
        <v>1</v>
      </c>
      <c r="K530" s="1" t="b">
        <v>0</v>
      </c>
    </row>
    <row r="531" spans="1:11" ht="19" customHeight="1" x14ac:dyDescent="0.3">
      <c r="A531" t="s">
        <v>42</v>
      </c>
      <c r="B531" s="1">
        <v>46</v>
      </c>
      <c r="C531" s="1" t="s">
        <v>185</v>
      </c>
      <c r="D531" s="1">
        <v>16.018859957868251</v>
      </c>
      <c r="E531" s="1">
        <v>13.855991447976679</v>
      </c>
      <c r="F531" s="1">
        <v>3.8909805125399703E-2</v>
      </c>
      <c r="G531" s="1">
        <v>4.5937293337999299E-2</v>
      </c>
      <c r="H531" s="1">
        <v>38.41737253429369</v>
      </c>
      <c r="I531" s="1">
        <v>38.41737253429369</v>
      </c>
      <c r="J531" s="1" t="b">
        <v>1</v>
      </c>
      <c r="K531" s="1" t="b">
        <v>0</v>
      </c>
    </row>
    <row r="532" spans="1:11" ht="19" customHeight="1" x14ac:dyDescent="0.3">
      <c r="A532" t="s">
        <v>42</v>
      </c>
      <c r="B532" s="1">
        <v>46</v>
      </c>
      <c r="C532" s="1" t="s">
        <v>188</v>
      </c>
      <c r="D532" s="1">
        <v>16.722831594716549</v>
      </c>
      <c r="E532" s="1">
        <v>13.855991447976679</v>
      </c>
      <c r="F532" s="1">
        <v>3.8909805125399703E-2</v>
      </c>
      <c r="G532" s="1">
        <v>4.5937293337999299E-2</v>
      </c>
      <c r="H532" s="1">
        <v>38.452312892168969</v>
      </c>
      <c r="I532" s="1">
        <v>38.452312892168969</v>
      </c>
      <c r="J532" s="1" t="b">
        <v>1</v>
      </c>
      <c r="K532" s="1" t="b">
        <v>0</v>
      </c>
    </row>
    <row r="533" spans="1:11" ht="19" customHeight="1" x14ac:dyDescent="0.3">
      <c r="A533" t="s">
        <v>42</v>
      </c>
      <c r="B533" s="1">
        <v>46</v>
      </c>
      <c r="C533" s="1" t="s">
        <v>188</v>
      </c>
      <c r="D533" s="1">
        <v>17.260990968809839</v>
      </c>
      <c r="E533" s="1">
        <v>14.948592809418191</v>
      </c>
      <c r="F533" s="1">
        <v>4.2298198037147301E-2</v>
      </c>
      <c r="G533" s="1">
        <v>4.7117004793287801E-2</v>
      </c>
      <c r="H533" s="1">
        <v>38.46492568827793</v>
      </c>
      <c r="I533" s="1">
        <v>38.46492568827793</v>
      </c>
      <c r="J533" s="1" t="b">
        <v>1</v>
      </c>
      <c r="K533" s="1" t="b">
        <v>0</v>
      </c>
    </row>
    <row r="534" spans="1:11" ht="19" customHeight="1" x14ac:dyDescent="0.3">
      <c r="A534" t="s">
        <v>42</v>
      </c>
      <c r="B534" s="1">
        <v>46</v>
      </c>
      <c r="C534" s="1" t="s">
        <v>185</v>
      </c>
      <c r="D534" s="1">
        <v>14.61268580925838</v>
      </c>
      <c r="E534" s="1">
        <v>13.855991447976679</v>
      </c>
      <c r="F534" s="1">
        <v>3.8909805125399703E-2</v>
      </c>
      <c r="G534" s="1">
        <v>4.5937293337999299E-2</v>
      </c>
      <c r="H534" s="1">
        <v>38.487174391374573</v>
      </c>
      <c r="I534" s="1">
        <v>38.487174391374573</v>
      </c>
      <c r="J534" s="1" t="b">
        <v>1</v>
      </c>
      <c r="K534" s="1" t="b">
        <v>1</v>
      </c>
    </row>
    <row r="535" spans="1:11" ht="19" customHeight="1" x14ac:dyDescent="0.3">
      <c r="A535" t="s">
        <v>42</v>
      </c>
      <c r="B535" s="1">
        <v>46</v>
      </c>
      <c r="C535" s="1" t="s">
        <v>185</v>
      </c>
      <c r="D535" s="1">
        <v>15.155085743584269</v>
      </c>
      <c r="E535" s="1">
        <v>13.49344766571366</v>
      </c>
      <c r="F535" s="1">
        <v>3.8909805125399703E-2</v>
      </c>
      <c r="G535" s="1">
        <v>4.5937293337999299E-2</v>
      </c>
      <c r="H535" s="1">
        <v>38.49450808713938</v>
      </c>
      <c r="I535" s="1">
        <v>38.49450808713938</v>
      </c>
      <c r="J535" s="1" t="b">
        <v>1</v>
      </c>
      <c r="K535" s="1" t="b">
        <v>0</v>
      </c>
    </row>
    <row r="536" spans="1:11" ht="19" customHeight="1" x14ac:dyDescent="0.3">
      <c r="A536" t="s">
        <v>42</v>
      </c>
      <c r="B536" s="1">
        <v>46</v>
      </c>
      <c r="C536" s="1" t="s">
        <v>185</v>
      </c>
      <c r="D536" s="1">
        <v>13.54101966249684</v>
      </c>
      <c r="E536" s="1">
        <v>13.855991447976679</v>
      </c>
      <c r="F536" s="1">
        <v>3.8909805125399703E-2</v>
      </c>
      <c r="G536" s="1">
        <v>4.5937293337999299E-2</v>
      </c>
      <c r="H536" s="1">
        <v>38.515629765345082</v>
      </c>
      <c r="I536" s="1">
        <v>38.515629765345082</v>
      </c>
      <c r="J536" s="1" t="b">
        <v>1</v>
      </c>
      <c r="K536" s="1" t="b">
        <v>1</v>
      </c>
    </row>
    <row r="537" spans="1:11" ht="19" customHeight="1" x14ac:dyDescent="0.3">
      <c r="A537" t="s">
        <v>42</v>
      </c>
      <c r="B537" s="1">
        <v>46</v>
      </c>
      <c r="C537" s="1" t="s">
        <v>187</v>
      </c>
      <c r="D537" s="1">
        <v>13.75</v>
      </c>
      <c r="E537" s="1">
        <v>15</v>
      </c>
      <c r="F537" s="1">
        <v>3.2500000000000001E-2</v>
      </c>
      <c r="G537" s="1">
        <v>5.1249999999999997E-2</v>
      </c>
      <c r="H537" s="1">
        <v>38.521634787179742</v>
      </c>
      <c r="I537" s="1">
        <v>38.521634787179742</v>
      </c>
      <c r="J537" s="1" t="b">
        <v>1</v>
      </c>
      <c r="K537" s="1" t="b">
        <v>0</v>
      </c>
    </row>
    <row r="538" spans="1:11" ht="19" customHeight="1" x14ac:dyDescent="0.3">
      <c r="A538" t="s">
        <v>42</v>
      </c>
      <c r="B538" s="1">
        <v>46</v>
      </c>
      <c r="C538" s="1" t="s">
        <v>186</v>
      </c>
      <c r="D538" s="1">
        <v>18.521954927687538</v>
      </c>
      <c r="E538" s="1">
        <v>16.624884812526918</v>
      </c>
      <c r="F538" s="1">
        <v>2.97023768888196E-2</v>
      </c>
      <c r="G538" s="1">
        <v>4.5863803622860001E-2</v>
      </c>
      <c r="H538" s="1">
        <v>38.524655887862103</v>
      </c>
      <c r="I538" s="1">
        <v>38.524655887862103</v>
      </c>
      <c r="J538" s="1" t="b">
        <v>1</v>
      </c>
      <c r="K538" s="1" t="b">
        <v>0</v>
      </c>
    </row>
    <row r="539" spans="1:11" ht="19" customHeight="1" x14ac:dyDescent="0.3">
      <c r="A539" t="s">
        <v>42</v>
      </c>
      <c r="B539" s="1">
        <v>46</v>
      </c>
      <c r="C539" s="1" t="s">
        <v>186</v>
      </c>
      <c r="D539" s="1">
        <v>19.472812565725821</v>
      </c>
      <c r="E539" s="1">
        <v>13.67987137920276</v>
      </c>
      <c r="F539" s="1">
        <v>3.7500294312977203E-2</v>
      </c>
      <c r="G539" s="1">
        <v>4.98533522317074E-2</v>
      </c>
      <c r="H539" s="1">
        <v>38.533932598818211</v>
      </c>
      <c r="I539" s="1">
        <v>38.533932598818211</v>
      </c>
      <c r="J539" s="1" t="b">
        <v>1</v>
      </c>
      <c r="K539" s="1" t="b">
        <v>0</v>
      </c>
    </row>
    <row r="540" spans="1:11" ht="19" customHeight="1" x14ac:dyDescent="0.3">
      <c r="A540" t="s">
        <v>42</v>
      </c>
      <c r="B540" s="1">
        <v>46</v>
      </c>
      <c r="C540" s="1" t="s">
        <v>188</v>
      </c>
      <c r="D540" s="1">
        <v>19.23784840442012</v>
      </c>
      <c r="E540" s="1">
        <v>19.31574604592436</v>
      </c>
      <c r="F540" s="1">
        <v>3.1042738689581802E-2</v>
      </c>
      <c r="G540" s="1">
        <v>5.8066951672507097E-2</v>
      </c>
      <c r="H540" s="1">
        <v>38.545491492175699</v>
      </c>
      <c r="I540" s="1">
        <v>38.545491492175699</v>
      </c>
      <c r="J540" s="1" t="b">
        <v>1</v>
      </c>
      <c r="K540" s="1" t="b">
        <v>0</v>
      </c>
    </row>
    <row r="541" spans="1:11" ht="19" customHeight="1" x14ac:dyDescent="0.3">
      <c r="A541" t="s">
        <v>42</v>
      </c>
      <c r="B541" s="1">
        <v>46</v>
      </c>
      <c r="C541" s="1" t="s">
        <v>186</v>
      </c>
      <c r="D541" s="1">
        <v>16.769782315325969</v>
      </c>
      <c r="E541" s="1">
        <v>18.738157758015859</v>
      </c>
      <c r="F541" s="1">
        <v>3.4464349786757498E-2</v>
      </c>
      <c r="G541" s="1">
        <v>6.0502281364547002E-2</v>
      </c>
      <c r="H541" s="1">
        <v>38.554805291088179</v>
      </c>
      <c r="I541" s="1">
        <v>38.554805291088179</v>
      </c>
      <c r="J541" s="1" t="b">
        <v>1</v>
      </c>
      <c r="K541" s="1" t="b">
        <v>0</v>
      </c>
    </row>
    <row r="542" spans="1:11" ht="19" customHeight="1" x14ac:dyDescent="0.3">
      <c r="A542" t="s">
        <v>42</v>
      </c>
      <c r="B542" s="1">
        <v>46</v>
      </c>
      <c r="C542" s="1" t="s">
        <v>185</v>
      </c>
      <c r="D542" s="1">
        <v>15.155085743584269</v>
      </c>
      <c r="E542" s="1">
        <v>17.639320225002098</v>
      </c>
      <c r="F542" s="1">
        <v>3.8909805125399703E-2</v>
      </c>
      <c r="G542" s="1">
        <v>4.5937293337999299E-2</v>
      </c>
      <c r="H542" s="1">
        <v>38.5679624614109</v>
      </c>
      <c r="I542" s="1">
        <v>38.5679624614109</v>
      </c>
      <c r="J542" s="1" t="b">
        <v>1</v>
      </c>
      <c r="K542" s="1" t="b">
        <v>0</v>
      </c>
    </row>
    <row r="543" spans="1:11" ht="19" customHeight="1" x14ac:dyDescent="0.3">
      <c r="A543" t="s">
        <v>42</v>
      </c>
      <c r="B543" s="1">
        <v>46</v>
      </c>
      <c r="C543" s="1" t="s">
        <v>187</v>
      </c>
      <c r="D543" s="1">
        <v>13.75</v>
      </c>
      <c r="E543" s="1">
        <v>15</v>
      </c>
      <c r="F543" s="1">
        <v>3.2500000000000001E-2</v>
      </c>
      <c r="G543" s="1">
        <v>7.3749999999999996E-2</v>
      </c>
      <c r="H543" s="1">
        <v>38.584273997893767</v>
      </c>
      <c r="I543" s="1">
        <v>38.584273997893767</v>
      </c>
      <c r="J543" s="1" t="b">
        <v>1</v>
      </c>
      <c r="K543" s="1" t="b">
        <v>0</v>
      </c>
    </row>
    <row r="544" spans="1:11" ht="19" customHeight="1" x14ac:dyDescent="0.3">
      <c r="A544" t="s">
        <v>42</v>
      </c>
      <c r="B544" s="1">
        <v>46</v>
      </c>
      <c r="C544" s="1" t="s">
        <v>185</v>
      </c>
      <c r="D544" s="1">
        <v>19.270509831248422</v>
      </c>
      <c r="E544" s="1">
        <v>13.855991447976679</v>
      </c>
      <c r="F544" s="1">
        <v>3.8909805125399703E-2</v>
      </c>
      <c r="G544" s="1">
        <v>4.5937293337999299E-2</v>
      </c>
      <c r="H544" s="1">
        <v>38.597730255133158</v>
      </c>
      <c r="I544" s="1">
        <v>38.597730255133158</v>
      </c>
      <c r="J544" s="1" t="b">
        <v>1</v>
      </c>
      <c r="K544" s="1" t="b">
        <v>0</v>
      </c>
    </row>
    <row r="545" spans="1:11" ht="19" customHeight="1" x14ac:dyDescent="0.3">
      <c r="A545" t="s">
        <v>42</v>
      </c>
      <c r="B545" s="1">
        <v>46</v>
      </c>
      <c r="C545" s="1" t="s">
        <v>185</v>
      </c>
      <c r="D545" s="1">
        <v>15.155085743584269</v>
      </c>
      <c r="E545" s="1">
        <v>11.506644501755231</v>
      </c>
      <c r="F545" s="1">
        <v>3.8909805125399703E-2</v>
      </c>
      <c r="G545" s="1">
        <v>4.5937293337999299E-2</v>
      </c>
      <c r="H545" s="1">
        <v>38.653956490322322</v>
      </c>
      <c r="I545" s="1">
        <v>38.653956490322322</v>
      </c>
      <c r="J545" s="1" t="b">
        <v>1</v>
      </c>
      <c r="K545" s="1" t="b">
        <v>1</v>
      </c>
    </row>
    <row r="546" spans="1:11" ht="19" customHeight="1" x14ac:dyDescent="0.3">
      <c r="A546" t="s">
        <v>42</v>
      </c>
      <c r="B546" s="1">
        <v>46</v>
      </c>
      <c r="C546" s="1" t="s">
        <v>187</v>
      </c>
      <c r="D546" s="1">
        <v>21.25</v>
      </c>
      <c r="E546" s="1">
        <v>15</v>
      </c>
      <c r="F546" s="1">
        <v>3.2500000000000001E-2</v>
      </c>
      <c r="G546" s="1">
        <v>5.1249999999999997E-2</v>
      </c>
      <c r="H546" s="1">
        <v>38.669429829942402</v>
      </c>
      <c r="I546" s="1">
        <v>38.669429829942402</v>
      </c>
      <c r="J546" s="1" t="b">
        <v>1</v>
      </c>
      <c r="K546" s="1" t="b">
        <v>0</v>
      </c>
    </row>
    <row r="547" spans="1:11" ht="19" customHeight="1" x14ac:dyDescent="0.3">
      <c r="A547" t="s">
        <v>42</v>
      </c>
      <c r="B547" s="1">
        <v>46</v>
      </c>
      <c r="C547" s="1" t="s">
        <v>188</v>
      </c>
      <c r="D547" s="1">
        <v>19.574402910693721</v>
      </c>
      <c r="E547" s="1">
        <v>19.575071663708279</v>
      </c>
      <c r="F547" s="1">
        <v>4.0034217590106398E-2</v>
      </c>
      <c r="G547" s="1">
        <v>7.0642539980715693E-2</v>
      </c>
      <c r="H547" s="1">
        <v>38.672467578971691</v>
      </c>
      <c r="I547" s="1">
        <v>38.672467578971691</v>
      </c>
      <c r="J547" s="1" t="b">
        <v>1</v>
      </c>
      <c r="K547" s="1" t="b">
        <v>0</v>
      </c>
    </row>
    <row r="548" spans="1:11" ht="19" customHeight="1" x14ac:dyDescent="0.3">
      <c r="A548" t="s">
        <v>42</v>
      </c>
      <c r="B548" s="1">
        <v>46</v>
      </c>
      <c r="C548" s="1" t="s">
        <v>188</v>
      </c>
      <c r="D548" s="1">
        <v>10.99704902777119</v>
      </c>
      <c r="E548" s="1">
        <v>12.10118323066793</v>
      </c>
      <c r="F548" s="1">
        <v>3.67028398293558E-2</v>
      </c>
      <c r="G548" s="1">
        <v>5.4673991051280603E-2</v>
      </c>
      <c r="H548" s="1">
        <v>38.673427219241837</v>
      </c>
      <c r="I548" s="1">
        <v>38.673427219241837</v>
      </c>
      <c r="J548" s="1" t="b">
        <v>1</v>
      </c>
      <c r="K548" s="1" t="b">
        <v>1</v>
      </c>
    </row>
    <row r="549" spans="1:11" ht="19" customHeight="1" x14ac:dyDescent="0.3">
      <c r="A549" t="s">
        <v>42</v>
      </c>
      <c r="B549" s="1">
        <v>46</v>
      </c>
      <c r="C549" s="1" t="s">
        <v>186</v>
      </c>
      <c r="D549" s="1">
        <v>13.847569747481209</v>
      </c>
      <c r="E549" s="1">
        <v>14.682146199617341</v>
      </c>
      <c r="F549" s="1">
        <v>4.7511711768128698E-2</v>
      </c>
      <c r="G549" s="1">
        <v>5.3015597748158602E-2</v>
      </c>
      <c r="H549" s="1">
        <v>38.687574150842309</v>
      </c>
      <c r="I549" s="1">
        <v>38.687574150842309</v>
      </c>
      <c r="J549" s="1" t="b">
        <v>1</v>
      </c>
      <c r="K549" s="1" t="b">
        <v>1</v>
      </c>
    </row>
    <row r="550" spans="1:11" ht="19" customHeight="1" x14ac:dyDescent="0.3">
      <c r="A550" t="s">
        <v>42</v>
      </c>
      <c r="B550" s="1">
        <v>46</v>
      </c>
      <c r="C550" s="1" t="s">
        <v>189</v>
      </c>
      <c r="D550" s="1">
        <v>17.5</v>
      </c>
      <c r="E550" s="1">
        <v>20</v>
      </c>
      <c r="F550" s="1">
        <v>0.04</v>
      </c>
      <c r="G550" s="1">
        <v>0.06</v>
      </c>
      <c r="H550" s="1">
        <v>38.703266664516811</v>
      </c>
      <c r="I550" s="1">
        <v>38.703266664516811</v>
      </c>
      <c r="J550" s="1" t="b">
        <v>1</v>
      </c>
      <c r="K550" s="1" t="b">
        <v>0</v>
      </c>
    </row>
    <row r="551" spans="1:11" ht="19" customHeight="1" x14ac:dyDescent="0.3">
      <c r="A551" t="s">
        <v>42</v>
      </c>
      <c r="B551" s="1">
        <v>46</v>
      </c>
      <c r="C551" s="1" t="s">
        <v>186</v>
      </c>
      <c r="D551" s="1">
        <v>20.373065198209211</v>
      </c>
      <c r="E551" s="1">
        <v>19.367531281232981</v>
      </c>
      <c r="F551" s="1">
        <v>4.3858846217905402E-2</v>
      </c>
      <c r="G551" s="1">
        <v>6.4926017413661996E-2</v>
      </c>
      <c r="H551" s="1">
        <v>38.705151235596112</v>
      </c>
      <c r="I551" s="1">
        <v>38.705151235596112</v>
      </c>
      <c r="J551" s="1" t="b">
        <v>1</v>
      </c>
      <c r="K551" s="1" t="b">
        <v>0</v>
      </c>
    </row>
    <row r="552" spans="1:11" ht="19" customHeight="1" x14ac:dyDescent="0.3">
      <c r="A552" t="s">
        <v>42</v>
      </c>
      <c r="B552" s="1">
        <v>46</v>
      </c>
      <c r="C552" s="1" t="s">
        <v>187</v>
      </c>
      <c r="D552" s="1">
        <v>13.75</v>
      </c>
      <c r="E552" s="1">
        <v>15</v>
      </c>
      <c r="F552" s="1">
        <v>4.7500000000000001E-2</v>
      </c>
      <c r="G552" s="1">
        <v>5.1249999999999997E-2</v>
      </c>
      <c r="H552" s="1">
        <v>38.743737709273162</v>
      </c>
      <c r="I552" s="1">
        <v>38.743737709273162</v>
      </c>
      <c r="J552" s="1" t="b">
        <v>1</v>
      </c>
      <c r="K552" s="1" t="b">
        <v>1</v>
      </c>
    </row>
    <row r="553" spans="1:11" ht="19" customHeight="1" x14ac:dyDescent="0.3">
      <c r="A553" t="s">
        <v>42</v>
      </c>
      <c r="B553" s="1">
        <v>46</v>
      </c>
      <c r="C553" s="1" t="s">
        <v>186</v>
      </c>
      <c r="D553" s="1">
        <v>17.926129182456162</v>
      </c>
      <c r="E553" s="1">
        <v>12.0029746902242</v>
      </c>
      <c r="F553" s="1">
        <v>4.0979832173620299E-2</v>
      </c>
      <c r="G553" s="1">
        <v>7.2229503842646994E-2</v>
      </c>
      <c r="H553" s="1">
        <v>38.752253958852762</v>
      </c>
      <c r="I553" s="1">
        <v>38.752253958852762</v>
      </c>
      <c r="J553" s="1" t="b">
        <v>1</v>
      </c>
      <c r="K553" s="1" t="b">
        <v>0</v>
      </c>
    </row>
    <row r="554" spans="1:11" ht="19" customHeight="1" x14ac:dyDescent="0.3">
      <c r="A554" t="s">
        <v>42</v>
      </c>
      <c r="B554" s="1">
        <v>46</v>
      </c>
      <c r="C554" s="1" t="s">
        <v>186</v>
      </c>
      <c r="D554" s="1">
        <v>21.180900980214279</v>
      </c>
      <c r="E554" s="1">
        <v>16.40613808889513</v>
      </c>
      <c r="F554" s="1">
        <v>3.1872739123027197E-2</v>
      </c>
      <c r="G554" s="1">
        <v>4.3795485147932502E-2</v>
      </c>
      <c r="H554" s="1">
        <v>38.767487655615923</v>
      </c>
      <c r="I554" s="1">
        <v>38.767487655615923</v>
      </c>
      <c r="J554" s="1" t="b">
        <v>1</v>
      </c>
      <c r="K554" s="1" t="b">
        <v>0</v>
      </c>
    </row>
    <row r="555" spans="1:11" ht="19" customHeight="1" x14ac:dyDescent="0.3">
      <c r="A555" t="s">
        <v>42</v>
      </c>
      <c r="B555" s="1">
        <v>46</v>
      </c>
      <c r="C555" s="1" t="s">
        <v>187</v>
      </c>
      <c r="D555" s="1">
        <v>21.25</v>
      </c>
      <c r="E555" s="1">
        <v>15</v>
      </c>
      <c r="F555" s="1">
        <v>3.2500000000000001E-2</v>
      </c>
      <c r="G555" s="1">
        <v>7.3749999999999996E-2</v>
      </c>
      <c r="H555" s="1">
        <v>38.769327117246327</v>
      </c>
      <c r="I555" s="1">
        <v>38.769327117246327</v>
      </c>
      <c r="J555" s="1" t="b">
        <v>1</v>
      </c>
      <c r="K555" s="1" t="b">
        <v>0</v>
      </c>
    </row>
    <row r="556" spans="1:11" ht="19" customHeight="1" x14ac:dyDescent="0.3">
      <c r="A556" t="s">
        <v>42</v>
      </c>
      <c r="B556" s="1">
        <v>46</v>
      </c>
      <c r="C556" s="1" t="s">
        <v>186</v>
      </c>
      <c r="D556" s="1">
        <v>15.89517657054013</v>
      </c>
      <c r="E556" s="1">
        <v>13.974197076992059</v>
      </c>
      <c r="F556" s="1">
        <v>5.0180502181754703E-2</v>
      </c>
      <c r="G556" s="1">
        <v>5.2636293472044599E-2</v>
      </c>
      <c r="H556" s="1">
        <v>38.78856805711559</v>
      </c>
      <c r="I556" s="1">
        <v>38.78856805711559</v>
      </c>
      <c r="J556" s="1" t="b">
        <v>1</v>
      </c>
      <c r="K556" s="1" t="b">
        <v>1</v>
      </c>
    </row>
    <row r="557" spans="1:11" ht="19" customHeight="1" x14ac:dyDescent="0.3">
      <c r="A557" t="s">
        <v>42</v>
      </c>
      <c r="B557" s="1">
        <v>46</v>
      </c>
      <c r="C557" s="1" t="s">
        <v>186</v>
      </c>
      <c r="D557" s="1">
        <v>16.769782315325969</v>
      </c>
      <c r="E557" s="1">
        <v>20.761638421166229</v>
      </c>
      <c r="F557" s="1">
        <v>3.7137018992593598E-2</v>
      </c>
      <c r="G557" s="1">
        <v>6.0502281364547002E-2</v>
      </c>
      <c r="H557" s="1">
        <v>38.815458198008969</v>
      </c>
      <c r="I557" s="1">
        <v>38.815458198008969</v>
      </c>
      <c r="J557" s="1" t="b">
        <v>1</v>
      </c>
      <c r="K557" s="1" t="b">
        <v>0</v>
      </c>
    </row>
    <row r="558" spans="1:11" ht="19" customHeight="1" x14ac:dyDescent="0.3">
      <c r="A558" t="s">
        <v>42</v>
      </c>
      <c r="B558" s="1">
        <v>46</v>
      </c>
      <c r="C558" s="1" t="s">
        <v>187</v>
      </c>
      <c r="D558" s="1">
        <v>13.75</v>
      </c>
      <c r="E558" s="1">
        <v>15</v>
      </c>
      <c r="F558" s="1">
        <v>4.7500000000000001E-2</v>
      </c>
      <c r="G558" s="1">
        <v>7.3749999999999996E-2</v>
      </c>
      <c r="H558" s="1">
        <v>38.816246330965797</v>
      </c>
      <c r="I558" s="1">
        <v>38.816246330965797</v>
      </c>
      <c r="J558" s="1" t="b">
        <v>1</v>
      </c>
      <c r="K558" s="1" t="b">
        <v>1</v>
      </c>
    </row>
    <row r="559" spans="1:11" ht="19" customHeight="1" x14ac:dyDescent="0.3">
      <c r="A559" t="s">
        <v>42</v>
      </c>
      <c r="B559" s="1">
        <v>46</v>
      </c>
      <c r="C559" s="1" t="s">
        <v>188</v>
      </c>
      <c r="D559" s="1">
        <v>10.64643260147222</v>
      </c>
      <c r="E559" s="1">
        <v>15.188264728688591</v>
      </c>
      <c r="F559" s="1">
        <v>3.0190555667735399E-2</v>
      </c>
      <c r="G559" s="1">
        <v>6.4534054744259606E-2</v>
      </c>
      <c r="H559" s="1">
        <v>38.852702777630959</v>
      </c>
      <c r="I559" s="1">
        <v>38.852702777630959</v>
      </c>
      <c r="J559" s="1" t="b">
        <v>1</v>
      </c>
      <c r="K559" s="1" t="b">
        <v>1</v>
      </c>
    </row>
    <row r="560" spans="1:11" ht="19" customHeight="1" x14ac:dyDescent="0.3">
      <c r="A560" t="s">
        <v>42</v>
      </c>
      <c r="B560" s="1">
        <v>46</v>
      </c>
      <c r="C560" s="1" t="s">
        <v>186</v>
      </c>
      <c r="D560" s="1">
        <v>11.40790056415916</v>
      </c>
      <c r="E560" s="1">
        <v>13.13019596238118</v>
      </c>
      <c r="F560" s="1">
        <v>2.5004039161580598E-2</v>
      </c>
      <c r="G560" s="1">
        <v>5.7441731840371303E-2</v>
      </c>
      <c r="H560" s="1">
        <v>38.885182917089821</v>
      </c>
      <c r="I560" s="1">
        <v>38.885182917089821</v>
      </c>
      <c r="J560" s="1" t="b">
        <v>1</v>
      </c>
      <c r="K560" s="1" t="b">
        <v>1</v>
      </c>
    </row>
    <row r="561" spans="1:11" ht="19" customHeight="1" x14ac:dyDescent="0.3">
      <c r="A561" t="s">
        <v>42</v>
      </c>
      <c r="B561" s="1">
        <v>46</v>
      </c>
      <c r="C561" s="1" t="s">
        <v>186</v>
      </c>
      <c r="D561" s="1">
        <v>15.871014246651431</v>
      </c>
      <c r="E561" s="1">
        <v>10.793542132565911</v>
      </c>
      <c r="F561" s="1">
        <v>3.6990897527693203E-2</v>
      </c>
      <c r="G561" s="1">
        <v>4.2132088369327601E-2</v>
      </c>
      <c r="H561" s="1">
        <v>38.897442203718199</v>
      </c>
      <c r="I561" s="1">
        <v>38.897442203718199</v>
      </c>
      <c r="J561" s="1" t="b">
        <v>1</v>
      </c>
      <c r="K561" s="1" t="b">
        <v>0</v>
      </c>
    </row>
    <row r="562" spans="1:11" ht="19" customHeight="1" x14ac:dyDescent="0.3">
      <c r="A562" t="s">
        <v>42</v>
      </c>
      <c r="B562" s="1">
        <v>46</v>
      </c>
      <c r="C562" s="1" t="s">
        <v>186</v>
      </c>
      <c r="D562" s="1">
        <v>16.29303887806574</v>
      </c>
      <c r="E562" s="1">
        <v>10.94784583533092</v>
      </c>
      <c r="F562" s="1">
        <v>2.7953633954523001E-2</v>
      </c>
      <c r="G562" s="1">
        <v>4.7382305971984201E-2</v>
      </c>
      <c r="H562" s="1">
        <v>38.909524755870677</v>
      </c>
      <c r="I562" s="1">
        <v>38.909524755870677</v>
      </c>
      <c r="J562" s="1" t="b">
        <v>1</v>
      </c>
      <c r="K562" s="1" t="b">
        <v>0</v>
      </c>
    </row>
    <row r="563" spans="1:11" ht="19" customHeight="1" x14ac:dyDescent="0.3">
      <c r="A563" t="s">
        <v>42</v>
      </c>
      <c r="B563" s="1">
        <v>46</v>
      </c>
      <c r="C563" s="1" t="s">
        <v>187</v>
      </c>
      <c r="D563" s="1">
        <v>21.25</v>
      </c>
      <c r="E563" s="1">
        <v>15</v>
      </c>
      <c r="F563" s="1">
        <v>4.7500000000000001E-2</v>
      </c>
      <c r="G563" s="1">
        <v>5.1249999999999997E-2</v>
      </c>
      <c r="H563" s="1">
        <v>38.914024985157461</v>
      </c>
      <c r="I563" s="1">
        <v>38.914024985157461</v>
      </c>
      <c r="J563" s="1" t="b">
        <v>1</v>
      </c>
      <c r="K563" s="1" t="b">
        <v>0</v>
      </c>
    </row>
    <row r="564" spans="1:11" ht="19" customHeight="1" x14ac:dyDescent="0.3">
      <c r="A564" t="s">
        <v>42</v>
      </c>
      <c r="B564" s="1">
        <v>46</v>
      </c>
      <c r="C564" s="1" t="s">
        <v>188</v>
      </c>
      <c r="D564" s="1">
        <v>24.540671699176482</v>
      </c>
      <c r="E564" s="1">
        <v>17.240860465209948</v>
      </c>
      <c r="F564" s="1">
        <v>3.6262452120990898E-2</v>
      </c>
      <c r="G564" s="1">
        <v>5.70305750240696E-2</v>
      </c>
      <c r="H564" s="1">
        <v>38.920160688453549</v>
      </c>
      <c r="I564" s="1">
        <v>38.920160688453549</v>
      </c>
      <c r="J564" s="1" t="b">
        <v>1</v>
      </c>
      <c r="K564" s="1" t="b">
        <v>0</v>
      </c>
    </row>
    <row r="565" spans="1:11" ht="19" customHeight="1" x14ac:dyDescent="0.3">
      <c r="A565" t="s">
        <v>42</v>
      </c>
      <c r="B565" s="1">
        <v>46</v>
      </c>
      <c r="C565" s="1" t="s">
        <v>186</v>
      </c>
      <c r="D565" s="1">
        <v>19.3967720360484</v>
      </c>
      <c r="E565" s="1">
        <v>21.20428801869204</v>
      </c>
      <c r="F565" s="1">
        <v>3.8233515980542997E-2</v>
      </c>
      <c r="G565" s="1">
        <v>7.5973576833741993E-2</v>
      </c>
      <c r="H565" s="1">
        <v>38.932768631598051</v>
      </c>
      <c r="I565" s="1">
        <v>38.932768631598051</v>
      </c>
      <c r="J565" s="1" t="b">
        <v>1</v>
      </c>
      <c r="K565" s="1" t="b">
        <v>0</v>
      </c>
    </row>
    <row r="566" spans="1:11" ht="19" customHeight="1" x14ac:dyDescent="0.3">
      <c r="A566" t="s">
        <v>42</v>
      </c>
      <c r="B566" s="1">
        <v>46</v>
      </c>
      <c r="C566" s="1" t="s">
        <v>186</v>
      </c>
      <c r="D566" s="1">
        <v>23.371788838360139</v>
      </c>
      <c r="E566" s="1">
        <v>20.10712453286018</v>
      </c>
      <c r="F566" s="1">
        <v>2.6987519243087201E-2</v>
      </c>
      <c r="G566" s="1">
        <v>5.4715783923858598E-2</v>
      </c>
      <c r="H566" s="1">
        <v>38.950689747807083</v>
      </c>
      <c r="I566" s="1">
        <v>38.950689747807083</v>
      </c>
      <c r="J566" s="1" t="b">
        <v>1</v>
      </c>
      <c r="K566" s="1" t="b">
        <v>0</v>
      </c>
    </row>
    <row r="567" spans="1:11" ht="19" customHeight="1" x14ac:dyDescent="0.3">
      <c r="A567" t="s">
        <v>42</v>
      </c>
      <c r="B567" s="1">
        <v>46</v>
      </c>
      <c r="C567" s="1" t="s">
        <v>188</v>
      </c>
      <c r="D567" s="1">
        <v>15.94658798304299</v>
      </c>
      <c r="E567" s="1">
        <v>20.532484005123852</v>
      </c>
      <c r="F567" s="1">
        <v>4.3740160492353498E-2</v>
      </c>
      <c r="G567" s="1">
        <v>7.1150346160489195E-2</v>
      </c>
      <c r="H567" s="1">
        <v>38.954121680948496</v>
      </c>
      <c r="I567" s="1">
        <v>38.954121680948496</v>
      </c>
      <c r="J567" s="1" t="b">
        <v>1</v>
      </c>
      <c r="K567" s="1" t="b">
        <v>0</v>
      </c>
    </row>
    <row r="568" spans="1:11" ht="19" customHeight="1" x14ac:dyDescent="0.3">
      <c r="A568" t="s">
        <v>42</v>
      </c>
      <c r="B568" s="1">
        <v>46</v>
      </c>
      <c r="C568" s="1" t="s">
        <v>187</v>
      </c>
      <c r="D568" s="1">
        <v>21.25</v>
      </c>
      <c r="E568" s="1">
        <v>15</v>
      </c>
      <c r="F568" s="1">
        <v>4.7500000000000001E-2</v>
      </c>
      <c r="G568" s="1">
        <v>7.3749999999999996E-2</v>
      </c>
      <c r="H568" s="1">
        <v>38.999784388863567</v>
      </c>
      <c r="I568" s="1">
        <v>38.999784388863567</v>
      </c>
      <c r="J568" s="1" t="b">
        <v>1</v>
      </c>
      <c r="K568" s="1" t="b">
        <v>0</v>
      </c>
    </row>
    <row r="569" spans="1:11" ht="19" customHeight="1" x14ac:dyDescent="0.3">
      <c r="A569" t="s">
        <v>42</v>
      </c>
      <c r="B569" s="1">
        <v>46</v>
      </c>
      <c r="C569" s="1" t="s">
        <v>186</v>
      </c>
      <c r="D569" s="1">
        <v>24.200884285700202</v>
      </c>
      <c r="E569" s="1">
        <v>16.00263505856681</v>
      </c>
      <c r="F569" s="1">
        <v>3.2250777616770199E-2</v>
      </c>
      <c r="G569" s="1">
        <v>4.4052439009646303E-2</v>
      </c>
      <c r="H569" s="1">
        <v>39.057698730877583</v>
      </c>
      <c r="I569" s="1">
        <v>39.057698730877583</v>
      </c>
      <c r="J569" s="1" t="b">
        <v>1</v>
      </c>
      <c r="K569" s="1" t="b">
        <v>0</v>
      </c>
    </row>
    <row r="570" spans="1:11" ht="19" customHeight="1" x14ac:dyDescent="0.3">
      <c r="A570" t="s">
        <v>42</v>
      </c>
      <c r="B570" s="1">
        <v>46</v>
      </c>
      <c r="C570" s="1" t="s">
        <v>186</v>
      </c>
      <c r="D570" s="1">
        <v>14.721239259624721</v>
      </c>
      <c r="E570" s="1">
        <v>13.068754898658471</v>
      </c>
      <c r="F570" s="1">
        <v>2.5466955796592E-2</v>
      </c>
      <c r="G570" s="1">
        <v>8.33822507206438E-2</v>
      </c>
      <c r="H570" s="1">
        <v>39.077836079314743</v>
      </c>
      <c r="I570" s="1">
        <v>39.077836079314743</v>
      </c>
      <c r="J570" s="1" t="b">
        <v>1</v>
      </c>
      <c r="K570" s="1" t="b">
        <v>1</v>
      </c>
    </row>
    <row r="571" spans="1:11" ht="19" customHeight="1" x14ac:dyDescent="0.3">
      <c r="A571" t="s">
        <v>42</v>
      </c>
      <c r="B571" s="1">
        <v>46</v>
      </c>
      <c r="C571" s="1" t="s">
        <v>188</v>
      </c>
      <c r="D571" s="1">
        <v>14.99696471507405</v>
      </c>
      <c r="E571" s="1">
        <v>22.042428653646059</v>
      </c>
      <c r="F571" s="1">
        <v>3.3535182711529297E-2</v>
      </c>
      <c r="G571" s="1">
        <v>4.0896146243056E-2</v>
      </c>
      <c r="H571" s="1">
        <v>39.089972033631867</v>
      </c>
      <c r="I571" s="1">
        <v>39.089972033631867</v>
      </c>
      <c r="J571" s="1" t="b">
        <v>1</v>
      </c>
      <c r="K571" s="1" t="b">
        <v>0</v>
      </c>
    </row>
    <row r="572" spans="1:11" ht="19" customHeight="1" x14ac:dyDescent="0.3">
      <c r="A572" t="s">
        <v>42</v>
      </c>
      <c r="B572" s="1">
        <v>46</v>
      </c>
      <c r="C572" s="1" t="s">
        <v>186</v>
      </c>
      <c r="D572" s="1">
        <v>13.21220292912394</v>
      </c>
      <c r="E572" s="1">
        <v>21.43623612697488</v>
      </c>
      <c r="F572" s="1">
        <v>4.3136078056909902E-2</v>
      </c>
      <c r="G572" s="1">
        <v>7.14862955220949E-2</v>
      </c>
      <c r="H572" s="1">
        <v>39.091850253932563</v>
      </c>
      <c r="I572" s="1">
        <v>39.091850253932563</v>
      </c>
      <c r="J572" s="1" t="b">
        <v>1</v>
      </c>
      <c r="K572" s="1" t="b">
        <v>0</v>
      </c>
    </row>
    <row r="573" spans="1:11" ht="19" customHeight="1" x14ac:dyDescent="0.3">
      <c r="A573" t="s">
        <v>42</v>
      </c>
      <c r="B573" s="1">
        <v>46</v>
      </c>
      <c r="C573" s="1" t="s">
        <v>185</v>
      </c>
      <c r="D573" s="1">
        <v>15.155085743584269</v>
      </c>
      <c r="E573" s="1">
        <v>22.360679774997891</v>
      </c>
      <c r="F573" s="1">
        <v>3.8909805125399703E-2</v>
      </c>
      <c r="G573" s="1">
        <v>4.5937293337999299E-2</v>
      </c>
      <c r="H573" s="1">
        <v>39.098522214943777</v>
      </c>
      <c r="I573" s="1">
        <v>39.098522214943777</v>
      </c>
      <c r="J573" s="1" t="b">
        <v>1</v>
      </c>
      <c r="K573" s="1" t="b">
        <v>0</v>
      </c>
    </row>
    <row r="574" spans="1:11" ht="19" customHeight="1" x14ac:dyDescent="0.3">
      <c r="A574" t="s">
        <v>42</v>
      </c>
      <c r="B574" s="1">
        <v>46</v>
      </c>
      <c r="C574" s="1" t="s">
        <v>186</v>
      </c>
      <c r="D574" s="1">
        <v>10.28229885984018</v>
      </c>
      <c r="E574" s="1">
        <v>16.624884812526918</v>
      </c>
      <c r="F574" s="1">
        <v>3.2851733336479401E-2</v>
      </c>
      <c r="G574" s="1">
        <v>4.5863803622860001E-2</v>
      </c>
      <c r="H574" s="1">
        <v>39.121918761321922</v>
      </c>
      <c r="I574" s="1">
        <v>39.121918761321922</v>
      </c>
      <c r="J574" s="1" t="b">
        <v>1</v>
      </c>
      <c r="K574" s="1" t="b">
        <v>0</v>
      </c>
    </row>
    <row r="575" spans="1:11" ht="19" customHeight="1" x14ac:dyDescent="0.3">
      <c r="A575" t="s">
        <v>42</v>
      </c>
      <c r="B575" s="1">
        <v>46</v>
      </c>
      <c r="C575" s="1" t="s">
        <v>188</v>
      </c>
      <c r="D575" s="1">
        <v>11.49756727987962</v>
      </c>
      <c r="E575" s="1">
        <v>19.82206382269877</v>
      </c>
      <c r="F575" s="1">
        <v>2.90033063846038E-2</v>
      </c>
      <c r="G575" s="1">
        <v>7.0495967790905598E-2</v>
      </c>
      <c r="H575" s="1">
        <v>39.129276993997607</v>
      </c>
      <c r="I575" s="1">
        <v>39.129276993997607</v>
      </c>
      <c r="J575" s="1" t="b">
        <v>1</v>
      </c>
      <c r="K575" s="1" t="b">
        <v>0</v>
      </c>
    </row>
    <row r="576" spans="1:11" ht="19" customHeight="1" x14ac:dyDescent="0.3">
      <c r="A576" t="s">
        <v>42</v>
      </c>
      <c r="B576" s="1">
        <v>46</v>
      </c>
      <c r="C576" s="1" t="s">
        <v>188</v>
      </c>
      <c r="D576" s="1">
        <v>16.346147904870389</v>
      </c>
      <c r="E576" s="1">
        <v>23.519361465184211</v>
      </c>
      <c r="F576" s="1">
        <v>3.4874650864780303E-2</v>
      </c>
      <c r="G576" s="1">
        <v>6.3526693291505107E-2</v>
      </c>
      <c r="H576" s="1">
        <v>39.151681440934169</v>
      </c>
      <c r="I576" s="1">
        <v>39.151681440934169</v>
      </c>
      <c r="J576" s="1" t="b">
        <v>1</v>
      </c>
      <c r="K576" s="1" t="b">
        <v>0</v>
      </c>
    </row>
    <row r="577" spans="1:11" ht="19" customHeight="1" x14ac:dyDescent="0.3">
      <c r="A577" t="s">
        <v>42</v>
      </c>
      <c r="B577" s="1">
        <v>46</v>
      </c>
      <c r="C577" s="1" t="s">
        <v>186</v>
      </c>
      <c r="D577" s="1">
        <v>17.815542978180371</v>
      </c>
      <c r="E577" s="1">
        <v>22.817407139056339</v>
      </c>
      <c r="F577" s="1">
        <v>3.9454606203953198E-2</v>
      </c>
      <c r="G577" s="1">
        <v>7.7178361217618105E-2</v>
      </c>
      <c r="H577" s="1">
        <v>39.208627280841547</v>
      </c>
      <c r="I577" s="1">
        <v>39.208627280841547</v>
      </c>
      <c r="J577" s="1" t="b">
        <v>1</v>
      </c>
      <c r="K577" s="1" t="b">
        <v>0</v>
      </c>
    </row>
    <row r="578" spans="1:11" ht="19" customHeight="1" x14ac:dyDescent="0.3">
      <c r="A578" t="s">
        <v>42</v>
      </c>
      <c r="B578" s="1">
        <v>46</v>
      </c>
      <c r="C578" s="1" t="s">
        <v>187</v>
      </c>
      <c r="D578" s="1">
        <v>21.25</v>
      </c>
      <c r="E578" s="1">
        <v>25</v>
      </c>
      <c r="F578" s="1">
        <v>3.2500000000000001E-2</v>
      </c>
      <c r="G578" s="1">
        <v>5.1249999999999997E-2</v>
      </c>
      <c r="H578" s="1">
        <v>39.217535001771303</v>
      </c>
      <c r="I578" s="1">
        <v>39.217535001771303</v>
      </c>
      <c r="J578" s="1" t="b">
        <v>1</v>
      </c>
      <c r="K578" s="1" t="b">
        <v>0</v>
      </c>
    </row>
    <row r="579" spans="1:11" ht="19" customHeight="1" x14ac:dyDescent="0.3">
      <c r="A579" t="s">
        <v>42</v>
      </c>
      <c r="B579" s="1">
        <v>46</v>
      </c>
      <c r="C579" s="1" t="s">
        <v>187</v>
      </c>
      <c r="D579" s="1">
        <v>21.25</v>
      </c>
      <c r="E579" s="1">
        <v>25</v>
      </c>
      <c r="F579" s="1">
        <v>3.2500000000000001E-2</v>
      </c>
      <c r="G579" s="1">
        <v>7.3749999999999996E-2</v>
      </c>
      <c r="H579" s="1">
        <v>39.281426296960213</v>
      </c>
      <c r="I579" s="1">
        <v>39.281426296960213</v>
      </c>
      <c r="J579" s="1" t="b">
        <v>1</v>
      </c>
      <c r="K579" s="1" t="b">
        <v>0</v>
      </c>
    </row>
    <row r="580" spans="1:11" ht="19" customHeight="1" x14ac:dyDescent="0.3">
      <c r="A580" t="s">
        <v>42</v>
      </c>
      <c r="B580" s="1">
        <v>46</v>
      </c>
      <c r="C580" s="1" t="s">
        <v>186</v>
      </c>
      <c r="D580" s="1">
        <v>22.575974816916791</v>
      </c>
      <c r="E580" s="1">
        <v>25.84796239371186</v>
      </c>
      <c r="F580" s="1">
        <v>3.2250777616770199E-2</v>
      </c>
      <c r="G580" s="1">
        <v>5.7331300804427103E-2</v>
      </c>
      <c r="H580" s="1">
        <v>39.336178202111469</v>
      </c>
      <c r="I580" s="1">
        <v>39.336178202111469</v>
      </c>
      <c r="J580" s="1" t="b">
        <v>1</v>
      </c>
      <c r="K580" s="1" t="b">
        <v>0</v>
      </c>
    </row>
    <row r="581" spans="1:11" ht="19" customHeight="1" x14ac:dyDescent="0.3">
      <c r="A581" t="s">
        <v>42</v>
      </c>
      <c r="B581" s="1">
        <v>46</v>
      </c>
      <c r="C581" s="1" t="s">
        <v>188</v>
      </c>
      <c r="D581" s="1">
        <v>24.163998778305452</v>
      </c>
      <c r="E581" s="1">
        <v>23.743988491527979</v>
      </c>
      <c r="F581" s="1">
        <v>4.9318699642607003E-2</v>
      </c>
      <c r="G581" s="1">
        <v>4.6801138098799502E-2</v>
      </c>
      <c r="H581" s="1">
        <v>39.389929764062813</v>
      </c>
      <c r="I581" s="1">
        <v>39.389929764062813</v>
      </c>
      <c r="J581" s="1" t="b">
        <v>1</v>
      </c>
      <c r="K581" s="1" t="b">
        <v>0</v>
      </c>
    </row>
    <row r="582" spans="1:11" ht="19" customHeight="1" x14ac:dyDescent="0.3">
      <c r="A582" t="s">
        <v>42</v>
      </c>
      <c r="B582" s="1">
        <v>46</v>
      </c>
      <c r="C582" s="1" t="s">
        <v>187</v>
      </c>
      <c r="D582" s="1">
        <v>21.25</v>
      </c>
      <c r="E582" s="1">
        <v>25</v>
      </c>
      <c r="F582" s="1">
        <v>4.7500000000000001E-2</v>
      </c>
      <c r="G582" s="1">
        <v>5.1249999999999997E-2</v>
      </c>
      <c r="H582" s="1">
        <v>39.398488355266039</v>
      </c>
      <c r="I582" s="1">
        <v>39.398488355266039</v>
      </c>
      <c r="J582" s="1" t="b">
        <v>1</v>
      </c>
      <c r="K582" s="1" t="b">
        <v>0</v>
      </c>
    </row>
    <row r="583" spans="1:11" ht="19" customHeight="1" x14ac:dyDescent="0.3">
      <c r="A583" t="s">
        <v>42</v>
      </c>
      <c r="B583" s="1">
        <v>46</v>
      </c>
      <c r="C583" s="1" t="s">
        <v>186</v>
      </c>
      <c r="D583" s="1">
        <v>17.7202659912112</v>
      </c>
      <c r="E583" s="1">
        <v>10.40606288330804</v>
      </c>
      <c r="F583" s="1">
        <v>4.4876295112041699E-2</v>
      </c>
      <c r="G583" s="1">
        <v>8.1339092057143306E-2</v>
      </c>
      <c r="H583" s="1">
        <v>39.410198974683617</v>
      </c>
      <c r="I583" s="1">
        <v>39.410198974683617</v>
      </c>
      <c r="J583" s="1" t="b">
        <v>1</v>
      </c>
      <c r="K583" s="1" t="b">
        <v>1</v>
      </c>
    </row>
    <row r="584" spans="1:11" ht="19" customHeight="1" x14ac:dyDescent="0.3">
      <c r="A584" t="s">
        <v>42</v>
      </c>
      <c r="B584" s="1">
        <v>46</v>
      </c>
      <c r="C584" s="1" t="s">
        <v>187</v>
      </c>
      <c r="D584" s="1">
        <v>13.75</v>
      </c>
      <c r="E584" s="1">
        <v>25</v>
      </c>
      <c r="F584" s="1">
        <v>3.2500000000000001E-2</v>
      </c>
      <c r="G584" s="1">
        <v>5.1249999999999997E-2</v>
      </c>
      <c r="H584" s="1">
        <v>39.414163755620557</v>
      </c>
      <c r="I584" s="1">
        <v>39.414163755620557</v>
      </c>
      <c r="J584" s="1" t="b">
        <v>1</v>
      </c>
      <c r="K584" s="1" t="b">
        <v>0</v>
      </c>
    </row>
    <row r="585" spans="1:11" ht="19" customHeight="1" x14ac:dyDescent="0.3">
      <c r="A585" t="s">
        <v>42</v>
      </c>
      <c r="B585" s="1">
        <v>46</v>
      </c>
      <c r="C585" s="1" t="s">
        <v>188</v>
      </c>
      <c r="D585" s="1">
        <v>23.963530351227678</v>
      </c>
      <c r="E585" s="1">
        <v>22.364304585083179</v>
      </c>
      <c r="F585" s="1">
        <v>5.2061614274479501E-2</v>
      </c>
      <c r="G585" s="1">
        <v>4.9070942398709003E-2</v>
      </c>
      <c r="H585" s="1">
        <v>39.421346466641523</v>
      </c>
      <c r="I585" s="1">
        <v>39.421346466641523</v>
      </c>
      <c r="J585" s="1" t="b">
        <v>1</v>
      </c>
      <c r="K585" s="1" t="b">
        <v>0</v>
      </c>
    </row>
    <row r="586" spans="1:11" ht="19" customHeight="1" x14ac:dyDescent="0.3">
      <c r="A586" t="s">
        <v>42</v>
      </c>
      <c r="B586" s="1">
        <v>46</v>
      </c>
      <c r="C586" s="1" t="s">
        <v>186</v>
      </c>
      <c r="D586" s="1">
        <v>18.739176274678169</v>
      </c>
      <c r="E586" s="1">
        <v>10.95267508870573</v>
      </c>
      <c r="F586" s="1">
        <v>2.95386106564915E-2</v>
      </c>
      <c r="G586" s="1">
        <v>8.4936963211292696E-2</v>
      </c>
      <c r="H586" s="1">
        <v>39.425286302440767</v>
      </c>
      <c r="I586" s="1">
        <v>39.425286302440767</v>
      </c>
      <c r="J586" s="1" t="b">
        <v>1</v>
      </c>
      <c r="K586" s="1" t="b">
        <v>0</v>
      </c>
    </row>
    <row r="587" spans="1:11" ht="19" customHeight="1" x14ac:dyDescent="0.3">
      <c r="A587" t="s">
        <v>42</v>
      </c>
      <c r="B587" s="1">
        <v>46</v>
      </c>
      <c r="C587" s="1" t="s">
        <v>186</v>
      </c>
      <c r="D587" s="1">
        <v>21.349897047897159</v>
      </c>
      <c r="E587" s="1">
        <v>26.38393149393562</v>
      </c>
      <c r="F587" s="1">
        <v>3.3240309904712703E-2</v>
      </c>
      <c r="G587" s="1">
        <v>6.8065914788534895E-2</v>
      </c>
      <c r="H587" s="1">
        <v>39.427578364993138</v>
      </c>
      <c r="I587" s="1">
        <v>39.427578364993138</v>
      </c>
      <c r="J587" s="1" t="b">
        <v>1</v>
      </c>
      <c r="K587" s="1" t="b">
        <v>0</v>
      </c>
    </row>
    <row r="588" spans="1:11" ht="19" customHeight="1" x14ac:dyDescent="0.3">
      <c r="A588" t="s">
        <v>42</v>
      </c>
      <c r="B588" s="1">
        <v>46</v>
      </c>
      <c r="C588" s="1" t="s">
        <v>188</v>
      </c>
      <c r="D588" s="1">
        <v>11.492287163762439</v>
      </c>
      <c r="E588" s="1">
        <v>24.88420459741484</v>
      </c>
      <c r="F588" s="1">
        <v>3.3036470935217999E-2</v>
      </c>
      <c r="G588" s="1">
        <v>6.2160583022893699E-2</v>
      </c>
      <c r="H588" s="1">
        <v>39.434780889818043</v>
      </c>
      <c r="I588" s="1">
        <v>39.434780889818043</v>
      </c>
      <c r="J588" s="1" t="b">
        <v>1</v>
      </c>
      <c r="K588" s="1" t="b">
        <v>0</v>
      </c>
    </row>
    <row r="589" spans="1:11" ht="19" customHeight="1" x14ac:dyDescent="0.3">
      <c r="A589" t="s">
        <v>42</v>
      </c>
      <c r="B589" s="1">
        <v>46</v>
      </c>
      <c r="C589" s="1" t="s">
        <v>188</v>
      </c>
      <c r="D589" s="1">
        <v>23.872734361619379</v>
      </c>
      <c r="E589" s="1">
        <v>25.588430336314619</v>
      </c>
      <c r="F589" s="1">
        <v>3.5025442966835199E-2</v>
      </c>
      <c r="G589" s="1">
        <v>4.0646899519611403E-2</v>
      </c>
      <c r="H589" s="1">
        <v>39.451278544602367</v>
      </c>
      <c r="I589" s="1">
        <v>39.451278544602367</v>
      </c>
      <c r="J589" s="1" t="b">
        <v>1</v>
      </c>
      <c r="K589" s="1" t="b">
        <v>0</v>
      </c>
    </row>
    <row r="590" spans="1:11" ht="19" customHeight="1" x14ac:dyDescent="0.3">
      <c r="A590" t="s">
        <v>42</v>
      </c>
      <c r="B590" s="1">
        <v>46</v>
      </c>
      <c r="C590" s="1" t="s">
        <v>187</v>
      </c>
      <c r="D590" s="1">
        <v>13.75</v>
      </c>
      <c r="E590" s="1">
        <v>25</v>
      </c>
      <c r="F590" s="1">
        <v>3.2500000000000001E-2</v>
      </c>
      <c r="G590" s="1">
        <v>7.3749999999999996E-2</v>
      </c>
      <c r="H590" s="1">
        <v>39.48653461895065</v>
      </c>
      <c r="I590" s="1">
        <v>39.48653461895065</v>
      </c>
      <c r="J590" s="1" t="b">
        <v>1</v>
      </c>
      <c r="K590" s="1" t="b">
        <v>0</v>
      </c>
    </row>
    <row r="591" spans="1:11" ht="19" customHeight="1" x14ac:dyDescent="0.3">
      <c r="A591" t="s">
        <v>42</v>
      </c>
      <c r="B591" s="1">
        <v>46</v>
      </c>
      <c r="C591" s="1" t="s">
        <v>186</v>
      </c>
      <c r="D591" s="1">
        <v>23.9086109959966</v>
      </c>
      <c r="E591" s="1">
        <v>23.634644613969709</v>
      </c>
      <c r="F591" s="1">
        <v>5.40887241566404E-2</v>
      </c>
      <c r="G591" s="1">
        <v>5.5109343656329697E-2</v>
      </c>
      <c r="H591" s="1">
        <v>39.490042605586737</v>
      </c>
      <c r="I591" s="1">
        <v>39.490042605586737</v>
      </c>
      <c r="J591" s="1" t="b">
        <v>1</v>
      </c>
      <c r="K591" s="1" t="b">
        <v>0</v>
      </c>
    </row>
    <row r="592" spans="1:11" ht="19" customHeight="1" x14ac:dyDescent="0.3">
      <c r="A592" t="s">
        <v>42</v>
      </c>
      <c r="B592" s="1">
        <v>46</v>
      </c>
      <c r="C592" s="1" t="s">
        <v>187</v>
      </c>
      <c r="D592" s="1">
        <v>21.25</v>
      </c>
      <c r="E592" s="1">
        <v>25</v>
      </c>
      <c r="F592" s="1">
        <v>4.7500000000000001E-2</v>
      </c>
      <c r="G592" s="1">
        <v>7.3749999999999996E-2</v>
      </c>
      <c r="H592" s="1">
        <v>39.500017332607356</v>
      </c>
      <c r="I592" s="1">
        <v>39.500017332607356</v>
      </c>
      <c r="J592" s="1" t="b">
        <v>1</v>
      </c>
      <c r="K592" s="1" t="b">
        <v>0</v>
      </c>
    </row>
    <row r="593" spans="1:12" ht="19" customHeight="1" x14ac:dyDescent="0.3">
      <c r="A593" t="s">
        <v>42</v>
      </c>
      <c r="B593" s="1">
        <v>46</v>
      </c>
      <c r="C593" s="1" t="s">
        <v>188</v>
      </c>
      <c r="D593" s="1">
        <v>11.311822219053511</v>
      </c>
      <c r="E593" s="1">
        <v>22.367478289193109</v>
      </c>
      <c r="F593" s="1">
        <v>3.8598458458210402E-2</v>
      </c>
      <c r="G593" s="1">
        <v>8.0656972730081905E-2</v>
      </c>
      <c r="H593" s="1">
        <v>39.519529380710793</v>
      </c>
      <c r="I593" s="1">
        <v>39.519529380710793</v>
      </c>
      <c r="J593" s="1" t="b">
        <v>1</v>
      </c>
      <c r="K593" s="1" t="b">
        <v>0</v>
      </c>
    </row>
    <row r="594" spans="1:12" ht="19" customHeight="1" x14ac:dyDescent="0.3">
      <c r="A594" t="s">
        <v>42</v>
      </c>
      <c r="B594" s="1">
        <v>46</v>
      </c>
      <c r="C594" s="1" t="s">
        <v>186</v>
      </c>
      <c r="D594" s="1">
        <v>13.77628541672753</v>
      </c>
      <c r="E594" s="1">
        <v>26.38393149393562</v>
      </c>
      <c r="F594" s="1">
        <v>3.5056356894260399E-2</v>
      </c>
      <c r="G594" s="1">
        <v>7.0483424011776402E-2</v>
      </c>
      <c r="H594" s="1">
        <v>39.570920329255962</v>
      </c>
      <c r="I594" s="1">
        <v>39.570920329255962</v>
      </c>
      <c r="J594" s="1" t="b">
        <v>1</v>
      </c>
      <c r="K594" s="1" t="b">
        <v>0</v>
      </c>
    </row>
    <row r="595" spans="1:12" ht="19" customHeight="1" x14ac:dyDescent="0.3">
      <c r="A595" t="s">
        <v>42</v>
      </c>
      <c r="B595" s="1">
        <v>46</v>
      </c>
      <c r="C595" s="1" t="s">
        <v>188</v>
      </c>
      <c r="D595" s="1">
        <v>17.671652681548149</v>
      </c>
      <c r="E595" s="1">
        <v>24.970154373250072</v>
      </c>
      <c r="F595" s="1">
        <v>5.1414744328186199E-2</v>
      </c>
      <c r="G595" s="1">
        <v>6.2461598882392402E-2</v>
      </c>
      <c r="H595" s="1">
        <v>39.574451334477047</v>
      </c>
      <c r="I595" s="1">
        <v>39.574451334477047</v>
      </c>
      <c r="J595" s="1" t="b">
        <v>1</v>
      </c>
      <c r="K595" s="1" t="b">
        <v>0</v>
      </c>
    </row>
    <row r="596" spans="1:12" ht="19" customHeight="1" x14ac:dyDescent="0.3">
      <c r="A596" t="s">
        <v>42</v>
      </c>
      <c r="B596" s="1">
        <v>46</v>
      </c>
      <c r="C596" s="1" t="s">
        <v>187</v>
      </c>
      <c r="D596" s="1">
        <v>13.75</v>
      </c>
      <c r="E596" s="1">
        <v>25</v>
      </c>
      <c r="F596" s="1">
        <v>4.7500000000000001E-2</v>
      </c>
      <c r="G596" s="1">
        <v>5.1249999999999997E-2</v>
      </c>
      <c r="H596" s="1">
        <v>39.606000742512343</v>
      </c>
      <c r="I596" s="1">
        <v>39.606000742512343</v>
      </c>
      <c r="J596" s="1" t="b">
        <v>1</v>
      </c>
      <c r="K596" s="1" t="b">
        <v>0</v>
      </c>
    </row>
    <row r="597" spans="1:12" ht="19" customHeight="1" x14ac:dyDescent="0.3">
      <c r="A597" t="s">
        <v>42</v>
      </c>
      <c r="B597" s="1">
        <v>46</v>
      </c>
      <c r="C597" s="1" t="s">
        <v>187</v>
      </c>
      <c r="D597" s="1">
        <v>13.75</v>
      </c>
      <c r="E597" s="1">
        <v>25</v>
      </c>
      <c r="F597" s="1">
        <v>4.7500000000000001E-2</v>
      </c>
      <c r="G597" s="1">
        <v>7.3749999999999996E-2</v>
      </c>
      <c r="H597" s="1">
        <v>39.67032275502433</v>
      </c>
      <c r="I597" s="1">
        <v>39.67032275502433</v>
      </c>
      <c r="J597" s="1" t="b">
        <v>1</v>
      </c>
      <c r="K597" s="1" t="b">
        <v>0</v>
      </c>
    </row>
    <row r="598" spans="1:12" ht="19" customHeight="1" x14ac:dyDescent="0.3">
      <c r="A598" t="s">
        <v>42</v>
      </c>
      <c r="B598" s="1">
        <v>46</v>
      </c>
      <c r="C598" s="1" t="s">
        <v>188</v>
      </c>
      <c r="D598" s="1">
        <v>13.77527691379084</v>
      </c>
      <c r="E598" s="1">
        <v>26.858546493215869</v>
      </c>
      <c r="F598" s="1">
        <v>2.52121438595738E-2</v>
      </c>
      <c r="G598" s="1">
        <v>4.8149615501917202E-2</v>
      </c>
      <c r="H598" s="1">
        <v>39.706419959201398</v>
      </c>
      <c r="I598" s="1">
        <v>39.706419959201398</v>
      </c>
      <c r="J598" s="1" t="b">
        <v>1</v>
      </c>
      <c r="K598" s="1" t="b">
        <v>0</v>
      </c>
    </row>
    <row r="599" spans="1:12" ht="19" customHeight="1" x14ac:dyDescent="0.3">
      <c r="A599" t="s">
        <v>42</v>
      </c>
      <c r="B599" s="1">
        <v>46</v>
      </c>
      <c r="C599" s="1" t="s">
        <v>186</v>
      </c>
      <c r="D599" s="1">
        <v>18.45114381981093</v>
      </c>
      <c r="E599" s="1">
        <v>28.26254145081624</v>
      </c>
      <c r="F599" s="1">
        <v>3.3731847282003603E-2</v>
      </c>
      <c r="G599" s="1">
        <v>4.8956113420801799E-2</v>
      </c>
      <c r="H599" s="1">
        <v>39.748283670417337</v>
      </c>
      <c r="I599" s="1">
        <v>39.748283670417337</v>
      </c>
      <c r="J599" s="1" t="b">
        <v>1</v>
      </c>
      <c r="K599" s="1" t="b">
        <v>0</v>
      </c>
    </row>
    <row r="600" spans="1:12" ht="19" customHeight="1" x14ac:dyDescent="0.3">
      <c r="A600" t="s">
        <v>42</v>
      </c>
      <c r="B600" s="1">
        <v>46</v>
      </c>
      <c r="C600" s="1" t="s">
        <v>186</v>
      </c>
      <c r="D600" s="1">
        <v>12.73067714681425</v>
      </c>
      <c r="E600" s="1">
        <v>27.507343400062801</v>
      </c>
      <c r="F600" s="1">
        <v>2.6955372715660401E-2</v>
      </c>
      <c r="G600" s="1">
        <v>5.7739954176059802E-2</v>
      </c>
      <c r="H600" s="1">
        <v>39.758872112036457</v>
      </c>
      <c r="I600" s="1">
        <v>39.758872112036457</v>
      </c>
      <c r="J600" s="1" t="b">
        <v>1</v>
      </c>
      <c r="K600" s="1" t="b">
        <v>0</v>
      </c>
    </row>
    <row r="601" spans="1:12" ht="19" customHeight="1" x14ac:dyDescent="0.3">
      <c r="A601" t="s">
        <v>42</v>
      </c>
      <c r="B601" s="1">
        <v>46</v>
      </c>
      <c r="C601" s="1" t="s">
        <v>186</v>
      </c>
      <c r="D601" s="1">
        <v>17.7202659912112</v>
      </c>
      <c r="E601" s="1">
        <v>25.650987000486079</v>
      </c>
      <c r="F601" s="1">
        <v>5.1528105428393797E-2</v>
      </c>
      <c r="G601" s="1">
        <v>8.1339092057143306E-2</v>
      </c>
      <c r="H601" s="1">
        <v>39.825852088950363</v>
      </c>
      <c r="I601" s="1">
        <v>39.825852088950363</v>
      </c>
      <c r="J601" s="1" t="b">
        <v>1</v>
      </c>
      <c r="K601" s="1" t="b">
        <v>0</v>
      </c>
    </row>
    <row r="602" spans="1:12" ht="19" customHeight="1" x14ac:dyDescent="0.3">
      <c r="A602" t="s">
        <v>42</v>
      </c>
      <c r="B602" s="1">
        <v>46</v>
      </c>
      <c r="C602" s="1" t="s">
        <v>186</v>
      </c>
      <c r="D602" s="1">
        <v>13.847569747481209</v>
      </c>
      <c r="E602" s="1">
        <v>28.052164338081049</v>
      </c>
      <c r="F602" s="1">
        <v>3.1598381527758297E-2</v>
      </c>
      <c r="G602" s="1">
        <v>6.8324580928644907E-2</v>
      </c>
      <c r="H602" s="1">
        <v>39.838425220110253</v>
      </c>
      <c r="I602" s="1">
        <v>39.838425220110253</v>
      </c>
      <c r="J602" s="1" t="b">
        <v>1</v>
      </c>
      <c r="K602" s="1" t="b">
        <v>0</v>
      </c>
    </row>
    <row r="603" spans="1:12" ht="19" customHeight="1" x14ac:dyDescent="0.3">
      <c r="A603" t="s">
        <v>42</v>
      </c>
      <c r="B603" s="1">
        <v>46</v>
      </c>
      <c r="C603" s="1" t="s">
        <v>188</v>
      </c>
      <c r="D603" s="1">
        <v>16.768821864814239</v>
      </c>
      <c r="E603" s="1">
        <v>29.134959584803791</v>
      </c>
      <c r="F603" s="1">
        <v>4.0327347424610298E-2</v>
      </c>
      <c r="G603" s="1">
        <v>6.0222413051938997E-2</v>
      </c>
      <c r="H603" s="1">
        <v>39.901381757086533</v>
      </c>
      <c r="I603" s="1">
        <v>39.901381757086533</v>
      </c>
      <c r="J603" s="1" t="b">
        <v>1</v>
      </c>
      <c r="K603" s="1" t="b">
        <v>0</v>
      </c>
    </row>
    <row r="604" spans="1:12" ht="19" customHeight="1" x14ac:dyDescent="0.3">
      <c r="A604" t="s">
        <v>42</v>
      </c>
      <c r="B604" s="1">
        <v>46</v>
      </c>
      <c r="C604" s="1" t="s">
        <v>186</v>
      </c>
      <c r="D604" s="1">
        <v>11.2310096271547</v>
      </c>
      <c r="E604" s="1">
        <v>24.069666779760439</v>
      </c>
      <c r="F604" s="1">
        <v>5.0180502181754703E-2</v>
      </c>
      <c r="G604" s="1">
        <v>4.9347810138158102E-2</v>
      </c>
      <c r="H604" s="1">
        <v>39.945865929278327</v>
      </c>
      <c r="I604" s="1">
        <v>39.945865929278327</v>
      </c>
      <c r="J604" s="1" t="b">
        <v>1</v>
      </c>
      <c r="K604" s="1" t="b">
        <v>0</v>
      </c>
    </row>
    <row r="605" spans="1:12" ht="19" customHeight="1" x14ac:dyDescent="0.3">
      <c r="A605" t="s">
        <v>42</v>
      </c>
      <c r="B605" s="1">
        <v>46</v>
      </c>
      <c r="C605" s="1" t="s">
        <v>188</v>
      </c>
      <c r="D605" s="1">
        <v>10.833106400655151</v>
      </c>
      <c r="E605" s="1">
        <v>24.676535767299619</v>
      </c>
      <c r="F605" s="1">
        <v>4.4599303537597397E-2</v>
      </c>
      <c r="G605" s="1">
        <v>8.0500082533374803E-2</v>
      </c>
      <c r="H605" s="1">
        <v>39.95361826120098</v>
      </c>
      <c r="I605" s="1">
        <v>39.95361826120098</v>
      </c>
      <c r="J605" s="1" t="b">
        <v>1</v>
      </c>
      <c r="K605" s="1" t="b">
        <v>0</v>
      </c>
    </row>
    <row r="606" spans="1:12" ht="19" customHeight="1" x14ac:dyDescent="0.3">
      <c r="A606" t="s">
        <v>42</v>
      </c>
      <c r="B606" s="1">
        <v>46</v>
      </c>
      <c r="C606" s="1" t="s">
        <v>188</v>
      </c>
      <c r="D606" s="1">
        <v>19.329280548787359</v>
      </c>
      <c r="E606" s="1">
        <v>29.831978273432799</v>
      </c>
      <c r="F606" s="1">
        <v>3.9918055412200497E-2</v>
      </c>
      <c r="G606" s="1">
        <v>7.2425669970362996E-2</v>
      </c>
      <c r="H606" s="1">
        <v>40.029958579127189</v>
      </c>
      <c r="I606" s="1">
        <v>40.029958579127189</v>
      </c>
      <c r="J606" s="1" t="b">
        <v>1</v>
      </c>
      <c r="K606" s="1" t="b">
        <v>0</v>
      </c>
    </row>
    <row r="607" spans="1:12" ht="19" customHeight="1" x14ac:dyDescent="0.3">
      <c r="A607" t="s">
        <v>42</v>
      </c>
      <c r="B607" s="1">
        <v>46</v>
      </c>
      <c r="C607" s="1" t="s">
        <v>188</v>
      </c>
      <c r="D607" s="1">
        <v>23.584064150354681</v>
      </c>
      <c r="E607" s="1">
        <v>11.544535864234859</v>
      </c>
      <c r="F607" s="1">
        <v>3.3177092677559097E-2</v>
      </c>
      <c r="G607" s="1">
        <v>6.7983271701075904E-2</v>
      </c>
      <c r="H607" s="1">
        <v>38.964281742298468</v>
      </c>
      <c r="I607" s="1">
        <v>38.964281742298468</v>
      </c>
      <c r="J607" s="1" t="b">
        <v>0</v>
      </c>
      <c r="K607" s="1" t="b">
        <v>0</v>
      </c>
      <c r="L607" s="1" t="s">
        <v>192</v>
      </c>
    </row>
    <row r="608" spans="1:12" ht="19" customHeight="1" x14ac:dyDescent="0.3">
      <c r="A608" t="s">
        <v>42</v>
      </c>
      <c r="B608" s="1">
        <v>46</v>
      </c>
      <c r="C608" s="1" t="s">
        <v>186</v>
      </c>
      <c r="D608" s="1">
        <v>22.3175414912623</v>
      </c>
      <c r="E608" s="1">
        <v>12.421546696860499</v>
      </c>
      <c r="F608" s="1">
        <v>4.5943014558374497E-2</v>
      </c>
      <c r="G608" s="1">
        <v>7.7178361217618105E-2</v>
      </c>
      <c r="H608" s="1">
        <v>39.246950031790917</v>
      </c>
      <c r="I608" s="1">
        <v>39.246950031790917</v>
      </c>
      <c r="J608" s="1" t="b">
        <v>0</v>
      </c>
      <c r="K608" s="1" t="b">
        <v>0</v>
      </c>
      <c r="L608" s="1" t="s">
        <v>191</v>
      </c>
    </row>
    <row r="609" spans="1:12" ht="19" customHeight="1" x14ac:dyDescent="0.3">
      <c r="A609" t="s">
        <v>42</v>
      </c>
      <c r="B609" s="1">
        <v>46</v>
      </c>
      <c r="C609" s="1" t="s">
        <v>188</v>
      </c>
      <c r="D609" s="1">
        <v>24.010426124340469</v>
      </c>
      <c r="E609" s="1">
        <v>11.69893573877553</v>
      </c>
      <c r="F609" s="1">
        <v>4.38768930018388E-2</v>
      </c>
      <c r="G609" s="1">
        <v>7.4900728591341698E-2</v>
      </c>
      <c r="H609" s="1">
        <v>39.270391994494098</v>
      </c>
      <c r="I609" s="1">
        <v>39.270391994494098</v>
      </c>
      <c r="J609" s="1" t="b">
        <v>0</v>
      </c>
      <c r="K609" s="1" t="b">
        <v>0</v>
      </c>
      <c r="L609" s="1" t="s">
        <v>192</v>
      </c>
    </row>
    <row r="610" spans="1:12" ht="19" customHeight="1" x14ac:dyDescent="0.3">
      <c r="A610" t="s">
        <v>42</v>
      </c>
      <c r="B610" s="1">
        <v>46</v>
      </c>
      <c r="C610" s="1" t="s">
        <v>188</v>
      </c>
      <c r="D610" s="1">
        <v>21.92357674304527</v>
      </c>
      <c r="E610" s="1">
        <v>11.10344578407415</v>
      </c>
      <c r="F610" s="1">
        <v>4.6910775464193401E-2</v>
      </c>
      <c r="G610" s="1">
        <v>7.4780622963402099E-2</v>
      </c>
      <c r="H610" s="1">
        <v>39.384211225142792</v>
      </c>
      <c r="I610" s="1">
        <v>39.384211225142792</v>
      </c>
      <c r="J610" s="1" t="b">
        <v>0</v>
      </c>
      <c r="K610" s="1" t="b">
        <v>0</v>
      </c>
      <c r="L610" s="1" t="s">
        <v>192</v>
      </c>
    </row>
    <row r="611" spans="1:12" ht="19" customHeight="1" x14ac:dyDescent="0.3">
      <c r="A611" t="s">
        <v>42</v>
      </c>
      <c r="B611" s="1">
        <v>46</v>
      </c>
      <c r="C611" s="1" t="s">
        <v>186</v>
      </c>
      <c r="D611" s="1">
        <v>10.734842828880391</v>
      </c>
      <c r="E611" s="1">
        <v>29.838480670258321</v>
      </c>
      <c r="F611" s="1">
        <v>4.1154388512020301E-2</v>
      </c>
      <c r="G611" s="1">
        <v>7.0250309033917893E-2</v>
      </c>
      <c r="H611" s="1">
        <v>40.247882007850848</v>
      </c>
      <c r="I611" s="1">
        <v>40.247882007850848</v>
      </c>
      <c r="J611" s="1" t="b">
        <v>0</v>
      </c>
      <c r="K611" s="1" t="b">
        <v>0</v>
      </c>
      <c r="L611" s="1" t="s">
        <v>193</v>
      </c>
    </row>
    <row r="612" spans="1:12" ht="19" customHeight="1" x14ac:dyDescent="0.3">
      <c r="A612" t="s">
        <v>43</v>
      </c>
      <c r="B612" s="1">
        <v>42</v>
      </c>
      <c r="C612" s="1" t="s">
        <v>185</v>
      </c>
      <c r="D612" s="1">
        <v>12.477897074057021</v>
      </c>
      <c r="E612" s="1">
        <v>10.03838757450999</v>
      </c>
      <c r="F612" s="1">
        <v>3.8372824730391303E-2</v>
      </c>
      <c r="G612" s="1">
        <v>5.5092892684263498E-2</v>
      </c>
      <c r="H612" s="1">
        <v>26.48295490101518</v>
      </c>
      <c r="I612" s="1">
        <v>26.48295490101518</v>
      </c>
      <c r="J612" s="1" t="b">
        <v>1</v>
      </c>
      <c r="K612" s="1" t="b">
        <v>1</v>
      </c>
    </row>
    <row r="613" spans="1:12" ht="19" customHeight="1" x14ac:dyDescent="0.3">
      <c r="A613" t="s">
        <v>43</v>
      </c>
      <c r="B613" s="1">
        <v>42</v>
      </c>
      <c r="C613" s="1" t="s">
        <v>185</v>
      </c>
      <c r="D613" s="1">
        <v>12.477897074057021</v>
      </c>
      <c r="E613" s="1">
        <v>10.062112400302841</v>
      </c>
      <c r="F613" s="1">
        <v>3.8372824730391303E-2</v>
      </c>
      <c r="G613" s="1">
        <v>5.5092892684263498E-2</v>
      </c>
      <c r="H613" s="1">
        <v>26.483116543547339</v>
      </c>
      <c r="I613" s="1">
        <v>26.483116543547339</v>
      </c>
      <c r="J613" s="1" t="b">
        <v>1</v>
      </c>
      <c r="K613" s="1" t="b">
        <v>0</v>
      </c>
    </row>
    <row r="614" spans="1:12" ht="19" customHeight="1" x14ac:dyDescent="0.3">
      <c r="A614" t="s">
        <v>43</v>
      </c>
      <c r="B614" s="1">
        <v>42</v>
      </c>
      <c r="C614" s="1" t="s">
        <v>185</v>
      </c>
      <c r="D614" s="1">
        <v>12.477897074057021</v>
      </c>
      <c r="E614" s="1">
        <v>10.100499974812831</v>
      </c>
      <c r="F614" s="1">
        <v>3.8372824730391303E-2</v>
      </c>
      <c r="G614" s="1">
        <v>5.5092892684263498E-2</v>
      </c>
      <c r="H614" s="1">
        <v>26.483385582152859</v>
      </c>
      <c r="I614" s="1">
        <v>26.483385582152859</v>
      </c>
      <c r="J614" s="1" t="b">
        <v>1</v>
      </c>
      <c r="K614" s="1" t="b">
        <v>0</v>
      </c>
    </row>
    <row r="615" spans="1:12" ht="19" customHeight="1" x14ac:dyDescent="0.3">
      <c r="A615" t="s">
        <v>43</v>
      </c>
      <c r="B615" s="1">
        <v>42</v>
      </c>
      <c r="C615" s="1" t="s">
        <v>185</v>
      </c>
      <c r="D615" s="1">
        <v>12.477897074057021</v>
      </c>
      <c r="E615" s="1">
        <v>10.162612375115669</v>
      </c>
      <c r="F615" s="1">
        <v>3.8372824730391303E-2</v>
      </c>
      <c r="G615" s="1">
        <v>5.5092892684263498E-2</v>
      </c>
      <c r="H615" s="1">
        <v>26.483840479083732</v>
      </c>
      <c r="I615" s="1">
        <v>26.483840479083732</v>
      </c>
      <c r="J615" s="1" t="b">
        <v>1</v>
      </c>
      <c r="K615" s="1" t="b">
        <v>0</v>
      </c>
    </row>
    <row r="616" spans="1:12" ht="19" customHeight="1" x14ac:dyDescent="0.3">
      <c r="A616" t="s">
        <v>43</v>
      </c>
      <c r="B616" s="1">
        <v>42</v>
      </c>
      <c r="C616" s="1" t="s">
        <v>185</v>
      </c>
      <c r="D616" s="1">
        <v>12.477897074057021</v>
      </c>
      <c r="E616" s="1">
        <v>10.2631123499285</v>
      </c>
      <c r="F616" s="1">
        <v>3.8372824730391303E-2</v>
      </c>
      <c r="G616" s="1">
        <v>5.5092892684263498E-2</v>
      </c>
      <c r="H616" s="1">
        <v>26.484627819728729</v>
      </c>
      <c r="I616" s="1">
        <v>26.484627819728729</v>
      </c>
      <c r="J616" s="1" t="b">
        <v>1</v>
      </c>
      <c r="K616" s="1" t="b">
        <v>0</v>
      </c>
    </row>
    <row r="617" spans="1:12" ht="19" customHeight="1" x14ac:dyDescent="0.3">
      <c r="A617" t="s">
        <v>43</v>
      </c>
      <c r="B617" s="1">
        <v>42</v>
      </c>
      <c r="C617" s="1" t="s">
        <v>185</v>
      </c>
      <c r="D617" s="1">
        <v>12.477897074057021</v>
      </c>
      <c r="E617" s="1">
        <v>10.42572472504416</v>
      </c>
      <c r="F617" s="1">
        <v>3.8372824730391303E-2</v>
      </c>
      <c r="G617" s="1">
        <v>5.5092892684263498E-2</v>
      </c>
      <c r="H617" s="1">
        <v>26.486035725930179</v>
      </c>
      <c r="I617" s="1">
        <v>26.486035725930179</v>
      </c>
      <c r="J617" s="1" t="b">
        <v>1</v>
      </c>
      <c r="K617" s="1" t="b">
        <v>0</v>
      </c>
    </row>
    <row r="618" spans="1:12" ht="19" customHeight="1" x14ac:dyDescent="0.3">
      <c r="A618" t="s">
        <v>43</v>
      </c>
      <c r="B618" s="1">
        <v>42</v>
      </c>
      <c r="C618" s="1" t="s">
        <v>185</v>
      </c>
      <c r="D618" s="1">
        <v>12.477897074057021</v>
      </c>
      <c r="E618" s="1">
        <v>10.68883707497266</v>
      </c>
      <c r="F618" s="1">
        <v>3.8372824730391303E-2</v>
      </c>
      <c r="G618" s="1">
        <v>5.5092892684263498E-2</v>
      </c>
      <c r="H618" s="1">
        <v>26.488664017373409</v>
      </c>
      <c r="I618" s="1">
        <v>26.488664017373409</v>
      </c>
      <c r="J618" s="1" t="b">
        <v>1</v>
      </c>
      <c r="K618" s="1" t="b">
        <v>0</v>
      </c>
    </row>
    <row r="619" spans="1:12" ht="19" customHeight="1" x14ac:dyDescent="0.3">
      <c r="A619" t="s">
        <v>43</v>
      </c>
      <c r="B619" s="1">
        <v>42</v>
      </c>
      <c r="C619" s="1" t="s">
        <v>185</v>
      </c>
      <c r="D619" s="1">
        <v>12.477897074057021</v>
      </c>
      <c r="E619" s="1">
        <v>10.807970227286811</v>
      </c>
      <c r="F619" s="1">
        <v>3.8372824730391303E-2</v>
      </c>
      <c r="G619" s="1">
        <v>5.5092892684263498E-2</v>
      </c>
      <c r="H619" s="1">
        <v>26.489996134658188</v>
      </c>
      <c r="I619" s="1">
        <v>26.489996134658188</v>
      </c>
      <c r="J619" s="1" t="b">
        <v>1</v>
      </c>
      <c r="K619" s="1" t="b">
        <v>0</v>
      </c>
    </row>
    <row r="620" spans="1:12" ht="19" customHeight="1" x14ac:dyDescent="0.3">
      <c r="A620" t="s">
        <v>43</v>
      </c>
      <c r="B620" s="1">
        <v>42</v>
      </c>
      <c r="C620" s="1" t="s">
        <v>185</v>
      </c>
      <c r="D620" s="1">
        <v>12.477897074057021</v>
      </c>
      <c r="E620" s="1">
        <v>11.114561800016819</v>
      </c>
      <c r="F620" s="1">
        <v>3.8372824730391303E-2</v>
      </c>
      <c r="G620" s="1">
        <v>5.5092892684263498E-2</v>
      </c>
      <c r="H620" s="1">
        <v>26.493830651601321</v>
      </c>
      <c r="I620" s="1">
        <v>26.493830651601321</v>
      </c>
      <c r="J620" s="1" t="b">
        <v>1</v>
      </c>
      <c r="K620" s="1" t="b">
        <v>0</v>
      </c>
    </row>
    <row r="621" spans="1:12" ht="19" customHeight="1" x14ac:dyDescent="0.3">
      <c r="A621" t="s">
        <v>43</v>
      </c>
      <c r="B621" s="1">
        <v>42</v>
      </c>
      <c r="C621" s="1" t="s">
        <v>185</v>
      </c>
      <c r="D621" s="1">
        <v>12.477897074057021</v>
      </c>
      <c r="E621" s="1">
        <v>11.444993150420251</v>
      </c>
      <c r="F621" s="1">
        <v>3.8372824730391303E-2</v>
      </c>
      <c r="G621" s="1">
        <v>5.5092892684263498E-2</v>
      </c>
      <c r="H621" s="1">
        <v>26.5187597973799</v>
      </c>
      <c r="I621" s="1">
        <v>26.5187597973799</v>
      </c>
      <c r="J621" s="1" t="b">
        <v>1</v>
      </c>
      <c r="K621" s="1" t="b">
        <v>0</v>
      </c>
    </row>
    <row r="622" spans="1:12" ht="19" customHeight="1" x14ac:dyDescent="0.3">
      <c r="A622" t="s">
        <v>43</v>
      </c>
      <c r="B622" s="1">
        <v>42</v>
      </c>
      <c r="C622" s="1" t="s">
        <v>185</v>
      </c>
      <c r="D622" s="1">
        <v>12.48123041744963</v>
      </c>
      <c r="E622" s="1">
        <v>11.444993150420251</v>
      </c>
      <c r="F622" s="1">
        <v>3.8372824730391303E-2</v>
      </c>
      <c r="G622" s="1">
        <v>5.5092892684263498E-2</v>
      </c>
      <c r="H622" s="1">
        <v>26.518759804117838</v>
      </c>
      <c r="I622" s="1">
        <v>26.518759804117838</v>
      </c>
      <c r="J622" s="1" t="b">
        <v>1</v>
      </c>
      <c r="K622" s="1" t="b">
        <v>0</v>
      </c>
    </row>
    <row r="623" spans="1:12" ht="19" customHeight="1" x14ac:dyDescent="0.3">
      <c r="A623" t="s">
        <v>43</v>
      </c>
      <c r="B623" s="1">
        <v>42</v>
      </c>
      <c r="C623" s="1" t="s">
        <v>185</v>
      </c>
      <c r="D623" s="1">
        <v>12.47427747956227</v>
      </c>
      <c r="E623" s="1">
        <v>11.444993150420251</v>
      </c>
      <c r="F623" s="1">
        <v>3.8372824730391303E-2</v>
      </c>
      <c r="G623" s="1">
        <v>5.5092892684263498E-2</v>
      </c>
      <c r="H623" s="1">
        <v>26.518759830631328</v>
      </c>
      <c r="I623" s="1">
        <v>26.518759830631328</v>
      </c>
      <c r="J623" s="1" t="b">
        <v>1</v>
      </c>
      <c r="K623" s="1" t="b">
        <v>0</v>
      </c>
    </row>
    <row r="624" spans="1:12" ht="19" customHeight="1" x14ac:dyDescent="0.3">
      <c r="A624" t="s">
        <v>43</v>
      </c>
      <c r="B624" s="1">
        <v>42</v>
      </c>
      <c r="C624" s="1" t="s">
        <v>185</v>
      </c>
      <c r="D624" s="1">
        <v>12.188470506254729</v>
      </c>
      <c r="E624" s="1">
        <v>11.444993150420251</v>
      </c>
      <c r="F624" s="1">
        <v>3.8372824730391303E-2</v>
      </c>
      <c r="G624" s="1">
        <v>5.5092892684263498E-2</v>
      </c>
      <c r="H624" s="1">
        <v>26.518945766269521</v>
      </c>
      <c r="I624" s="1">
        <v>26.518945766269521</v>
      </c>
      <c r="J624" s="1" t="b">
        <v>1</v>
      </c>
      <c r="K624" s="1" t="b">
        <v>0</v>
      </c>
    </row>
    <row r="625" spans="1:11" ht="19" customHeight="1" x14ac:dyDescent="0.3">
      <c r="A625" t="s">
        <v>43</v>
      </c>
      <c r="B625" s="1">
        <v>42</v>
      </c>
      <c r="C625" s="1" t="s">
        <v>186</v>
      </c>
      <c r="D625" s="1">
        <v>11.799700229656249</v>
      </c>
      <c r="E625" s="1">
        <v>11.444993150420251</v>
      </c>
      <c r="F625" s="1">
        <v>3.8372824730391303E-2</v>
      </c>
      <c r="G625" s="1">
        <v>5.5092892684263498E-2</v>
      </c>
      <c r="H625" s="1">
        <v>26.51978048284645</v>
      </c>
      <c r="I625" s="1">
        <v>26.51978048284645</v>
      </c>
      <c r="J625" s="1" t="b">
        <v>1</v>
      </c>
      <c r="K625" s="1" t="b">
        <v>0</v>
      </c>
    </row>
    <row r="626" spans="1:11" ht="19" customHeight="1" x14ac:dyDescent="0.3">
      <c r="A626" t="s">
        <v>43</v>
      </c>
      <c r="B626" s="1">
        <v>42</v>
      </c>
      <c r="C626" s="1" t="s">
        <v>185</v>
      </c>
      <c r="D626" s="1">
        <v>11.63048705726087</v>
      </c>
      <c r="E626" s="1">
        <v>11.444993150420251</v>
      </c>
      <c r="F626" s="1">
        <v>3.8372824730391303E-2</v>
      </c>
      <c r="G626" s="1">
        <v>5.5092892684263498E-2</v>
      </c>
      <c r="H626" s="1">
        <v>26.520353994797031</v>
      </c>
      <c r="I626" s="1">
        <v>26.520353994797031</v>
      </c>
      <c r="J626" s="1" t="b">
        <v>1</v>
      </c>
      <c r="K626" s="1" t="b">
        <v>1</v>
      </c>
    </row>
    <row r="627" spans="1:11" ht="19" customHeight="1" x14ac:dyDescent="0.3">
      <c r="A627" t="s">
        <v>43</v>
      </c>
      <c r="B627" s="1">
        <v>42</v>
      </c>
      <c r="C627" s="1" t="s">
        <v>185</v>
      </c>
      <c r="D627" s="1">
        <v>10.84177512000017</v>
      </c>
      <c r="E627" s="1">
        <v>11.444993150420251</v>
      </c>
      <c r="F627" s="1">
        <v>3.8372824730391303E-2</v>
      </c>
      <c r="G627" s="1">
        <v>5.5092892684263498E-2</v>
      </c>
      <c r="H627" s="1">
        <v>26.52471763108008</v>
      </c>
      <c r="I627" s="1">
        <v>26.52471763108008</v>
      </c>
      <c r="J627" s="1" t="b">
        <v>1</v>
      </c>
      <c r="K627" s="1" t="b">
        <v>1</v>
      </c>
    </row>
    <row r="628" spans="1:11" ht="19" customHeight="1" x14ac:dyDescent="0.3">
      <c r="A628" t="s">
        <v>43</v>
      </c>
      <c r="B628" s="1">
        <v>42</v>
      </c>
      <c r="C628" s="1" t="s">
        <v>185</v>
      </c>
      <c r="D628" s="1">
        <v>12.477897074057021</v>
      </c>
      <c r="E628" s="1">
        <v>11.80339887498948</v>
      </c>
      <c r="F628" s="1">
        <v>3.8372824730391303E-2</v>
      </c>
      <c r="G628" s="1">
        <v>5.5092892684263498E-2</v>
      </c>
      <c r="H628" s="1">
        <v>26.55189480960858</v>
      </c>
      <c r="I628" s="1">
        <v>26.55189480960858</v>
      </c>
      <c r="J628" s="1" t="b">
        <v>1</v>
      </c>
      <c r="K628" s="1" t="b">
        <v>0</v>
      </c>
    </row>
    <row r="629" spans="1:11" ht="19" customHeight="1" x14ac:dyDescent="0.3">
      <c r="A629" t="s">
        <v>43</v>
      </c>
      <c r="B629" s="1">
        <v>42</v>
      </c>
      <c r="C629" s="1" t="s">
        <v>185</v>
      </c>
      <c r="D629" s="1">
        <v>13.54101966249684</v>
      </c>
      <c r="E629" s="1">
        <v>11.444993150420251</v>
      </c>
      <c r="F629" s="1">
        <v>3.8372824730391303E-2</v>
      </c>
      <c r="G629" s="1">
        <v>5.5092892684263498E-2</v>
      </c>
      <c r="H629" s="1">
        <v>26.580966167492321</v>
      </c>
      <c r="I629" s="1">
        <v>26.580966167492321</v>
      </c>
      <c r="J629" s="1" t="b">
        <v>1</v>
      </c>
      <c r="K629" s="1" t="b">
        <v>0</v>
      </c>
    </row>
    <row r="630" spans="1:11" ht="19" customHeight="1" x14ac:dyDescent="0.3">
      <c r="A630" t="s">
        <v>43</v>
      </c>
      <c r="B630" s="1">
        <v>42</v>
      </c>
      <c r="C630" s="1" t="s">
        <v>186</v>
      </c>
      <c r="D630" s="1">
        <v>13.632399074161389</v>
      </c>
      <c r="E630" s="1">
        <v>11.561166846757279</v>
      </c>
      <c r="F630" s="1">
        <v>3.4541135969874598E-2</v>
      </c>
      <c r="G630" s="1">
        <v>4.8352537959133003E-2</v>
      </c>
      <c r="H630" s="1">
        <v>26.605988270898909</v>
      </c>
      <c r="I630" s="1">
        <v>26.605988270898909</v>
      </c>
      <c r="J630" s="1" t="b">
        <v>1</v>
      </c>
      <c r="K630" s="1" t="b">
        <v>1</v>
      </c>
    </row>
    <row r="631" spans="1:11" ht="19" customHeight="1" x14ac:dyDescent="0.3">
      <c r="A631" t="s">
        <v>43</v>
      </c>
      <c r="B631" s="1">
        <v>42</v>
      </c>
      <c r="C631" s="1" t="s">
        <v>185</v>
      </c>
      <c r="D631" s="1">
        <v>12.477897074057021</v>
      </c>
      <c r="E631" s="1">
        <v>12.917960675006309</v>
      </c>
      <c r="F631" s="1">
        <v>3.8372824730391303E-2</v>
      </c>
      <c r="G631" s="1">
        <v>5.5092892684263498E-2</v>
      </c>
      <c r="H631" s="1">
        <v>26.660815980377329</v>
      </c>
      <c r="I631" s="1">
        <v>26.660815980377329</v>
      </c>
      <c r="J631" s="1" t="b">
        <v>1</v>
      </c>
      <c r="K631" s="1" t="b">
        <v>0</v>
      </c>
    </row>
    <row r="632" spans="1:11" ht="19" customHeight="1" x14ac:dyDescent="0.3">
      <c r="A632" t="s">
        <v>43</v>
      </c>
      <c r="B632" s="1">
        <v>42</v>
      </c>
      <c r="C632" s="1" t="s">
        <v>186</v>
      </c>
      <c r="D632" s="1">
        <v>14.03522710277457</v>
      </c>
      <c r="E632" s="1">
        <v>11.444993150420251</v>
      </c>
      <c r="F632" s="1">
        <v>4.18105600620148E-2</v>
      </c>
      <c r="G632" s="1">
        <v>5.5092892684263498E-2</v>
      </c>
      <c r="H632" s="1">
        <v>26.66746428477423</v>
      </c>
      <c r="I632" s="1">
        <v>26.66746428477423</v>
      </c>
      <c r="J632" s="1" t="b">
        <v>1</v>
      </c>
      <c r="K632" s="1" t="b">
        <v>0</v>
      </c>
    </row>
    <row r="633" spans="1:11" ht="19" customHeight="1" x14ac:dyDescent="0.3">
      <c r="A633" t="s">
        <v>43</v>
      </c>
      <c r="B633" s="1">
        <v>42</v>
      </c>
      <c r="C633" s="1" t="s">
        <v>185</v>
      </c>
      <c r="D633" s="1">
        <v>15.72949016875158</v>
      </c>
      <c r="E633" s="1">
        <v>11.444993150420251</v>
      </c>
      <c r="F633" s="1">
        <v>3.8372824730391303E-2</v>
      </c>
      <c r="G633" s="1">
        <v>5.5092892684263498E-2</v>
      </c>
      <c r="H633" s="1">
        <v>26.769144905769771</v>
      </c>
      <c r="I633" s="1">
        <v>26.769144905769771</v>
      </c>
      <c r="J633" s="1" t="b">
        <v>1</v>
      </c>
      <c r="K633" s="1" t="b">
        <v>0</v>
      </c>
    </row>
    <row r="634" spans="1:11" ht="19" customHeight="1" x14ac:dyDescent="0.3">
      <c r="A634" t="s">
        <v>43</v>
      </c>
      <c r="B634" s="1">
        <v>42</v>
      </c>
      <c r="C634" s="1" t="s">
        <v>186</v>
      </c>
      <c r="D634" s="1">
        <v>13.751778576162559</v>
      </c>
      <c r="E634" s="1">
        <v>13.591048320300199</v>
      </c>
      <c r="F634" s="1">
        <v>4.5319375482344701E-2</v>
      </c>
      <c r="G634" s="1">
        <v>5.3541000467407798E-2</v>
      </c>
      <c r="H634" s="1">
        <v>26.827728458441261</v>
      </c>
      <c r="I634" s="1">
        <v>26.827728458441261</v>
      </c>
      <c r="J634" s="1" t="b">
        <v>1</v>
      </c>
      <c r="K634" s="1" t="b">
        <v>1</v>
      </c>
    </row>
    <row r="635" spans="1:11" ht="19" customHeight="1" x14ac:dyDescent="0.3">
      <c r="A635" t="s">
        <v>43</v>
      </c>
      <c r="B635" s="1">
        <v>42</v>
      </c>
      <c r="C635" s="1" t="s">
        <v>186</v>
      </c>
      <c r="D635" s="1">
        <v>13.34314055214435</v>
      </c>
      <c r="E635" s="1">
        <v>13.97763695576972</v>
      </c>
      <c r="F635" s="1">
        <v>3.4285109563033302E-2</v>
      </c>
      <c r="G635" s="1">
        <v>4.1144591374691598E-2</v>
      </c>
      <c r="H635" s="1">
        <v>26.837814821619489</v>
      </c>
      <c r="I635" s="1">
        <v>26.837814821619489</v>
      </c>
      <c r="J635" s="1" t="b">
        <v>1</v>
      </c>
      <c r="K635" s="1" t="b">
        <v>1</v>
      </c>
    </row>
    <row r="636" spans="1:11" ht="19" customHeight="1" x14ac:dyDescent="0.3">
      <c r="A636" t="s">
        <v>43</v>
      </c>
      <c r="B636" s="1">
        <v>42</v>
      </c>
      <c r="C636" s="1" t="s">
        <v>185</v>
      </c>
      <c r="D636" s="1">
        <v>12.477897074057021</v>
      </c>
      <c r="E636" s="1">
        <v>14.721359549995791</v>
      </c>
      <c r="F636" s="1">
        <v>3.8372824730391303E-2</v>
      </c>
      <c r="G636" s="1">
        <v>5.5092892684263498E-2</v>
      </c>
      <c r="H636" s="1">
        <v>26.856308919192401</v>
      </c>
      <c r="I636" s="1">
        <v>26.856308919192401</v>
      </c>
      <c r="J636" s="1" t="b">
        <v>1</v>
      </c>
      <c r="K636" s="1" t="b">
        <v>0</v>
      </c>
    </row>
    <row r="637" spans="1:11" ht="19" customHeight="1" x14ac:dyDescent="0.3">
      <c r="A637" t="s">
        <v>43</v>
      </c>
      <c r="B637" s="1">
        <v>42</v>
      </c>
      <c r="C637" s="1" t="s">
        <v>186</v>
      </c>
      <c r="D637" s="1">
        <v>13.369544619600919</v>
      </c>
      <c r="E637" s="1">
        <v>13.799533299121309</v>
      </c>
      <c r="F637" s="1">
        <v>4.6301821928622401E-2</v>
      </c>
      <c r="G637" s="1">
        <v>5.8800704345302102E-2</v>
      </c>
      <c r="H637" s="1">
        <v>26.86079881166852</v>
      </c>
      <c r="I637" s="1">
        <v>26.86079881166852</v>
      </c>
      <c r="J637" s="1" t="b">
        <v>1</v>
      </c>
      <c r="K637" s="1" t="b">
        <v>1</v>
      </c>
    </row>
    <row r="638" spans="1:11" ht="19" customHeight="1" x14ac:dyDescent="0.3">
      <c r="A638" t="s">
        <v>43</v>
      </c>
      <c r="B638" s="1">
        <v>42</v>
      </c>
      <c r="C638" s="1" t="s">
        <v>187</v>
      </c>
      <c r="D638" s="1">
        <v>13.75</v>
      </c>
      <c r="E638" s="1">
        <v>15</v>
      </c>
      <c r="F638" s="1">
        <v>3.2500000000000001E-2</v>
      </c>
      <c r="G638" s="1">
        <v>5.1249999999999997E-2</v>
      </c>
      <c r="H638" s="1">
        <v>26.891972405202981</v>
      </c>
      <c r="I638" s="1">
        <v>26.891972405202981</v>
      </c>
      <c r="J638" s="1" t="b">
        <v>1</v>
      </c>
      <c r="K638" s="1" t="b">
        <v>0</v>
      </c>
    </row>
    <row r="639" spans="1:11" ht="19" customHeight="1" x14ac:dyDescent="0.3">
      <c r="A639" t="s">
        <v>43</v>
      </c>
      <c r="B639" s="1">
        <v>42</v>
      </c>
      <c r="C639" s="1" t="s">
        <v>187</v>
      </c>
      <c r="D639" s="1">
        <v>13.75</v>
      </c>
      <c r="E639" s="1">
        <v>15</v>
      </c>
      <c r="F639" s="1">
        <v>3.2500000000000001E-2</v>
      </c>
      <c r="G639" s="1">
        <v>7.3749999999999996E-2</v>
      </c>
      <c r="H639" s="1">
        <v>26.94622643365436</v>
      </c>
      <c r="I639" s="1">
        <v>26.94622643365436</v>
      </c>
      <c r="J639" s="1" t="b">
        <v>1</v>
      </c>
      <c r="K639" s="1" t="b">
        <v>0</v>
      </c>
    </row>
    <row r="640" spans="1:11" ht="19" customHeight="1" x14ac:dyDescent="0.3">
      <c r="A640" t="s">
        <v>43</v>
      </c>
      <c r="B640" s="1">
        <v>42</v>
      </c>
      <c r="C640" s="1" t="s">
        <v>186</v>
      </c>
      <c r="D640" s="1">
        <v>13.369544619600919</v>
      </c>
      <c r="E640" s="1">
        <v>14.628426634522929</v>
      </c>
      <c r="F640" s="1">
        <v>4.6301821928622401E-2</v>
      </c>
      <c r="G640" s="1">
        <v>6.5350047923030494E-2</v>
      </c>
      <c r="H640" s="1">
        <v>26.96701562716925</v>
      </c>
      <c r="I640" s="1">
        <v>26.96701562716925</v>
      </c>
      <c r="J640" s="1" t="b">
        <v>1</v>
      </c>
      <c r="K640" s="1" t="b">
        <v>0</v>
      </c>
    </row>
    <row r="641" spans="1:11" ht="19" customHeight="1" x14ac:dyDescent="0.3">
      <c r="A641" t="s">
        <v>43</v>
      </c>
      <c r="B641" s="1">
        <v>42</v>
      </c>
      <c r="C641" s="1" t="s">
        <v>186</v>
      </c>
      <c r="D641" s="1">
        <v>11.799700229656249</v>
      </c>
      <c r="E641" s="1">
        <v>15.19524264207109</v>
      </c>
      <c r="F641" s="1">
        <v>4.2162138553145198E-2</v>
      </c>
      <c r="G641" s="1">
        <v>6.7713302397546096E-2</v>
      </c>
      <c r="H641" s="1">
        <v>26.9757329225496</v>
      </c>
      <c r="I641" s="1">
        <v>26.9757329225496</v>
      </c>
      <c r="J641" s="1" t="b">
        <v>1</v>
      </c>
      <c r="K641" s="1" t="b">
        <v>0</v>
      </c>
    </row>
    <row r="642" spans="1:11" ht="19" customHeight="1" x14ac:dyDescent="0.3">
      <c r="A642" t="s">
        <v>43</v>
      </c>
      <c r="B642" s="1">
        <v>42</v>
      </c>
      <c r="C642" s="1" t="s">
        <v>186</v>
      </c>
      <c r="D642" s="1">
        <v>17.5609858684237</v>
      </c>
      <c r="E642" s="1">
        <v>13.34346547195724</v>
      </c>
      <c r="F642" s="1">
        <v>3.3309896909953902E-2</v>
      </c>
      <c r="G642" s="1">
        <v>5.31538343277086E-2</v>
      </c>
      <c r="H642" s="1">
        <v>26.984875046396031</v>
      </c>
      <c r="I642" s="1">
        <v>26.984875046396031</v>
      </c>
      <c r="J642" s="1" t="b">
        <v>1</v>
      </c>
      <c r="K642" s="1" t="b">
        <v>0</v>
      </c>
    </row>
    <row r="643" spans="1:11" ht="19" customHeight="1" x14ac:dyDescent="0.3">
      <c r="A643" t="s">
        <v>43</v>
      </c>
      <c r="B643" s="1">
        <v>42</v>
      </c>
      <c r="C643" s="1" t="s">
        <v>186</v>
      </c>
      <c r="D643" s="1">
        <v>17.32873308005129</v>
      </c>
      <c r="E643" s="1">
        <v>11.64004090406854</v>
      </c>
      <c r="F643" s="1">
        <v>3.61256181499141E-2</v>
      </c>
      <c r="G643" s="1">
        <v>7.2400191309562503E-2</v>
      </c>
      <c r="H643" s="1">
        <v>26.985040149943291</v>
      </c>
      <c r="I643" s="1">
        <v>26.985040149943291</v>
      </c>
      <c r="J643" s="1" t="b">
        <v>1</v>
      </c>
      <c r="K643" s="1" t="b">
        <v>0</v>
      </c>
    </row>
    <row r="644" spans="1:11" ht="19" customHeight="1" x14ac:dyDescent="0.3">
      <c r="A644" t="s">
        <v>43</v>
      </c>
      <c r="B644" s="1">
        <v>42</v>
      </c>
      <c r="C644" s="1" t="s">
        <v>186</v>
      </c>
      <c r="D644" s="1">
        <v>17.5609858684237</v>
      </c>
      <c r="E644" s="1">
        <v>11.340035270668579</v>
      </c>
      <c r="F644" s="1">
        <v>4.1834588803089802E-2</v>
      </c>
      <c r="G644" s="1">
        <v>6.1182509895645297E-2</v>
      </c>
      <c r="H644" s="1">
        <v>26.990848677643971</v>
      </c>
      <c r="I644" s="1">
        <v>26.990848677643971</v>
      </c>
      <c r="J644" s="1" t="b">
        <v>1</v>
      </c>
      <c r="K644" s="1" t="b">
        <v>0</v>
      </c>
    </row>
    <row r="645" spans="1:11" ht="19" customHeight="1" x14ac:dyDescent="0.3">
      <c r="A645" t="s">
        <v>43</v>
      </c>
      <c r="B645" s="1">
        <v>42</v>
      </c>
      <c r="C645" s="1" t="s">
        <v>187</v>
      </c>
      <c r="D645" s="1">
        <v>13.75</v>
      </c>
      <c r="E645" s="1">
        <v>15</v>
      </c>
      <c r="F645" s="1">
        <v>4.7500000000000001E-2</v>
      </c>
      <c r="G645" s="1">
        <v>5.1249999999999997E-2</v>
      </c>
      <c r="H645" s="1">
        <v>27.032935547973821</v>
      </c>
      <c r="I645" s="1">
        <v>27.032935547973821</v>
      </c>
      <c r="J645" s="1" t="b">
        <v>1</v>
      </c>
      <c r="K645" s="1" t="b">
        <v>0</v>
      </c>
    </row>
    <row r="646" spans="1:11" ht="19" customHeight="1" x14ac:dyDescent="0.3">
      <c r="A646" t="s">
        <v>43</v>
      </c>
      <c r="B646" s="1">
        <v>42</v>
      </c>
      <c r="C646" s="1" t="s">
        <v>186</v>
      </c>
      <c r="D646" s="1">
        <v>17.5609858684237</v>
      </c>
      <c r="E646" s="1">
        <v>15.6559455395403</v>
      </c>
      <c r="F646" s="1">
        <v>3.3309896909953902E-2</v>
      </c>
      <c r="G646" s="1">
        <v>5.8321284358038197E-2</v>
      </c>
      <c r="H646" s="1">
        <v>27.05582360706164</v>
      </c>
      <c r="I646" s="1">
        <v>27.05582360706164</v>
      </c>
      <c r="J646" s="1" t="b">
        <v>1</v>
      </c>
      <c r="K646" s="1" t="b">
        <v>0</v>
      </c>
    </row>
    <row r="647" spans="1:11" ht="19" customHeight="1" x14ac:dyDescent="0.3">
      <c r="A647" t="s">
        <v>43</v>
      </c>
      <c r="B647" s="1">
        <v>42</v>
      </c>
      <c r="C647" s="1" t="s">
        <v>187</v>
      </c>
      <c r="D647" s="1">
        <v>13.75</v>
      </c>
      <c r="E647" s="1">
        <v>15</v>
      </c>
      <c r="F647" s="1">
        <v>4.7500000000000001E-2</v>
      </c>
      <c r="G647" s="1">
        <v>7.3749999999999996E-2</v>
      </c>
      <c r="H647" s="1">
        <v>27.082749538862579</v>
      </c>
      <c r="I647" s="1">
        <v>27.082749538862579</v>
      </c>
      <c r="J647" s="1" t="b">
        <v>1</v>
      </c>
      <c r="K647" s="1" t="b">
        <v>1</v>
      </c>
    </row>
    <row r="648" spans="1:11" ht="19" customHeight="1" x14ac:dyDescent="0.3">
      <c r="A648" t="s">
        <v>43</v>
      </c>
      <c r="B648" s="1">
        <v>42</v>
      </c>
      <c r="C648" s="1" t="s">
        <v>186</v>
      </c>
      <c r="D648" s="1">
        <v>14.585455289307729</v>
      </c>
      <c r="E648" s="1">
        <v>13.818220623006919</v>
      </c>
      <c r="F648" s="1">
        <v>4.9317971177058502E-2</v>
      </c>
      <c r="G648" s="1">
        <v>4.1144591374691598E-2</v>
      </c>
      <c r="H648" s="1">
        <v>27.115316512589519</v>
      </c>
      <c r="I648" s="1">
        <v>27.115316512589519</v>
      </c>
      <c r="J648" s="1" t="b">
        <v>1</v>
      </c>
      <c r="K648" s="1" t="b">
        <v>1</v>
      </c>
    </row>
    <row r="649" spans="1:11" ht="19" customHeight="1" x14ac:dyDescent="0.3">
      <c r="A649" t="s">
        <v>43</v>
      </c>
      <c r="B649" s="1">
        <v>42</v>
      </c>
      <c r="C649" s="1" t="s">
        <v>185</v>
      </c>
      <c r="D649" s="1">
        <v>19.270509831248422</v>
      </c>
      <c r="E649" s="1">
        <v>11.444993150420251</v>
      </c>
      <c r="F649" s="1">
        <v>3.8372824730391303E-2</v>
      </c>
      <c r="G649" s="1">
        <v>5.5092892684263498E-2</v>
      </c>
      <c r="H649" s="1">
        <v>27.132862126056992</v>
      </c>
      <c r="I649" s="1">
        <v>27.132862126056992</v>
      </c>
      <c r="J649" s="1" t="b">
        <v>1</v>
      </c>
      <c r="K649" s="1" t="b">
        <v>0</v>
      </c>
    </row>
    <row r="650" spans="1:11" ht="19" customHeight="1" x14ac:dyDescent="0.3">
      <c r="A650" t="s">
        <v>43</v>
      </c>
      <c r="B650" s="1">
        <v>42</v>
      </c>
      <c r="C650" s="1" t="s">
        <v>185</v>
      </c>
      <c r="D650" s="1">
        <v>12.477897074057021</v>
      </c>
      <c r="E650" s="1">
        <v>17.639320225002098</v>
      </c>
      <c r="F650" s="1">
        <v>3.8372824730391303E-2</v>
      </c>
      <c r="G650" s="1">
        <v>5.5092892684263498E-2</v>
      </c>
      <c r="H650" s="1">
        <v>27.224781818037151</v>
      </c>
      <c r="I650" s="1">
        <v>27.224781818037151</v>
      </c>
      <c r="J650" s="1" t="b">
        <v>1</v>
      </c>
      <c r="K650" s="1" t="b">
        <v>0</v>
      </c>
    </row>
    <row r="651" spans="1:11" ht="19" customHeight="1" x14ac:dyDescent="0.3">
      <c r="A651" t="s">
        <v>43</v>
      </c>
      <c r="B651" s="1">
        <v>42</v>
      </c>
      <c r="C651" s="1" t="s">
        <v>186</v>
      </c>
      <c r="D651" s="1">
        <v>17.781038231664269</v>
      </c>
      <c r="E651" s="1">
        <v>11.212141342352499</v>
      </c>
      <c r="F651" s="1">
        <v>4.8339007570937897E-2</v>
      </c>
      <c r="G651" s="1">
        <v>5.7414417452055402E-2</v>
      </c>
      <c r="H651" s="1">
        <v>27.232337302998101</v>
      </c>
      <c r="I651" s="1">
        <v>27.232337302998101</v>
      </c>
      <c r="J651" s="1" t="b">
        <v>1</v>
      </c>
      <c r="K651" s="1" t="b">
        <v>0</v>
      </c>
    </row>
    <row r="652" spans="1:11" ht="19" customHeight="1" x14ac:dyDescent="0.3">
      <c r="A652" t="s">
        <v>43</v>
      </c>
      <c r="B652" s="1">
        <v>42</v>
      </c>
      <c r="C652" s="1" t="s">
        <v>188</v>
      </c>
      <c r="D652" s="1">
        <v>14.887380372072281</v>
      </c>
      <c r="E652" s="1">
        <v>17.409194120697379</v>
      </c>
      <c r="F652" s="1">
        <v>3.9086674338274202E-2</v>
      </c>
      <c r="G652" s="1">
        <v>4.8526211158792798E-2</v>
      </c>
      <c r="H652" s="1">
        <v>27.242245506422648</v>
      </c>
      <c r="I652" s="1">
        <v>27.242245506422648</v>
      </c>
      <c r="J652" s="1" t="b">
        <v>1</v>
      </c>
      <c r="K652" s="1" t="b">
        <v>0</v>
      </c>
    </row>
    <row r="653" spans="1:11" ht="19" customHeight="1" x14ac:dyDescent="0.3">
      <c r="A653" t="s">
        <v>43</v>
      </c>
      <c r="B653" s="1">
        <v>42</v>
      </c>
      <c r="C653" s="1" t="s">
        <v>188</v>
      </c>
      <c r="D653" s="1">
        <v>16.692344133610462</v>
      </c>
      <c r="E653" s="1">
        <v>17.62042452192965</v>
      </c>
      <c r="F653" s="1">
        <v>3.4045362674436197E-2</v>
      </c>
      <c r="G653" s="1">
        <v>6.8362716690349906E-2</v>
      </c>
      <c r="H653" s="1">
        <v>27.274864990980181</v>
      </c>
      <c r="I653" s="1">
        <v>27.274864990980181</v>
      </c>
      <c r="J653" s="1" t="b">
        <v>1</v>
      </c>
      <c r="K653" s="1" t="b">
        <v>0</v>
      </c>
    </row>
    <row r="654" spans="1:11" ht="19" customHeight="1" x14ac:dyDescent="0.3">
      <c r="A654" t="s">
        <v>43</v>
      </c>
      <c r="B654" s="1">
        <v>42</v>
      </c>
      <c r="C654" s="1" t="s">
        <v>186</v>
      </c>
      <c r="D654" s="1">
        <v>19.489410845166979</v>
      </c>
      <c r="E654" s="1">
        <v>14.01542388834784</v>
      </c>
      <c r="F654" s="1">
        <v>4.3814478477091003E-2</v>
      </c>
      <c r="G654" s="1">
        <v>7.0682463630846501E-2</v>
      </c>
      <c r="H654" s="1">
        <v>27.350794565593489</v>
      </c>
      <c r="I654" s="1">
        <v>27.350794565593489</v>
      </c>
      <c r="J654" s="1" t="b">
        <v>1</v>
      </c>
      <c r="K654" s="1" t="b">
        <v>0</v>
      </c>
    </row>
    <row r="655" spans="1:11" ht="19" customHeight="1" x14ac:dyDescent="0.3">
      <c r="A655" t="s">
        <v>43</v>
      </c>
      <c r="B655" s="1">
        <v>42</v>
      </c>
      <c r="C655" s="1" t="s">
        <v>186</v>
      </c>
      <c r="D655" s="1">
        <v>20.55510623275002</v>
      </c>
      <c r="E655" s="1">
        <v>13.38509072224506</v>
      </c>
      <c r="F655" s="1">
        <v>3.6624388341546903E-2</v>
      </c>
      <c r="G655" s="1">
        <v>4.8352871459205603E-2</v>
      </c>
      <c r="H655" s="1">
        <v>27.3518714830379</v>
      </c>
      <c r="I655" s="1">
        <v>27.3518714830379</v>
      </c>
      <c r="J655" s="1" t="b">
        <v>1</v>
      </c>
      <c r="K655" s="1" t="b">
        <v>0</v>
      </c>
    </row>
    <row r="656" spans="1:11" ht="19" customHeight="1" x14ac:dyDescent="0.3">
      <c r="A656" t="s">
        <v>43</v>
      </c>
      <c r="B656" s="1">
        <v>42</v>
      </c>
      <c r="C656" s="1" t="s">
        <v>188</v>
      </c>
      <c r="D656" s="1">
        <v>18.318771805237521</v>
      </c>
      <c r="E656" s="1">
        <v>11.27634512208351</v>
      </c>
      <c r="F656" s="1">
        <v>4.9828935159777397E-2</v>
      </c>
      <c r="G656" s="1">
        <v>6.8424897960492906E-2</v>
      </c>
      <c r="H656" s="1">
        <v>27.363719027406571</v>
      </c>
      <c r="I656" s="1">
        <v>27.363719027406571</v>
      </c>
      <c r="J656" s="1" t="b">
        <v>1</v>
      </c>
      <c r="K656" s="1" t="b">
        <v>0</v>
      </c>
    </row>
    <row r="657" spans="1:11" ht="19" customHeight="1" x14ac:dyDescent="0.3">
      <c r="A657" t="s">
        <v>43</v>
      </c>
      <c r="B657" s="1">
        <v>42</v>
      </c>
      <c r="C657" s="1" t="s">
        <v>186</v>
      </c>
      <c r="D657" s="1">
        <v>11.005980288485</v>
      </c>
      <c r="E657" s="1">
        <v>18.57988054750037</v>
      </c>
      <c r="F657" s="1">
        <v>3.4541135969874598E-2</v>
      </c>
      <c r="G657" s="1">
        <v>4.8352537959133003E-2</v>
      </c>
      <c r="H657" s="1">
        <v>27.36816543113202</v>
      </c>
      <c r="I657" s="1">
        <v>27.36816543113202</v>
      </c>
      <c r="J657" s="1" t="b">
        <v>1</v>
      </c>
      <c r="K657" s="1" t="b">
        <v>0</v>
      </c>
    </row>
    <row r="658" spans="1:11" ht="19" customHeight="1" x14ac:dyDescent="0.3">
      <c r="A658" t="s">
        <v>43</v>
      </c>
      <c r="B658" s="1">
        <v>42</v>
      </c>
      <c r="C658" s="1" t="s">
        <v>188</v>
      </c>
      <c r="D658" s="1">
        <v>10.46226751851909</v>
      </c>
      <c r="E658" s="1">
        <v>18.734347784647252</v>
      </c>
      <c r="F658" s="1">
        <v>3.1437540184585798E-2</v>
      </c>
      <c r="G658" s="1">
        <v>5.8383788967608603E-2</v>
      </c>
      <c r="H658" s="1">
        <v>27.369034203696099</v>
      </c>
      <c r="I658" s="1">
        <v>27.369034203696099</v>
      </c>
      <c r="J658" s="1" t="b">
        <v>1</v>
      </c>
      <c r="K658" s="1" t="b">
        <v>0</v>
      </c>
    </row>
    <row r="659" spans="1:11" ht="19" customHeight="1" x14ac:dyDescent="0.3">
      <c r="A659" t="s">
        <v>43</v>
      </c>
      <c r="B659" s="1">
        <v>42</v>
      </c>
      <c r="C659" s="1" t="s">
        <v>188</v>
      </c>
      <c r="D659" s="1">
        <v>20.23743255962464</v>
      </c>
      <c r="E659" s="1">
        <v>12.795049672186201</v>
      </c>
      <c r="F659" s="1">
        <v>3.09972460742532E-2</v>
      </c>
      <c r="G659" s="1">
        <v>4.0331302138795197E-2</v>
      </c>
      <c r="H659" s="1">
        <v>27.391214541675829</v>
      </c>
      <c r="I659" s="1">
        <v>27.391214541675829</v>
      </c>
      <c r="J659" s="1" t="b">
        <v>1</v>
      </c>
      <c r="K659" s="1" t="b">
        <v>0</v>
      </c>
    </row>
    <row r="660" spans="1:11" ht="19" customHeight="1" x14ac:dyDescent="0.3">
      <c r="A660" t="s">
        <v>43</v>
      </c>
      <c r="B660" s="1">
        <v>42</v>
      </c>
      <c r="C660" s="1" t="s">
        <v>186</v>
      </c>
      <c r="D660" s="1">
        <v>18.723075408600039</v>
      </c>
      <c r="E660" s="1">
        <v>16.424367325815052</v>
      </c>
      <c r="F660" s="1">
        <v>4.6209458267667598E-2</v>
      </c>
      <c r="G660" s="1">
        <v>4.5248620409992002E-2</v>
      </c>
      <c r="H660" s="1">
        <v>27.433911951284561</v>
      </c>
      <c r="I660" s="1">
        <v>27.433911951284561</v>
      </c>
      <c r="J660" s="1" t="b">
        <v>1</v>
      </c>
      <c r="K660" s="1" t="b">
        <v>0</v>
      </c>
    </row>
    <row r="661" spans="1:11" ht="19" customHeight="1" x14ac:dyDescent="0.3">
      <c r="A661" t="s">
        <v>43</v>
      </c>
      <c r="B661" s="1">
        <v>42</v>
      </c>
      <c r="C661" s="1" t="s">
        <v>186</v>
      </c>
      <c r="D661" s="1">
        <v>11.9985079650413</v>
      </c>
      <c r="E661" s="1">
        <v>17.01830025104157</v>
      </c>
      <c r="F661" s="1">
        <v>5.1950972273823399E-2</v>
      </c>
      <c r="G661" s="1">
        <v>5.8942144152856403E-2</v>
      </c>
      <c r="H661" s="1">
        <v>27.438009486305631</v>
      </c>
      <c r="I661" s="1">
        <v>27.438009486305631</v>
      </c>
      <c r="J661" s="1" t="b">
        <v>1</v>
      </c>
      <c r="K661" s="1" t="b">
        <v>0</v>
      </c>
    </row>
    <row r="662" spans="1:11" ht="19" customHeight="1" x14ac:dyDescent="0.3">
      <c r="A662" t="s">
        <v>43</v>
      </c>
      <c r="B662" s="1">
        <v>42</v>
      </c>
      <c r="C662" s="1" t="s">
        <v>187</v>
      </c>
      <c r="D662" s="1">
        <v>21.25</v>
      </c>
      <c r="E662" s="1">
        <v>15</v>
      </c>
      <c r="F662" s="1">
        <v>3.2500000000000001E-2</v>
      </c>
      <c r="G662" s="1">
        <v>5.1249999999999997E-2</v>
      </c>
      <c r="H662" s="1">
        <v>27.470344540576718</v>
      </c>
      <c r="I662" s="1">
        <v>27.470344540576718</v>
      </c>
      <c r="J662" s="1" t="b">
        <v>1</v>
      </c>
      <c r="K662" s="1" t="b">
        <v>0</v>
      </c>
    </row>
    <row r="663" spans="1:11" ht="19" customHeight="1" x14ac:dyDescent="0.3">
      <c r="A663" t="s">
        <v>43</v>
      </c>
      <c r="B663" s="1">
        <v>42</v>
      </c>
      <c r="C663" s="1" t="s">
        <v>186</v>
      </c>
      <c r="D663" s="1">
        <v>20.07551026608785</v>
      </c>
      <c r="E663" s="1">
        <v>18.779428414112719</v>
      </c>
      <c r="F663" s="1">
        <v>3.6490696857968102E-2</v>
      </c>
      <c r="G663" s="1">
        <v>5.5092591381459E-2</v>
      </c>
      <c r="H663" s="1">
        <v>27.510765212125989</v>
      </c>
      <c r="I663" s="1">
        <v>27.510765212125989</v>
      </c>
      <c r="J663" s="1" t="b">
        <v>1</v>
      </c>
      <c r="K663" s="1" t="b">
        <v>0</v>
      </c>
    </row>
    <row r="664" spans="1:11" ht="19" customHeight="1" x14ac:dyDescent="0.3">
      <c r="A664" t="s">
        <v>43</v>
      </c>
      <c r="B664" s="1">
        <v>42</v>
      </c>
      <c r="C664" s="1" t="s">
        <v>188</v>
      </c>
      <c r="D664" s="1">
        <v>11.948822580032081</v>
      </c>
      <c r="E664" s="1">
        <v>19.51409852451868</v>
      </c>
      <c r="F664" s="1">
        <v>3.1807280471526499E-2</v>
      </c>
      <c r="G664" s="1">
        <v>7.0141629760712906E-2</v>
      </c>
      <c r="H664" s="1">
        <v>27.514567336088561</v>
      </c>
      <c r="I664" s="1">
        <v>27.514567336088561</v>
      </c>
      <c r="J664" s="1" t="b">
        <v>1</v>
      </c>
      <c r="K664" s="1" t="b">
        <v>0</v>
      </c>
    </row>
    <row r="665" spans="1:11" ht="19" customHeight="1" x14ac:dyDescent="0.3">
      <c r="A665" t="s">
        <v>43</v>
      </c>
      <c r="B665" s="1">
        <v>42</v>
      </c>
      <c r="C665" s="1" t="s">
        <v>187</v>
      </c>
      <c r="D665" s="1">
        <v>21.25</v>
      </c>
      <c r="E665" s="1">
        <v>15</v>
      </c>
      <c r="F665" s="1">
        <v>3.2500000000000001E-2</v>
      </c>
      <c r="G665" s="1">
        <v>7.3749999999999996E-2</v>
      </c>
      <c r="H665" s="1">
        <v>27.530894980540339</v>
      </c>
      <c r="I665" s="1">
        <v>27.530894980540339</v>
      </c>
      <c r="J665" s="1" t="b">
        <v>1</v>
      </c>
      <c r="K665" s="1" t="b">
        <v>0</v>
      </c>
    </row>
    <row r="666" spans="1:11" ht="19" customHeight="1" x14ac:dyDescent="0.3">
      <c r="A666" t="s">
        <v>43</v>
      </c>
      <c r="B666" s="1">
        <v>42</v>
      </c>
      <c r="C666" s="1" t="s">
        <v>188</v>
      </c>
      <c r="D666" s="1">
        <v>21.67575245610643</v>
      </c>
      <c r="E666" s="1">
        <v>13.89277415703935</v>
      </c>
      <c r="F666" s="1">
        <v>3.9001630111811E-2</v>
      </c>
      <c r="G666" s="1">
        <v>4.1971169460425298E-2</v>
      </c>
      <c r="H666" s="1">
        <v>27.54639239159842</v>
      </c>
      <c r="I666" s="1">
        <v>27.54639239159842</v>
      </c>
      <c r="J666" s="1" t="b">
        <v>1</v>
      </c>
      <c r="K666" s="1" t="b">
        <v>0</v>
      </c>
    </row>
    <row r="667" spans="1:11" ht="19" customHeight="1" x14ac:dyDescent="0.3">
      <c r="A667" t="s">
        <v>43</v>
      </c>
      <c r="B667" s="1">
        <v>42</v>
      </c>
      <c r="C667" s="1" t="s">
        <v>188</v>
      </c>
      <c r="D667" s="1">
        <v>12.419076685504031</v>
      </c>
      <c r="E667" s="1">
        <v>20.020895502067269</v>
      </c>
      <c r="F667" s="1">
        <v>2.9569363081395E-2</v>
      </c>
      <c r="G667" s="1">
        <v>7.1334416878498105E-2</v>
      </c>
      <c r="H667" s="1">
        <v>27.609911664240741</v>
      </c>
      <c r="I667" s="1">
        <v>27.609911664240741</v>
      </c>
      <c r="J667" s="1" t="b">
        <v>1</v>
      </c>
      <c r="K667" s="1" t="b">
        <v>0</v>
      </c>
    </row>
    <row r="668" spans="1:11" ht="19" customHeight="1" x14ac:dyDescent="0.3">
      <c r="A668" t="s">
        <v>43</v>
      </c>
      <c r="B668" s="1">
        <v>42</v>
      </c>
      <c r="C668" s="1" t="s">
        <v>189</v>
      </c>
      <c r="D668" s="1">
        <v>17.5</v>
      </c>
      <c r="E668" s="1">
        <v>20</v>
      </c>
      <c r="F668" s="1">
        <v>0.04</v>
      </c>
      <c r="G668" s="1">
        <v>0.06</v>
      </c>
      <c r="H668" s="1">
        <v>27.627761975429369</v>
      </c>
      <c r="I668" s="1">
        <v>27.627761975429369</v>
      </c>
      <c r="J668" s="1" t="b">
        <v>1</v>
      </c>
      <c r="K668" s="1" t="b">
        <v>0</v>
      </c>
    </row>
    <row r="669" spans="1:11" ht="19" customHeight="1" x14ac:dyDescent="0.3">
      <c r="A669" t="s">
        <v>43</v>
      </c>
      <c r="B669" s="1">
        <v>42</v>
      </c>
      <c r="C669" s="1" t="s">
        <v>188</v>
      </c>
      <c r="D669" s="1">
        <v>11.921704490133189</v>
      </c>
      <c r="E669" s="1">
        <v>19.007718757911341</v>
      </c>
      <c r="F669" s="1">
        <v>3.6123940726977402E-2</v>
      </c>
      <c r="G669" s="1">
        <v>8.1704424498187003E-2</v>
      </c>
      <c r="H669" s="1">
        <v>27.630516032340569</v>
      </c>
      <c r="I669" s="1">
        <v>27.630516032340569</v>
      </c>
      <c r="J669" s="1" t="b">
        <v>1</v>
      </c>
      <c r="K669" s="1" t="b">
        <v>0</v>
      </c>
    </row>
    <row r="670" spans="1:11" ht="19" customHeight="1" x14ac:dyDescent="0.3">
      <c r="A670" t="s">
        <v>43</v>
      </c>
      <c r="B670" s="1">
        <v>42</v>
      </c>
      <c r="C670" s="1" t="s">
        <v>187</v>
      </c>
      <c r="D670" s="1">
        <v>21.25</v>
      </c>
      <c r="E670" s="1">
        <v>15</v>
      </c>
      <c r="F670" s="1">
        <v>4.7500000000000001E-2</v>
      </c>
      <c r="G670" s="1">
        <v>5.1249999999999997E-2</v>
      </c>
      <c r="H670" s="1">
        <v>27.641800155841889</v>
      </c>
      <c r="I670" s="1">
        <v>27.641800155841889</v>
      </c>
      <c r="J670" s="1" t="b">
        <v>1</v>
      </c>
      <c r="K670" s="1" t="b">
        <v>0</v>
      </c>
    </row>
    <row r="671" spans="1:11" ht="19" customHeight="1" x14ac:dyDescent="0.3">
      <c r="A671" t="s">
        <v>43</v>
      </c>
      <c r="B671" s="1">
        <v>42</v>
      </c>
      <c r="C671" s="1" t="s">
        <v>186</v>
      </c>
      <c r="D671" s="1">
        <v>21.450466345058661</v>
      </c>
      <c r="E671" s="1">
        <v>13.38509072224506</v>
      </c>
      <c r="F671" s="1">
        <v>4.5996600240610197E-2</v>
      </c>
      <c r="G671" s="1">
        <v>4.0207334996496799E-2</v>
      </c>
      <c r="H671" s="1">
        <v>27.67092426046392</v>
      </c>
      <c r="I671" s="1">
        <v>27.67092426046392</v>
      </c>
      <c r="J671" s="1" t="b">
        <v>1</v>
      </c>
      <c r="K671" s="1" t="b">
        <v>1</v>
      </c>
    </row>
    <row r="672" spans="1:11" ht="19" customHeight="1" x14ac:dyDescent="0.3">
      <c r="A672" t="s">
        <v>43</v>
      </c>
      <c r="B672" s="1">
        <v>42</v>
      </c>
      <c r="C672" s="1" t="s">
        <v>186</v>
      </c>
      <c r="D672" s="1">
        <v>12.43854532350926</v>
      </c>
      <c r="E672" s="1">
        <v>18.8080630159</v>
      </c>
      <c r="F672" s="1">
        <v>5.1334801166707203E-2</v>
      </c>
      <c r="G672" s="1">
        <v>4.8953325183962698E-2</v>
      </c>
      <c r="H672" s="1">
        <v>27.68937131029972</v>
      </c>
      <c r="I672" s="1">
        <v>27.68937131029972</v>
      </c>
      <c r="J672" s="1" t="b">
        <v>1</v>
      </c>
      <c r="K672" s="1" t="b">
        <v>1</v>
      </c>
    </row>
    <row r="673" spans="1:11" ht="19" customHeight="1" x14ac:dyDescent="0.3">
      <c r="A673" t="s">
        <v>43</v>
      </c>
      <c r="B673" s="1">
        <v>42</v>
      </c>
      <c r="C673" s="1" t="s">
        <v>186</v>
      </c>
      <c r="D673" s="1">
        <v>11.97682023037469</v>
      </c>
      <c r="E673" s="1">
        <v>18.779428414112719</v>
      </c>
      <c r="F673" s="1">
        <v>5.0496062460270698E-2</v>
      </c>
      <c r="G673" s="1">
        <v>4.2770900787497901E-2</v>
      </c>
      <c r="H673" s="1">
        <v>27.69801569430226</v>
      </c>
      <c r="I673" s="1">
        <v>27.69801569430226</v>
      </c>
      <c r="J673" s="1" t="b">
        <v>1</v>
      </c>
      <c r="K673" s="1" t="b">
        <v>1</v>
      </c>
    </row>
    <row r="674" spans="1:11" ht="19" customHeight="1" x14ac:dyDescent="0.3">
      <c r="A674" t="s">
        <v>43</v>
      </c>
      <c r="B674" s="1">
        <v>42</v>
      </c>
      <c r="C674" s="1" t="s">
        <v>187</v>
      </c>
      <c r="D674" s="1">
        <v>21.25</v>
      </c>
      <c r="E674" s="1">
        <v>15</v>
      </c>
      <c r="F674" s="1">
        <v>4.7500000000000001E-2</v>
      </c>
      <c r="G674" s="1">
        <v>7.3749999999999996E-2</v>
      </c>
      <c r="H674" s="1">
        <v>27.700954236095349</v>
      </c>
      <c r="I674" s="1">
        <v>27.700954236095349</v>
      </c>
      <c r="J674" s="1" t="b">
        <v>1</v>
      </c>
      <c r="K674" s="1" t="b">
        <v>0</v>
      </c>
    </row>
    <row r="675" spans="1:11" ht="19" customHeight="1" x14ac:dyDescent="0.3">
      <c r="A675" t="s">
        <v>43</v>
      </c>
      <c r="B675" s="1">
        <v>42</v>
      </c>
      <c r="C675" s="1" t="s">
        <v>188</v>
      </c>
      <c r="D675" s="1">
        <v>22.801046099022489</v>
      </c>
      <c r="E675" s="1">
        <v>14.67878971730682</v>
      </c>
      <c r="F675" s="1">
        <v>2.67490822506719E-2</v>
      </c>
      <c r="G675" s="1">
        <v>5.2662275140989798E-2</v>
      </c>
      <c r="H675" s="1">
        <v>27.706631675329231</v>
      </c>
      <c r="I675" s="1">
        <v>27.706631675329231</v>
      </c>
      <c r="J675" s="1" t="b">
        <v>1</v>
      </c>
      <c r="K675" s="1" t="b">
        <v>0</v>
      </c>
    </row>
    <row r="676" spans="1:11" ht="19" customHeight="1" x14ac:dyDescent="0.3">
      <c r="A676" t="s">
        <v>43</v>
      </c>
      <c r="B676" s="1">
        <v>42</v>
      </c>
      <c r="C676" s="1" t="s">
        <v>188</v>
      </c>
      <c r="D676" s="1">
        <v>20.02604442685708</v>
      </c>
      <c r="E676" s="1">
        <v>19.421924122862649</v>
      </c>
      <c r="F676" s="1">
        <v>4.1957083194435599E-2</v>
      </c>
      <c r="G676" s="1">
        <v>7.4424948583721104E-2</v>
      </c>
      <c r="H676" s="1">
        <v>27.708862355974869</v>
      </c>
      <c r="I676" s="1">
        <v>27.708862355974869</v>
      </c>
      <c r="J676" s="1" t="b">
        <v>1</v>
      </c>
      <c r="K676" s="1" t="b">
        <v>0</v>
      </c>
    </row>
    <row r="677" spans="1:11" ht="19" customHeight="1" x14ac:dyDescent="0.3">
      <c r="A677" t="s">
        <v>43</v>
      </c>
      <c r="B677" s="1">
        <v>42</v>
      </c>
      <c r="C677" s="1" t="s">
        <v>188</v>
      </c>
      <c r="D677" s="1">
        <v>19.964703104910811</v>
      </c>
      <c r="E677" s="1">
        <v>18.127737228801411</v>
      </c>
      <c r="F677" s="1">
        <v>4.9420611539981001E-2</v>
      </c>
      <c r="G677" s="1">
        <v>4.7513781395846597E-2</v>
      </c>
      <c r="H677" s="1">
        <v>27.724832776715729</v>
      </c>
      <c r="I677" s="1">
        <v>27.724832776715729</v>
      </c>
      <c r="J677" s="1" t="b">
        <v>1</v>
      </c>
      <c r="K677" s="1" t="b">
        <v>0</v>
      </c>
    </row>
    <row r="678" spans="1:11" ht="19" customHeight="1" x14ac:dyDescent="0.3">
      <c r="A678" t="s">
        <v>43</v>
      </c>
      <c r="B678" s="1">
        <v>42</v>
      </c>
      <c r="C678" s="1" t="s">
        <v>186</v>
      </c>
      <c r="D678" s="1">
        <v>11.905907689778269</v>
      </c>
      <c r="E678" s="1">
        <v>20.444865201096089</v>
      </c>
      <c r="F678" s="1">
        <v>3.9264146597315197E-2</v>
      </c>
      <c r="G678" s="1">
        <v>4.0207334996496799E-2</v>
      </c>
      <c r="H678" s="1">
        <v>27.727815997351239</v>
      </c>
      <c r="I678" s="1">
        <v>27.727815997351239</v>
      </c>
      <c r="J678" s="1" t="b">
        <v>1</v>
      </c>
      <c r="K678" s="1" t="b">
        <v>0</v>
      </c>
    </row>
    <row r="679" spans="1:11" ht="19" customHeight="1" x14ac:dyDescent="0.3">
      <c r="A679" t="s">
        <v>43</v>
      </c>
      <c r="B679" s="1">
        <v>42</v>
      </c>
      <c r="C679" s="1" t="s">
        <v>186</v>
      </c>
      <c r="D679" s="1">
        <v>11.963891243396031</v>
      </c>
      <c r="E679" s="1">
        <v>21.372090142507979</v>
      </c>
      <c r="F679" s="1">
        <v>3.1026557941529399E-2</v>
      </c>
      <c r="G679" s="1">
        <v>7.2400191309562503E-2</v>
      </c>
      <c r="H679" s="1">
        <v>27.819698319226291</v>
      </c>
      <c r="I679" s="1">
        <v>27.819698319226291</v>
      </c>
      <c r="J679" s="1" t="b">
        <v>1</v>
      </c>
      <c r="K679" s="1" t="b">
        <v>0</v>
      </c>
    </row>
    <row r="680" spans="1:11" ht="19" customHeight="1" x14ac:dyDescent="0.3">
      <c r="A680" t="s">
        <v>43</v>
      </c>
      <c r="B680" s="1">
        <v>42</v>
      </c>
      <c r="C680" s="1" t="s">
        <v>186</v>
      </c>
      <c r="D680" s="1">
        <v>22.193515136951159</v>
      </c>
      <c r="E680" s="1">
        <v>16.690605089884901</v>
      </c>
      <c r="F680" s="1">
        <v>4.1636077677537797E-2</v>
      </c>
      <c r="G680" s="1">
        <v>4.0207334996496799E-2</v>
      </c>
      <c r="H680" s="1">
        <v>27.821294463192601</v>
      </c>
      <c r="I680" s="1">
        <v>27.821294463192601</v>
      </c>
      <c r="J680" s="1" t="b">
        <v>1</v>
      </c>
      <c r="K680" s="1" t="b">
        <v>0</v>
      </c>
    </row>
    <row r="681" spans="1:11" ht="19" customHeight="1" x14ac:dyDescent="0.3">
      <c r="A681" t="s">
        <v>43</v>
      </c>
      <c r="B681" s="1">
        <v>42</v>
      </c>
      <c r="C681" s="1" t="s">
        <v>188</v>
      </c>
      <c r="D681" s="1">
        <v>19.520774800008869</v>
      </c>
      <c r="E681" s="1">
        <v>21.071588013159921</v>
      </c>
      <c r="F681" s="1">
        <v>4.1776214822362399E-2</v>
      </c>
      <c r="G681" s="1">
        <v>5.3677754412817497E-2</v>
      </c>
      <c r="H681" s="1">
        <v>27.879903365937189</v>
      </c>
      <c r="I681" s="1">
        <v>27.879903365937189</v>
      </c>
      <c r="J681" s="1" t="b">
        <v>1</v>
      </c>
      <c r="K681" s="1" t="b">
        <v>0</v>
      </c>
    </row>
    <row r="682" spans="1:11" ht="19" customHeight="1" x14ac:dyDescent="0.3">
      <c r="A682" t="s">
        <v>43</v>
      </c>
      <c r="B682" s="1">
        <v>42</v>
      </c>
      <c r="C682" s="1" t="s">
        <v>186</v>
      </c>
      <c r="D682" s="1">
        <v>18.70662491024148</v>
      </c>
      <c r="E682" s="1">
        <v>20.477850482832249</v>
      </c>
      <c r="F682" s="1">
        <v>4.3605523273777702E-2</v>
      </c>
      <c r="G682" s="1">
        <v>4.0309817265178002E-2</v>
      </c>
      <c r="H682" s="1">
        <v>27.880459315889599</v>
      </c>
      <c r="I682" s="1">
        <v>27.880459315889599</v>
      </c>
      <c r="J682" s="1" t="b">
        <v>1</v>
      </c>
      <c r="K682" s="1" t="b">
        <v>0</v>
      </c>
    </row>
    <row r="683" spans="1:11" ht="19" customHeight="1" x14ac:dyDescent="0.3">
      <c r="A683" t="s">
        <v>43</v>
      </c>
      <c r="B683" s="1">
        <v>42</v>
      </c>
      <c r="C683" s="1" t="s">
        <v>186</v>
      </c>
      <c r="D683" s="1">
        <v>10.3511313614194</v>
      </c>
      <c r="E683" s="1">
        <v>21.372090142507979</v>
      </c>
      <c r="F683" s="1">
        <v>2.8788595926804599E-2</v>
      </c>
      <c r="G683" s="1">
        <v>7.2400191309562503E-2</v>
      </c>
      <c r="H683" s="1">
        <v>27.881313575941519</v>
      </c>
      <c r="I683" s="1">
        <v>27.881313575941519</v>
      </c>
      <c r="J683" s="1" t="b">
        <v>1</v>
      </c>
      <c r="K683" s="1" t="b">
        <v>0</v>
      </c>
    </row>
    <row r="684" spans="1:11" ht="19" customHeight="1" x14ac:dyDescent="0.3">
      <c r="A684" t="s">
        <v>43</v>
      </c>
      <c r="B684" s="1">
        <v>42</v>
      </c>
      <c r="C684" s="1" t="s">
        <v>188</v>
      </c>
      <c r="D684" s="1">
        <v>16.883736633075099</v>
      </c>
      <c r="E684" s="1">
        <v>21.374823919057871</v>
      </c>
      <c r="F684" s="1">
        <v>2.9193909943829699E-2</v>
      </c>
      <c r="G684" s="1">
        <v>4.5153853309118801E-2</v>
      </c>
      <c r="H684" s="1">
        <v>27.886280974167811</v>
      </c>
      <c r="I684" s="1">
        <v>27.886280974167811</v>
      </c>
      <c r="J684" s="1" t="b">
        <v>1</v>
      </c>
      <c r="K684" s="1" t="b">
        <v>0</v>
      </c>
    </row>
    <row r="685" spans="1:11" ht="19" customHeight="1" x14ac:dyDescent="0.3">
      <c r="A685" t="s">
        <v>43</v>
      </c>
      <c r="B685" s="1">
        <v>42</v>
      </c>
      <c r="C685" s="1" t="s">
        <v>186</v>
      </c>
      <c r="D685" s="1">
        <v>16.05256561020347</v>
      </c>
      <c r="E685" s="1">
        <v>21.186106921566669</v>
      </c>
      <c r="F685" s="1">
        <v>3.4922771216003498E-2</v>
      </c>
      <c r="G685" s="1">
        <v>8.3190868731325696E-2</v>
      </c>
      <c r="H685" s="1">
        <v>27.926590663998159</v>
      </c>
      <c r="I685" s="1">
        <v>27.926590663998159</v>
      </c>
      <c r="J685" s="1" t="b">
        <v>1</v>
      </c>
      <c r="K685" s="1" t="b">
        <v>0</v>
      </c>
    </row>
    <row r="686" spans="1:11" ht="19" customHeight="1" x14ac:dyDescent="0.3">
      <c r="A686" t="s">
        <v>43</v>
      </c>
      <c r="B686" s="1">
        <v>42</v>
      </c>
      <c r="C686" s="1" t="s">
        <v>185</v>
      </c>
      <c r="D686" s="1">
        <v>12.477897074057021</v>
      </c>
      <c r="E686" s="1">
        <v>22.360679774997891</v>
      </c>
      <c r="F686" s="1">
        <v>3.8372824730391303E-2</v>
      </c>
      <c r="G686" s="1">
        <v>5.5092892684263498E-2</v>
      </c>
      <c r="H686" s="1">
        <v>27.937063023127049</v>
      </c>
      <c r="I686" s="1">
        <v>27.937063023127049</v>
      </c>
      <c r="J686" s="1" t="b">
        <v>1</v>
      </c>
      <c r="K686" s="1" t="b">
        <v>0</v>
      </c>
    </row>
    <row r="687" spans="1:11" ht="19" customHeight="1" x14ac:dyDescent="0.3">
      <c r="A687" t="s">
        <v>43</v>
      </c>
      <c r="B687" s="1">
        <v>42</v>
      </c>
      <c r="C687" s="1" t="s">
        <v>188</v>
      </c>
      <c r="D687" s="1">
        <v>21.609340728339451</v>
      </c>
      <c r="E687" s="1">
        <v>18.777568795041049</v>
      </c>
      <c r="F687" s="1">
        <v>5.0757937597341402E-2</v>
      </c>
      <c r="G687" s="1">
        <v>7.1381561307671301E-2</v>
      </c>
      <c r="H687" s="1">
        <v>27.998962291706409</v>
      </c>
      <c r="I687" s="1">
        <v>27.998962291706409</v>
      </c>
      <c r="J687" s="1" t="b">
        <v>1</v>
      </c>
      <c r="K687" s="1" t="b">
        <v>0</v>
      </c>
    </row>
    <row r="688" spans="1:11" ht="19" customHeight="1" x14ac:dyDescent="0.3">
      <c r="A688" t="s">
        <v>43</v>
      </c>
      <c r="B688" s="1">
        <v>42</v>
      </c>
      <c r="C688" s="1" t="s">
        <v>186</v>
      </c>
      <c r="D688" s="1">
        <v>24.426884959083889</v>
      </c>
      <c r="E688" s="1">
        <v>19.600919340369501</v>
      </c>
      <c r="F688" s="1">
        <v>3.7761318917518299E-2</v>
      </c>
      <c r="G688" s="1">
        <v>6.5699760494014603E-2</v>
      </c>
      <c r="H688" s="1">
        <v>28.02241723080612</v>
      </c>
      <c r="I688" s="1">
        <v>28.02241723080612</v>
      </c>
      <c r="J688" s="1" t="b">
        <v>1</v>
      </c>
      <c r="K688" s="1" t="b">
        <v>0</v>
      </c>
    </row>
    <row r="689" spans="1:11" ht="19" customHeight="1" x14ac:dyDescent="0.3">
      <c r="A689" t="s">
        <v>43</v>
      </c>
      <c r="B689" s="1">
        <v>42</v>
      </c>
      <c r="C689" s="1" t="s">
        <v>186</v>
      </c>
      <c r="D689" s="1">
        <v>12.56109589449369</v>
      </c>
      <c r="E689" s="1">
        <v>22.626654199718221</v>
      </c>
      <c r="F689" s="1">
        <v>4.0985607222092997E-2</v>
      </c>
      <c r="G689" s="1">
        <v>4.8605721053774899E-2</v>
      </c>
      <c r="H689" s="1">
        <v>28.031575061155941</v>
      </c>
      <c r="I689" s="1">
        <v>28.031575061155941</v>
      </c>
      <c r="J689" s="1" t="b">
        <v>1</v>
      </c>
      <c r="K689" s="1" t="b">
        <v>0</v>
      </c>
    </row>
    <row r="690" spans="1:11" ht="19" customHeight="1" x14ac:dyDescent="0.3">
      <c r="A690" t="s">
        <v>43</v>
      </c>
      <c r="B690" s="1">
        <v>42</v>
      </c>
      <c r="C690" s="1" t="s">
        <v>188</v>
      </c>
      <c r="D690" s="1">
        <v>21.371316101280609</v>
      </c>
      <c r="E690" s="1">
        <v>17.090519362597369</v>
      </c>
      <c r="F690" s="1">
        <v>5.4120940731847103E-2</v>
      </c>
      <c r="G690" s="1">
        <v>8.0190450459498894E-2</v>
      </c>
      <c r="H690" s="1">
        <v>28.062505815678499</v>
      </c>
      <c r="I690" s="1">
        <v>28.062505815678499</v>
      </c>
      <c r="J690" s="1" t="b">
        <v>1</v>
      </c>
      <c r="K690" s="1" t="b">
        <v>1</v>
      </c>
    </row>
    <row r="691" spans="1:11" ht="19" customHeight="1" x14ac:dyDescent="0.3">
      <c r="A691" t="s">
        <v>43</v>
      </c>
      <c r="B691" s="1">
        <v>42</v>
      </c>
      <c r="C691" s="1" t="s">
        <v>186</v>
      </c>
      <c r="D691" s="1">
        <v>23.068280257716431</v>
      </c>
      <c r="E691" s="1">
        <v>18.481469951741271</v>
      </c>
      <c r="F691" s="1">
        <v>4.9317971177058502E-2</v>
      </c>
      <c r="G691" s="1">
        <v>6.4773617541577497E-2</v>
      </c>
      <c r="H691" s="1">
        <v>28.076524269932111</v>
      </c>
      <c r="I691" s="1">
        <v>28.076524269932111</v>
      </c>
      <c r="J691" s="1" t="b">
        <v>1</v>
      </c>
      <c r="K691" s="1" t="b">
        <v>0</v>
      </c>
    </row>
    <row r="692" spans="1:11" ht="19" customHeight="1" x14ac:dyDescent="0.3">
      <c r="A692" t="s">
        <v>43</v>
      </c>
      <c r="B692" s="1">
        <v>42</v>
      </c>
      <c r="C692" s="1" t="s">
        <v>186</v>
      </c>
      <c r="D692" s="1">
        <v>11.54352283550771</v>
      </c>
      <c r="E692" s="1">
        <v>21.332571713597019</v>
      </c>
      <c r="F692" s="1">
        <v>5.1334801166707203E-2</v>
      </c>
      <c r="G692" s="1">
        <v>7.2914797393099307E-2</v>
      </c>
      <c r="H692" s="1">
        <v>28.10118025161762</v>
      </c>
      <c r="I692" s="1">
        <v>28.10118025161762</v>
      </c>
      <c r="J692" s="1" t="b">
        <v>1</v>
      </c>
      <c r="K692" s="1" t="b">
        <v>1</v>
      </c>
    </row>
    <row r="693" spans="1:11" ht="19" customHeight="1" x14ac:dyDescent="0.3">
      <c r="A693" t="s">
        <v>43</v>
      </c>
      <c r="B693" s="1">
        <v>42</v>
      </c>
      <c r="C693" s="1" t="s">
        <v>186</v>
      </c>
      <c r="D693" s="1">
        <v>18.723075408600039</v>
      </c>
      <c r="E693" s="1">
        <v>22.578856935597681</v>
      </c>
      <c r="F693" s="1">
        <v>4.47310581725959E-2</v>
      </c>
      <c r="G693" s="1">
        <v>7.1891192865990702E-2</v>
      </c>
      <c r="H693" s="1">
        <v>28.177759390529609</v>
      </c>
      <c r="I693" s="1">
        <v>28.177759390529609</v>
      </c>
      <c r="J693" s="1" t="b">
        <v>1</v>
      </c>
      <c r="K693" s="1" t="b">
        <v>0</v>
      </c>
    </row>
    <row r="694" spans="1:11" ht="19" customHeight="1" x14ac:dyDescent="0.3">
      <c r="A694" t="s">
        <v>43</v>
      </c>
      <c r="B694" s="1">
        <v>42</v>
      </c>
      <c r="C694" s="1" t="s">
        <v>186</v>
      </c>
      <c r="D694" s="1">
        <v>21.76254088688432</v>
      </c>
      <c r="E694" s="1">
        <v>23.11897113763909</v>
      </c>
      <c r="F694" s="1">
        <v>3.9264146597315197E-2</v>
      </c>
      <c r="G694" s="1">
        <v>6.6550428888642599E-2</v>
      </c>
      <c r="H694" s="1">
        <v>28.184826616201619</v>
      </c>
      <c r="I694" s="1">
        <v>28.184826616201619</v>
      </c>
      <c r="J694" s="1" t="b">
        <v>1</v>
      </c>
      <c r="K694" s="1" t="b">
        <v>0</v>
      </c>
    </row>
    <row r="695" spans="1:11" ht="19" customHeight="1" x14ac:dyDescent="0.3">
      <c r="A695" t="s">
        <v>43</v>
      </c>
      <c r="B695" s="1">
        <v>42</v>
      </c>
      <c r="C695" s="1" t="s">
        <v>188</v>
      </c>
      <c r="D695" s="1">
        <v>14.40390636650026</v>
      </c>
      <c r="E695" s="1">
        <v>23.238330294537899</v>
      </c>
      <c r="F695" s="1">
        <v>4.1710964570238297E-2</v>
      </c>
      <c r="G695" s="1">
        <v>7.5275419409788602E-2</v>
      </c>
      <c r="H695" s="1">
        <v>28.194328907686121</v>
      </c>
      <c r="I695" s="1">
        <v>28.194328907686121</v>
      </c>
      <c r="J695" s="1" t="b">
        <v>1</v>
      </c>
      <c r="K695" s="1" t="b">
        <v>0</v>
      </c>
    </row>
    <row r="696" spans="1:11" ht="19" customHeight="1" x14ac:dyDescent="0.3">
      <c r="A696" t="s">
        <v>43</v>
      </c>
      <c r="B696" s="1">
        <v>42</v>
      </c>
      <c r="C696" s="1" t="s">
        <v>186</v>
      </c>
      <c r="D696" s="1">
        <v>16.60445207272247</v>
      </c>
      <c r="E696" s="1">
        <v>23.900111987275881</v>
      </c>
      <c r="F696" s="1">
        <v>4.26959653906707E-2</v>
      </c>
      <c r="G696" s="1">
        <v>5.9677217392753799E-2</v>
      </c>
      <c r="H696" s="1">
        <v>28.196276563758861</v>
      </c>
      <c r="I696" s="1">
        <v>28.196276563758861</v>
      </c>
      <c r="J696" s="1" t="b">
        <v>1</v>
      </c>
      <c r="K696" s="1" t="b">
        <v>0</v>
      </c>
    </row>
    <row r="697" spans="1:11" ht="19" customHeight="1" x14ac:dyDescent="0.3">
      <c r="A697" t="s">
        <v>43</v>
      </c>
      <c r="B697" s="1">
        <v>42</v>
      </c>
      <c r="C697" s="1" t="s">
        <v>186</v>
      </c>
      <c r="D697" s="1">
        <v>22.738351157412669</v>
      </c>
      <c r="E697" s="1">
        <v>23.152257846006869</v>
      </c>
      <c r="F697" s="1">
        <v>4.3814478477091003E-2</v>
      </c>
      <c r="G697" s="1">
        <v>4.4709750824528202E-2</v>
      </c>
      <c r="H697" s="1">
        <v>28.34759525688095</v>
      </c>
      <c r="I697" s="1">
        <v>28.34759525688095</v>
      </c>
      <c r="J697" s="1" t="b">
        <v>1</v>
      </c>
      <c r="K697" s="1" t="b">
        <v>0</v>
      </c>
    </row>
    <row r="698" spans="1:11" ht="19" customHeight="1" x14ac:dyDescent="0.3">
      <c r="A698" t="s">
        <v>43</v>
      </c>
      <c r="B698" s="1">
        <v>42</v>
      </c>
      <c r="C698" s="1" t="s">
        <v>188</v>
      </c>
      <c r="D698" s="1">
        <v>21.803865662532079</v>
      </c>
      <c r="E698" s="1">
        <v>23.29701713184064</v>
      </c>
      <c r="F698" s="1">
        <v>4.6154961358789999E-2</v>
      </c>
      <c r="G698" s="1">
        <v>7.5132806395988502E-2</v>
      </c>
      <c r="H698" s="1">
        <v>28.37064340315565</v>
      </c>
      <c r="I698" s="1">
        <v>28.37064340315565</v>
      </c>
      <c r="J698" s="1" t="b">
        <v>1</v>
      </c>
      <c r="K698" s="1" t="b">
        <v>0</v>
      </c>
    </row>
    <row r="699" spans="1:11" ht="19" customHeight="1" x14ac:dyDescent="0.3">
      <c r="A699" t="s">
        <v>43</v>
      </c>
      <c r="B699" s="1">
        <v>42</v>
      </c>
      <c r="C699" s="1" t="s">
        <v>187</v>
      </c>
      <c r="D699" s="1">
        <v>13.75</v>
      </c>
      <c r="E699" s="1">
        <v>25</v>
      </c>
      <c r="F699" s="1">
        <v>3.2500000000000001E-2</v>
      </c>
      <c r="G699" s="1">
        <v>5.1249999999999997E-2</v>
      </c>
      <c r="H699" s="1">
        <v>28.404411962651562</v>
      </c>
      <c r="I699" s="1">
        <v>28.404411962651562</v>
      </c>
      <c r="J699" s="1" t="b">
        <v>1</v>
      </c>
      <c r="K699" s="1" t="b">
        <v>0</v>
      </c>
    </row>
    <row r="700" spans="1:11" ht="19" customHeight="1" x14ac:dyDescent="0.3">
      <c r="A700" t="s">
        <v>43</v>
      </c>
      <c r="B700" s="1">
        <v>42</v>
      </c>
      <c r="C700" s="1" t="s">
        <v>187</v>
      </c>
      <c r="D700" s="1">
        <v>13.75</v>
      </c>
      <c r="E700" s="1">
        <v>25</v>
      </c>
      <c r="F700" s="1">
        <v>3.2500000000000001E-2</v>
      </c>
      <c r="G700" s="1">
        <v>7.3749999999999996E-2</v>
      </c>
      <c r="H700" s="1">
        <v>28.446031567722819</v>
      </c>
      <c r="I700" s="1">
        <v>28.446031567722819</v>
      </c>
      <c r="J700" s="1" t="b">
        <v>1</v>
      </c>
      <c r="K700" s="1" t="b">
        <v>0</v>
      </c>
    </row>
    <row r="701" spans="1:11" ht="19" customHeight="1" x14ac:dyDescent="0.3">
      <c r="A701" t="s">
        <v>43</v>
      </c>
      <c r="B701" s="1">
        <v>42</v>
      </c>
      <c r="C701" s="1" t="s">
        <v>186</v>
      </c>
      <c r="D701" s="1">
        <v>17.117888658308161</v>
      </c>
      <c r="E701" s="1">
        <v>25.231068069406909</v>
      </c>
      <c r="F701" s="1">
        <v>4.3157936924710198E-2</v>
      </c>
      <c r="G701" s="1">
        <v>6.0167099097870498E-2</v>
      </c>
      <c r="H701" s="1">
        <v>28.449167689068052</v>
      </c>
      <c r="I701" s="1">
        <v>28.449167689068052</v>
      </c>
      <c r="J701" s="1" t="b">
        <v>1</v>
      </c>
      <c r="K701" s="1" t="b">
        <v>0</v>
      </c>
    </row>
    <row r="702" spans="1:11" ht="19" customHeight="1" x14ac:dyDescent="0.3">
      <c r="A702" t="s">
        <v>43</v>
      </c>
      <c r="B702" s="1">
        <v>42</v>
      </c>
      <c r="C702" s="1" t="s">
        <v>187</v>
      </c>
      <c r="D702" s="1">
        <v>21.25</v>
      </c>
      <c r="E702" s="1">
        <v>25</v>
      </c>
      <c r="F702" s="1">
        <v>3.2500000000000001E-2</v>
      </c>
      <c r="G702" s="1">
        <v>5.1249999999999997E-2</v>
      </c>
      <c r="H702" s="1">
        <v>28.498595266263369</v>
      </c>
      <c r="I702" s="1">
        <v>28.498595266263369</v>
      </c>
      <c r="J702" s="1" t="b">
        <v>1</v>
      </c>
      <c r="K702" s="1" t="b">
        <v>0</v>
      </c>
    </row>
    <row r="703" spans="1:11" ht="19" customHeight="1" x14ac:dyDescent="0.3">
      <c r="A703" t="s">
        <v>43</v>
      </c>
      <c r="B703" s="1">
        <v>42</v>
      </c>
      <c r="C703" s="1" t="s">
        <v>188</v>
      </c>
      <c r="D703" s="1">
        <v>12.314342381013221</v>
      </c>
      <c r="E703" s="1">
        <v>23.660979064849091</v>
      </c>
      <c r="F703" s="1">
        <v>4.7342864677234503E-2</v>
      </c>
      <c r="G703" s="1">
        <v>8.3537937959539399E-2</v>
      </c>
      <c r="H703" s="1">
        <v>28.50266058513348</v>
      </c>
      <c r="I703" s="1">
        <v>28.50266058513348</v>
      </c>
      <c r="J703" s="1" t="b">
        <v>1</v>
      </c>
      <c r="K703" s="1" t="b">
        <v>1</v>
      </c>
    </row>
    <row r="704" spans="1:11" ht="19" customHeight="1" x14ac:dyDescent="0.3">
      <c r="A704" t="s">
        <v>43</v>
      </c>
      <c r="B704" s="1">
        <v>42</v>
      </c>
      <c r="C704" s="1" t="s">
        <v>186</v>
      </c>
      <c r="D704" s="1">
        <v>20.034823820713431</v>
      </c>
      <c r="E704" s="1">
        <v>25.231068069406909</v>
      </c>
      <c r="F704" s="1">
        <v>4.3157936924710198E-2</v>
      </c>
      <c r="G704" s="1">
        <v>6.0167099097870498E-2</v>
      </c>
      <c r="H704" s="1">
        <v>28.520578885485261</v>
      </c>
      <c r="I704" s="1">
        <v>28.520578885485261</v>
      </c>
      <c r="J704" s="1" t="b">
        <v>1</v>
      </c>
      <c r="K704" s="1" t="b">
        <v>0</v>
      </c>
    </row>
    <row r="705" spans="1:12" ht="19" customHeight="1" x14ac:dyDescent="0.3">
      <c r="A705" t="s">
        <v>43</v>
      </c>
      <c r="B705" s="1">
        <v>42</v>
      </c>
      <c r="C705" s="1" t="s">
        <v>187</v>
      </c>
      <c r="D705" s="1">
        <v>21.25</v>
      </c>
      <c r="E705" s="1">
        <v>25</v>
      </c>
      <c r="F705" s="1">
        <v>3.2500000000000001E-2</v>
      </c>
      <c r="G705" s="1">
        <v>7.3749999999999996E-2</v>
      </c>
      <c r="H705" s="1">
        <v>28.52976119158679</v>
      </c>
      <c r="I705" s="1">
        <v>28.52976119158679</v>
      </c>
      <c r="J705" s="1" t="b">
        <v>1</v>
      </c>
      <c r="K705" s="1" t="b">
        <v>0</v>
      </c>
    </row>
    <row r="706" spans="1:12" ht="19" customHeight="1" x14ac:dyDescent="0.3">
      <c r="A706" t="s">
        <v>43</v>
      </c>
      <c r="B706" s="1">
        <v>42</v>
      </c>
      <c r="C706" s="1" t="s">
        <v>187</v>
      </c>
      <c r="D706" s="1">
        <v>13.75</v>
      </c>
      <c r="E706" s="1">
        <v>25</v>
      </c>
      <c r="F706" s="1">
        <v>4.7500000000000001E-2</v>
      </c>
      <c r="G706" s="1">
        <v>5.1249999999999997E-2</v>
      </c>
      <c r="H706" s="1">
        <v>28.534294461459549</v>
      </c>
      <c r="I706" s="1">
        <v>28.534294461459549</v>
      </c>
      <c r="J706" s="1" t="b">
        <v>1</v>
      </c>
      <c r="K706" s="1" t="b">
        <v>0</v>
      </c>
    </row>
    <row r="707" spans="1:12" ht="19" customHeight="1" x14ac:dyDescent="0.3">
      <c r="A707" t="s">
        <v>43</v>
      </c>
      <c r="B707" s="1">
        <v>42</v>
      </c>
      <c r="C707" s="1" t="s">
        <v>186</v>
      </c>
      <c r="D707" s="1">
        <v>11.083767475414779</v>
      </c>
      <c r="E707" s="1">
        <v>24.578152855442479</v>
      </c>
      <c r="F707" s="1">
        <v>2.69839067728153E-2</v>
      </c>
      <c r="G707" s="1">
        <v>7.9155271286002499E-2</v>
      </c>
      <c r="H707" s="1">
        <v>28.535089104977139</v>
      </c>
      <c r="I707" s="1">
        <v>28.535089104977139</v>
      </c>
      <c r="J707" s="1" t="b">
        <v>1</v>
      </c>
      <c r="K707" s="1" t="b">
        <v>0</v>
      </c>
    </row>
    <row r="708" spans="1:12" ht="19" customHeight="1" x14ac:dyDescent="0.3">
      <c r="A708" t="s">
        <v>43</v>
      </c>
      <c r="B708" s="1">
        <v>42</v>
      </c>
      <c r="C708" s="1" t="s">
        <v>187</v>
      </c>
      <c r="D708" s="1">
        <v>13.75</v>
      </c>
      <c r="E708" s="1">
        <v>25</v>
      </c>
      <c r="F708" s="1">
        <v>4.7500000000000001E-2</v>
      </c>
      <c r="G708" s="1">
        <v>7.3749999999999996E-2</v>
      </c>
      <c r="H708" s="1">
        <v>28.574556764313911</v>
      </c>
      <c r="I708" s="1">
        <v>28.574556764313911</v>
      </c>
      <c r="J708" s="1" t="b">
        <v>1</v>
      </c>
      <c r="K708" s="1" t="b">
        <v>0</v>
      </c>
    </row>
    <row r="709" spans="1:12" ht="19" customHeight="1" x14ac:dyDescent="0.3">
      <c r="A709" t="s">
        <v>43</v>
      </c>
      <c r="B709" s="1">
        <v>42</v>
      </c>
      <c r="C709" s="1" t="s">
        <v>187</v>
      </c>
      <c r="D709" s="1">
        <v>21.25</v>
      </c>
      <c r="E709" s="1">
        <v>25</v>
      </c>
      <c r="F709" s="1">
        <v>4.7500000000000001E-2</v>
      </c>
      <c r="G709" s="1">
        <v>5.1249999999999997E-2</v>
      </c>
      <c r="H709" s="1">
        <v>28.621668066151361</v>
      </c>
      <c r="I709" s="1">
        <v>28.621668066151361</v>
      </c>
      <c r="J709" s="1" t="b">
        <v>1</v>
      </c>
      <c r="K709" s="1" t="b">
        <v>0</v>
      </c>
    </row>
    <row r="710" spans="1:12" ht="19" customHeight="1" x14ac:dyDescent="0.3">
      <c r="A710" t="s">
        <v>43</v>
      </c>
      <c r="B710" s="1">
        <v>42</v>
      </c>
      <c r="C710" s="1" t="s">
        <v>187</v>
      </c>
      <c r="D710" s="1">
        <v>21.25</v>
      </c>
      <c r="E710" s="1">
        <v>25</v>
      </c>
      <c r="F710" s="1">
        <v>4.7500000000000001E-2</v>
      </c>
      <c r="G710" s="1">
        <v>7.3749999999999996E-2</v>
      </c>
      <c r="H710" s="1">
        <v>28.655950917744761</v>
      </c>
      <c r="I710" s="1">
        <v>28.655950917744761</v>
      </c>
      <c r="J710" s="1" t="b">
        <v>1</v>
      </c>
      <c r="K710" s="1" t="b">
        <v>0</v>
      </c>
    </row>
    <row r="711" spans="1:12" ht="19" customHeight="1" x14ac:dyDescent="0.3">
      <c r="A711" t="s">
        <v>43</v>
      </c>
      <c r="B711" s="1">
        <v>42</v>
      </c>
      <c r="C711" s="1" t="s">
        <v>186</v>
      </c>
      <c r="D711" s="1">
        <v>24.426884959083889</v>
      </c>
      <c r="E711" s="1">
        <v>24.757938333915369</v>
      </c>
      <c r="F711" s="1">
        <v>3.7761318917518299E-2</v>
      </c>
      <c r="G711" s="1">
        <v>4.1683726986804101E-2</v>
      </c>
      <c r="H711" s="1">
        <v>28.679028731175681</v>
      </c>
      <c r="I711" s="1">
        <v>28.679028731175681</v>
      </c>
      <c r="J711" s="1" t="b">
        <v>1</v>
      </c>
      <c r="K711" s="1" t="b">
        <v>0</v>
      </c>
    </row>
    <row r="712" spans="1:12" ht="19" customHeight="1" x14ac:dyDescent="0.3">
      <c r="A712" t="s">
        <v>43</v>
      </c>
      <c r="B712" s="1">
        <v>42</v>
      </c>
      <c r="C712" s="1" t="s">
        <v>188</v>
      </c>
      <c r="D712" s="1">
        <v>19.657976801209969</v>
      </c>
      <c r="E712" s="1">
        <v>26.455232265416601</v>
      </c>
      <c r="F712" s="1">
        <v>3.8302425964819899E-2</v>
      </c>
      <c r="G712" s="1">
        <v>5.0225742480314903E-2</v>
      </c>
      <c r="H712" s="1">
        <v>28.716965214663009</v>
      </c>
      <c r="I712" s="1">
        <v>28.716965214663009</v>
      </c>
      <c r="J712" s="1" t="b">
        <v>1</v>
      </c>
      <c r="K712" s="1" t="b">
        <v>0</v>
      </c>
    </row>
    <row r="713" spans="1:12" ht="19" customHeight="1" x14ac:dyDescent="0.3">
      <c r="A713" t="s">
        <v>43</v>
      </c>
      <c r="B713" s="1">
        <v>42</v>
      </c>
      <c r="C713" s="1" t="s">
        <v>188</v>
      </c>
      <c r="D713" s="1">
        <v>22.483897020928019</v>
      </c>
      <c r="E713" s="1">
        <v>26.095287149936041</v>
      </c>
      <c r="F713" s="1">
        <v>3.6624351370905202E-2</v>
      </c>
      <c r="G713" s="1">
        <v>5.2974764676860901E-2</v>
      </c>
      <c r="H713" s="1">
        <v>28.726085071998511</v>
      </c>
      <c r="I713" s="1">
        <v>28.726085071998511</v>
      </c>
      <c r="J713" s="1" t="b">
        <v>1</v>
      </c>
      <c r="K713" s="1" t="b">
        <v>0</v>
      </c>
    </row>
    <row r="714" spans="1:12" ht="19" customHeight="1" x14ac:dyDescent="0.3">
      <c r="A714" t="s">
        <v>43</v>
      </c>
      <c r="B714" s="1">
        <v>42</v>
      </c>
      <c r="C714" s="1" t="s">
        <v>188</v>
      </c>
      <c r="D714" s="1">
        <v>16.557278783084961</v>
      </c>
      <c r="E714" s="1">
        <v>26.653563921156749</v>
      </c>
      <c r="F714" s="1">
        <v>4.60079530600674E-2</v>
      </c>
      <c r="G714" s="1">
        <v>5.4056498862191799E-2</v>
      </c>
      <c r="H714" s="1">
        <v>28.759091279927411</v>
      </c>
      <c r="I714" s="1">
        <v>28.759091279927411</v>
      </c>
      <c r="J714" s="1" t="b">
        <v>1</v>
      </c>
      <c r="K714" s="1" t="b">
        <v>0</v>
      </c>
    </row>
    <row r="715" spans="1:12" ht="19" customHeight="1" x14ac:dyDescent="0.3">
      <c r="A715" t="s">
        <v>43</v>
      </c>
      <c r="B715" s="1">
        <v>42</v>
      </c>
      <c r="C715" s="1" t="s">
        <v>186</v>
      </c>
      <c r="D715" s="1">
        <v>18.439522855264929</v>
      </c>
      <c r="E715" s="1">
        <v>27.368534188034559</v>
      </c>
      <c r="F715" s="1">
        <v>3.7113019713600003E-2</v>
      </c>
      <c r="G715" s="1">
        <v>6.4974976836879195E-2</v>
      </c>
      <c r="H715" s="1">
        <v>28.8251987707329</v>
      </c>
      <c r="I715" s="1">
        <v>28.8251987707329</v>
      </c>
      <c r="J715" s="1" t="b">
        <v>1</v>
      </c>
      <c r="K715" s="1" t="b">
        <v>0</v>
      </c>
    </row>
    <row r="716" spans="1:12" ht="19" customHeight="1" x14ac:dyDescent="0.3">
      <c r="A716" t="s">
        <v>43</v>
      </c>
      <c r="B716" s="1">
        <v>42</v>
      </c>
      <c r="C716" s="1" t="s">
        <v>186</v>
      </c>
      <c r="D716" s="1">
        <v>13.5929149757504</v>
      </c>
      <c r="E716" s="1">
        <v>27.368534188034559</v>
      </c>
      <c r="F716" s="1">
        <v>2.6372488640896301E-2</v>
      </c>
      <c r="G716" s="1">
        <v>8.0289991555271598E-2</v>
      </c>
      <c r="H716" s="1">
        <v>28.918262646051449</v>
      </c>
      <c r="I716" s="1">
        <v>28.918262646051449</v>
      </c>
      <c r="J716" s="1" t="b">
        <v>1</v>
      </c>
      <c r="K716" s="1" t="b">
        <v>1</v>
      </c>
    </row>
    <row r="717" spans="1:12" ht="19" customHeight="1" x14ac:dyDescent="0.3">
      <c r="A717" t="s">
        <v>43</v>
      </c>
      <c r="B717" s="1">
        <v>42</v>
      </c>
      <c r="C717" s="1" t="s">
        <v>186</v>
      </c>
      <c r="D717" s="1">
        <v>15.26111208880223</v>
      </c>
      <c r="E717" s="1">
        <v>27.744978578023929</v>
      </c>
      <c r="F717" s="1">
        <v>3.0965921813513299E-2</v>
      </c>
      <c r="G717" s="1">
        <v>7.5930061065703103E-2</v>
      </c>
      <c r="H717" s="1">
        <v>28.925013073909039</v>
      </c>
      <c r="I717" s="1">
        <v>28.925013073909039</v>
      </c>
      <c r="J717" s="1" t="b">
        <v>1</v>
      </c>
      <c r="K717" s="1" t="b">
        <v>0</v>
      </c>
    </row>
    <row r="718" spans="1:12" ht="19" customHeight="1" x14ac:dyDescent="0.3">
      <c r="A718" t="s">
        <v>43</v>
      </c>
      <c r="B718" s="1">
        <v>42</v>
      </c>
      <c r="C718" s="1" t="s">
        <v>186</v>
      </c>
      <c r="D718" s="1">
        <v>24.426884959083889</v>
      </c>
      <c r="E718" s="1">
        <v>29.089186289717372</v>
      </c>
      <c r="F718" s="1">
        <v>5.4678882829659797E-2</v>
      </c>
      <c r="G718" s="1">
        <v>4.1683726986804101E-2</v>
      </c>
      <c r="H718" s="1">
        <v>29.74992430497889</v>
      </c>
      <c r="I718" s="1">
        <v>29.74992430497889</v>
      </c>
      <c r="J718" s="1" t="b">
        <v>1</v>
      </c>
      <c r="K718" s="1" t="b">
        <v>1</v>
      </c>
    </row>
    <row r="719" spans="1:12" ht="19" customHeight="1" x14ac:dyDescent="0.3">
      <c r="A719" t="s">
        <v>43</v>
      </c>
      <c r="B719" s="1">
        <v>42</v>
      </c>
      <c r="C719" s="1" t="s">
        <v>188</v>
      </c>
      <c r="D719" s="1">
        <v>10.340681097007909</v>
      </c>
      <c r="E719" s="1">
        <v>11.80095721551284</v>
      </c>
      <c r="F719" s="1">
        <v>4.6670780517893501E-2</v>
      </c>
      <c r="G719" s="1">
        <v>6.0784475361312401E-2</v>
      </c>
      <c r="H719" s="1">
        <v>26.783299514680081</v>
      </c>
      <c r="I719" s="1">
        <v>26.783299514680081</v>
      </c>
      <c r="J719" s="1" t="b">
        <v>0</v>
      </c>
      <c r="K719" s="1" t="b">
        <v>0</v>
      </c>
      <c r="L719" s="1" t="s">
        <v>190</v>
      </c>
    </row>
    <row r="720" spans="1:12" ht="19" customHeight="1" x14ac:dyDescent="0.3">
      <c r="A720" t="s">
        <v>43</v>
      </c>
      <c r="B720" s="1">
        <v>42</v>
      </c>
      <c r="C720" s="1" t="s">
        <v>186</v>
      </c>
      <c r="D720" s="1">
        <v>10.84454913522756</v>
      </c>
      <c r="E720" s="1">
        <v>12.376358325361441</v>
      </c>
      <c r="F720" s="1">
        <v>4.9878111413797797E-2</v>
      </c>
      <c r="G720" s="1">
        <v>5.6075106908654998E-2</v>
      </c>
      <c r="H720" s="1">
        <v>26.957839603403048</v>
      </c>
      <c r="I720" s="1">
        <v>26.957839603403048</v>
      </c>
      <c r="J720" s="1" t="b">
        <v>0</v>
      </c>
      <c r="K720" s="1" t="b">
        <v>0</v>
      </c>
      <c r="L720" s="1" t="s">
        <v>190</v>
      </c>
    </row>
    <row r="721" spans="1:12" ht="19" customHeight="1" x14ac:dyDescent="0.3">
      <c r="A721" t="s">
        <v>43</v>
      </c>
      <c r="B721" s="1">
        <v>42</v>
      </c>
      <c r="C721" s="1" t="s">
        <v>186</v>
      </c>
      <c r="D721" s="1">
        <v>22.94707782983506</v>
      </c>
      <c r="E721" s="1">
        <v>11.81942398562029</v>
      </c>
      <c r="F721" s="1">
        <v>4.7115964896908197E-2</v>
      </c>
      <c r="G721" s="1">
        <v>6.4532055096236399E-2</v>
      </c>
      <c r="H721" s="1">
        <v>27.704332383977601</v>
      </c>
      <c r="I721" s="1">
        <v>27.704332383977601</v>
      </c>
      <c r="J721" s="1" t="b">
        <v>0</v>
      </c>
      <c r="K721" s="1" t="b">
        <v>0</v>
      </c>
      <c r="L721" s="1" t="s">
        <v>191</v>
      </c>
    </row>
    <row r="722" spans="1:12" ht="19" customHeight="1" x14ac:dyDescent="0.3">
      <c r="A722" t="s">
        <v>43</v>
      </c>
      <c r="B722" s="1">
        <v>42</v>
      </c>
      <c r="C722" s="1" t="s">
        <v>186</v>
      </c>
      <c r="D722" s="1">
        <v>23.20796172067368</v>
      </c>
      <c r="E722" s="1">
        <v>11.188392883012391</v>
      </c>
      <c r="F722" s="1">
        <v>5.0496062460270698E-2</v>
      </c>
      <c r="G722" s="1">
        <v>5.2069081956806901E-2</v>
      </c>
      <c r="H722" s="1">
        <v>27.938667316087631</v>
      </c>
      <c r="I722" s="1">
        <v>27.938667316087631</v>
      </c>
      <c r="J722" s="1" t="b">
        <v>0</v>
      </c>
      <c r="K722" s="1" t="b">
        <v>0</v>
      </c>
      <c r="L722" s="1" t="s">
        <v>192</v>
      </c>
    </row>
    <row r="723" spans="1:12" ht="19" customHeight="1" x14ac:dyDescent="0.3">
      <c r="A723" t="s">
        <v>43</v>
      </c>
      <c r="B723" s="1">
        <v>42</v>
      </c>
      <c r="C723" s="1" t="s">
        <v>188</v>
      </c>
      <c r="D723" s="1">
        <v>11.412660218314739</v>
      </c>
      <c r="E723" s="1">
        <v>29.512447032735121</v>
      </c>
      <c r="F723" s="1">
        <v>4.7834191059710499E-2</v>
      </c>
      <c r="G723" s="1">
        <v>7.5372893737462907E-2</v>
      </c>
      <c r="H723" s="1">
        <v>29.468364764785949</v>
      </c>
      <c r="I723" s="1">
        <v>29.468364764785949</v>
      </c>
      <c r="J723" s="1" t="b">
        <v>0</v>
      </c>
      <c r="K723" s="1" t="b">
        <v>0</v>
      </c>
      <c r="L723" s="1" t="s">
        <v>193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8334F"/>
    <pageSetUpPr fitToPage="1"/>
  </sheetPr>
  <dimension ref="A2:AE2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3" ht="19" customHeight="1" x14ac:dyDescent="0.35">
      <c r="A2" s="3" t="s">
        <v>10</v>
      </c>
    </row>
    <row r="3" spans="1:3" ht="19" customHeight="1" x14ac:dyDescent="0.3">
      <c r="A3" s="4" t="s">
        <v>1</v>
      </c>
    </row>
    <row r="5" spans="1:3" ht="34.049999999999997" customHeight="1" x14ac:dyDescent="0.3">
      <c r="A5" s="5" t="s">
        <v>112</v>
      </c>
      <c r="B5" s="5" t="s">
        <v>114</v>
      </c>
      <c r="C5" s="5" t="s">
        <v>115</v>
      </c>
    </row>
    <row r="6" spans="1:3" ht="19" customHeight="1" x14ac:dyDescent="0.3">
      <c r="A6">
        <v>0</v>
      </c>
      <c r="B6" s="1">
        <f>'Aero Calculations'!C6</f>
        <v>0</v>
      </c>
      <c r="C6" s="1">
        <f>'Aero Calculations'!D6</f>
        <v>0</v>
      </c>
    </row>
    <row r="7" spans="1:3" ht="19" customHeight="1" x14ac:dyDescent="0.3">
      <c r="A7">
        <v>5</v>
      </c>
      <c r="B7" s="1">
        <f>'Aero Calculations'!C7</f>
        <v>68.906250000000014</v>
      </c>
      <c r="C7" s="1">
        <f>'Aero Calculations'!D7</f>
        <v>20.671875000000004</v>
      </c>
    </row>
    <row r="8" spans="1:3" ht="19" customHeight="1" x14ac:dyDescent="0.3">
      <c r="A8">
        <v>10</v>
      </c>
      <c r="B8" s="1">
        <f>'Aero Calculations'!C8</f>
        <v>275.62500000000006</v>
      </c>
      <c r="C8" s="1">
        <f>'Aero Calculations'!D8</f>
        <v>82.687500000000014</v>
      </c>
    </row>
    <row r="9" spans="1:3" ht="19" customHeight="1" x14ac:dyDescent="0.3">
      <c r="A9">
        <v>15</v>
      </c>
      <c r="B9" s="1">
        <f>'Aero Calculations'!C9</f>
        <v>620.15625</v>
      </c>
      <c r="C9" s="1">
        <f>'Aero Calculations'!D9</f>
        <v>186.046875</v>
      </c>
    </row>
    <row r="10" spans="1:3" ht="19" customHeight="1" x14ac:dyDescent="0.3">
      <c r="A10">
        <v>20</v>
      </c>
      <c r="B10" s="1">
        <f>'Aero Calculations'!C10</f>
        <v>1102.5000000000002</v>
      </c>
      <c r="C10" s="1">
        <f>'Aero Calculations'!D10</f>
        <v>330.75000000000006</v>
      </c>
    </row>
    <row r="11" spans="1:3" ht="19" customHeight="1" x14ac:dyDescent="0.3">
      <c r="A11">
        <v>25</v>
      </c>
      <c r="B11" s="1">
        <f>'Aero Calculations'!C11</f>
        <v>1722.65625</v>
      </c>
      <c r="C11" s="1">
        <f>'Aero Calculations'!D11</f>
        <v>516.796875</v>
      </c>
    </row>
    <row r="12" spans="1:3" ht="19" customHeight="1" x14ac:dyDescent="0.3">
      <c r="A12">
        <v>30</v>
      </c>
      <c r="B12" s="1">
        <f>'Aero Calculations'!C12</f>
        <v>2480.625</v>
      </c>
      <c r="C12" s="1">
        <f>'Aero Calculations'!D12</f>
        <v>744.1875</v>
      </c>
    </row>
    <row r="13" spans="1:3" ht="19" customHeight="1" x14ac:dyDescent="0.3">
      <c r="A13">
        <v>35</v>
      </c>
      <c r="B13" s="1">
        <f>'Aero Calculations'!C13</f>
        <v>3376.40625</v>
      </c>
      <c r="C13" s="1">
        <f>'Aero Calculations'!D13</f>
        <v>1012.921875</v>
      </c>
    </row>
    <row r="14" spans="1:3" ht="19" customHeight="1" x14ac:dyDescent="0.3">
      <c r="A14">
        <v>40</v>
      </c>
      <c r="B14" s="1">
        <f>'Aero Calculations'!C14</f>
        <v>4410.0000000000009</v>
      </c>
      <c r="C14" s="1">
        <f>'Aero Calculations'!D14</f>
        <v>1323.0000000000002</v>
      </c>
    </row>
    <row r="15" spans="1:3" ht="19" customHeight="1" x14ac:dyDescent="0.3">
      <c r="A15">
        <v>45</v>
      </c>
      <c r="B15" s="1">
        <f>'Aero Calculations'!C15</f>
        <v>5581.40625</v>
      </c>
      <c r="C15" s="1">
        <f>'Aero Calculations'!D15</f>
        <v>1674.421875</v>
      </c>
    </row>
    <row r="16" spans="1:3" ht="19" customHeight="1" x14ac:dyDescent="0.3">
      <c r="A16">
        <v>50</v>
      </c>
      <c r="B16" s="1">
        <f>'Aero Calculations'!C16</f>
        <v>6890.625</v>
      </c>
      <c r="C16" s="1">
        <f>'Aero Calculations'!D16</f>
        <v>2067.1875</v>
      </c>
    </row>
    <row r="17" spans="1:3" ht="19" customHeight="1" x14ac:dyDescent="0.3">
      <c r="A17">
        <v>55</v>
      </c>
      <c r="B17" s="1">
        <f>'Aero Calculations'!C17</f>
        <v>8337.6562500000018</v>
      </c>
      <c r="C17" s="1">
        <f>'Aero Calculations'!D17</f>
        <v>2501.2968750000005</v>
      </c>
    </row>
    <row r="18" spans="1:3" ht="19" customHeight="1" x14ac:dyDescent="0.3">
      <c r="A18">
        <v>60</v>
      </c>
      <c r="B18" s="1">
        <f>'Aero Calculations'!C18</f>
        <v>9922.5</v>
      </c>
      <c r="C18" s="1">
        <f>'Aero Calculations'!D18</f>
        <v>2976.75</v>
      </c>
    </row>
    <row r="19" spans="1:3" ht="19" customHeight="1" x14ac:dyDescent="0.3">
      <c r="A19">
        <v>65</v>
      </c>
      <c r="B19" s="1">
        <f>'Aero Calculations'!C19</f>
        <v>11645.15625</v>
      </c>
      <c r="C19" s="1">
        <f>'Aero Calculations'!D19</f>
        <v>3493.546875</v>
      </c>
    </row>
    <row r="20" spans="1:3" ht="19" customHeight="1" x14ac:dyDescent="0.3">
      <c r="A20">
        <v>70</v>
      </c>
      <c r="B20" s="1">
        <f>'Aero Calculations'!C20</f>
        <v>13505.625</v>
      </c>
      <c r="C20" s="1">
        <f>'Aero Calculations'!D20</f>
        <v>4051.6875</v>
      </c>
    </row>
    <row r="21" spans="1:3" ht="19" customHeight="1" x14ac:dyDescent="0.3">
      <c r="A21">
        <v>75</v>
      </c>
      <c r="B21" s="1">
        <f>'Aero Calculations'!C21</f>
        <v>15503.906250000004</v>
      </c>
      <c r="C21" s="1">
        <f>'Aero Calculations'!D21</f>
        <v>4651.1718750000009</v>
      </c>
    </row>
    <row r="22" spans="1:3" ht="19" customHeight="1" x14ac:dyDescent="0.3">
      <c r="A22">
        <v>80</v>
      </c>
      <c r="B22" s="1">
        <f>'Aero Calculations'!C22</f>
        <v>17640.000000000004</v>
      </c>
      <c r="C22" s="1">
        <f>'Aero Calculations'!D22</f>
        <v>5292.0000000000009</v>
      </c>
    </row>
    <row r="23" spans="1:3" ht="19" customHeight="1" x14ac:dyDescent="0.3">
      <c r="A23">
        <v>85</v>
      </c>
      <c r="B23" s="1">
        <f>'Aero Calculations'!C23</f>
        <v>19913.90625</v>
      </c>
      <c r="C23" s="1">
        <f>'Aero Calculations'!D23</f>
        <v>5974.171875</v>
      </c>
    </row>
    <row r="24" spans="1:3" ht="19" customHeight="1" x14ac:dyDescent="0.3">
      <c r="A24">
        <v>90</v>
      </c>
      <c r="B24" s="1">
        <f>'Aero Calculations'!C24</f>
        <v>22325.625</v>
      </c>
      <c r="C24" s="1">
        <f>'Aero Calculations'!D24</f>
        <v>6697.6875</v>
      </c>
    </row>
    <row r="25" spans="1:3" ht="19" customHeight="1" x14ac:dyDescent="0.3">
      <c r="A25">
        <v>95</v>
      </c>
      <c r="B25" s="1">
        <f>'Aero Calculations'!C25</f>
        <v>24875.15625</v>
      </c>
      <c r="C25" s="1">
        <f>'Aero Calculations'!D25</f>
        <v>7462.546875</v>
      </c>
    </row>
    <row r="26" spans="1:3" ht="19" customHeight="1" x14ac:dyDescent="0.3">
      <c r="A26">
        <v>100</v>
      </c>
      <c r="B26" s="1">
        <f>'Aero Calculations'!C26</f>
        <v>27562.5</v>
      </c>
      <c r="C26" s="1">
        <f>'Aero Calculations'!D26</f>
        <v>8268.75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5DDE5"/>
    <pageSetUpPr fitToPage="1"/>
  </sheetPr>
  <dimension ref="A2:AE2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3" ht="19" customHeight="1" x14ac:dyDescent="0.35">
      <c r="A2" s="3" t="s">
        <v>11</v>
      </c>
    </row>
    <row r="3" spans="1:3" ht="19" customHeight="1" x14ac:dyDescent="0.3">
      <c r="A3" s="4" t="s">
        <v>1</v>
      </c>
    </row>
    <row r="5" spans="1:3" ht="34.049999999999997" customHeight="1" x14ac:dyDescent="0.3">
      <c r="A5" s="5" t="s">
        <v>67</v>
      </c>
      <c r="B5" s="5" t="s">
        <v>68</v>
      </c>
      <c r="C5" s="5" t="s">
        <v>69</v>
      </c>
    </row>
    <row r="6" spans="1:3" ht="19" customHeight="1" x14ac:dyDescent="0.3">
      <c r="A6" t="s">
        <v>70</v>
      </c>
      <c r="B6" s="1">
        <f>'Car Inputs'!B6</f>
        <v>800</v>
      </c>
      <c r="C6" s="1" t="s">
        <v>71</v>
      </c>
    </row>
    <row r="7" spans="1:3" ht="19" customHeight="1" x14ac:dyDescent="0.3">
      <c r="A7" t="s">
        <v>72</v>
      </c>
      <c r="B7" s="1">
        <f>'Car Inputs'!B7</f>
        <v>3.6</v>
      </c>
      <c r="C7" s="1" t="s">
        <v>71</v>
      </c>
    </row>
    <row r="8" spans="1:3" ht="19" customHeight="1" x14ac:dyDescent="0.3">
      <c r="A8" t="s">
        <v>73</v>
      </c>
      <c r="B8" s="1">
        <f>'Car Inputs'!B8</f>
        <v>1.6</v>
      </c>
      <c r="C8" s="1" t="s">
        <v>71</v>
      </c>
    </row>
    <row r="9" spans="1:3" ht="19" customHeight="1" x14ac:dyDescent="0.3">
      <c r="A9" t="s">
        <v>74</v>
      </c>
      <c r="B9" s="1">
        <f>'Car Inputs'!B9</f>
        <v>0.3</v>
      </c>
      <c r="C9" s="1" t="s">
        <v>71</v>
      </c>
    </row>
    <row r="10" spans="1:3" ht="19" customHeight="1" x14ac:dyDescent="0.3">
      <c r="A10" t="s">
        <v>75</v>
      </c>
      <c r="B10" s="1">
        <f>'Car Inputs'!B10</f>
        <v>0.45</v>
      </c>
      <c r="C10" s="1" t="s">
        <v>71</v>
      </c>
    </row>
    <row r="11" spans="1:3" ht="19" customHeight="1" x14ac:dyDescent="0.3">
      <c r="A11" t="s">
        <v>76</v>
      </c>
      <c r="B11" s="1">
        <f>'Car Inputs'!B11</f>
        <v>1.5</v>
      </c>
      <c r="C11" s="1" t="s">
        <v>71</v>
      </c>
    </row>
    <row r="12" spans="1:3" ht="19" customHeight="1" x14ac:dyDescent="0.3">
      <c r="A12" t="s">
        <v>77</v>
      </c>
      <c r="B12" s="1">
        <f>'Car Inputs'!B12</f>
        <v>450000</v>
      </c>
      <c r="C12" s="1" t="s">
        <v>71</v>
      </c>
    </row>
    <row r="13" spans="1:3" ht="19" customHeight="1" x14ac:dyDescent="0.3">
      <c r="A13" t="s">
        <v>78</v>
      </c>
      <c r="B13" s="1">
        <f>'Car Inputs'!B13</f>
        <v>0.92</v>
      </c>
      <c r="C13" s="1" t="s">
        <v>71</v>
      </c>
    </row>
    <row r="14" spans="1:3" ht="19" customHeight="1" x14ac:dyDescent="0.3">
      <c r="A14" t="s">
        <v>79</v>
      </c>
      <c r="B14" s="1">
        <f>'Car Inputs'!B14</f>
        <v>1.4999999999999999E-2</v>
      </c>
      <c r="C14" s="1" t="s">
        <v>71</v>
      </c>
    </row>
    <row r="15" spans="1:3" ht="19" customHeight="1" x14ac:dyDescent="0.3">
      <c r="A15" t="s">
        <v>80</v>
      </c>
      <c r="B15" s="1">
        <f>'Car Inputs'!B15</f>
        <v>24000</v>
      </c>
      <c r="C15" s="1" t="s">
        <v>71</v>
      </c>
    </row>
    <row r="16" spans="1:3" ht="19" customHeight="1" x14ac:dyDescent="0.3">
      <c r="A16" t="s">
        <v>81</v>
      </c>
      <c r="B16" s="1">
        <f>'Car Inputs'!B16</f>
        <v>0.57999999999999996</v>
      </c>
      <c r="C16" s="1" t="s">
        <v>71</v>
      </c>
    </row>
    <row r="17" spans="1:3" ht="19" customHeight="1" x14ac:dyDescent="0.3">
      <c r="A17" t="s">
        <v>82</v>
      </c>
      <c r="B17" s="1">
        <f>'Car Inputs'!B17</f>
        <v>0.33</v>
      </c>
      <c r="C17" s="1" t="s">
        <v>71</v>
      </c>
    </row>
    <row r="18" spans="1:3" ht="19" customHeight="1" x14ac:dyDescent="0.3">
      <c r="A18" t="s">
        <v>83</v>
      </c>
      <c r="B18" s="1">
        <f>'Car Inputs'!B18</f>
        <v>3.4</v>
      </c>
      <c r="C18" s="1" t="s">
        <v>71</v>
      </c>
    </row>
    <row r="19" spans="1:3" ht="19" customHeight="1" x14ac:dyDescent="0.3">
      <c r="A19" t="s">
        <v>84</v>
      </c>
      <c r="B19" s="1">
        <f>'Car Inputs'!B19</f>
        <v>12000</v>
      </c>
      <c r="C19" s="1" t="s">
        <v>71</v>
      </c>
    </row>
    <row r="20" spans="1:3" ht="19" customHeight="1" x14ac:dyDescent="0.3">
      <c r="A20" t="s">
        <v>85</v>
      </c>
      <c r="B20" s="1">
        <f>'Car Inputs'!B20</f>
        <v>480</v>
      </c>
      <c r="C20" s="1" t="s">
        <v>71</v>
      </c>
    </row>
    <row r="21" spans="1:3" ht="19" customHeight="1" x14ac:dyDescent="0.3">
      <c r="A21" t="s">
        <v>86</v>
      </c>
      <c r="B21" s="1">
        <f>'Car Inputs'!B21</f>
        <v>2000000</v>
      </c>
      <c r="C21" s="1" t="s">
        <v>71</v>
      </c>
    </row>
    <row r="22" spans="1:3" ht="19" customHeight="1" x14ac:dyDescent="0.3">
      <c r="A22" t="s">
        <v>87</v>
      </c>
      <c r="B22" s="1">
        <f>'Car Inputs'!B22</f>
        <v>0.48</v>
      </c>
      <c r="C22" s="1" t="s">
        <v>71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5DDE5"/>
    <pageSetUpPr fitToPage="1"/>
  </sheetPr>
  <dimension ref="A2:AE1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2" ht="19" customHeight="1" x14ac:dyDescent="0.35">
      <c r="A2" s="3" t="s">
        <v>12</v>
      </c>
    </row>
    <row r="3" spans="1:2" ht="19" customHeight="1" x14ac:dyDescent="0.3">
      <c r="A3" s="4" t="s">
        <v>1</v>
      </c>
    </row>
    <row r="5" spans="1:2" ht="34.049999999999997" customHeight="1" x14ac:dyDescent="0.3">
      <c r="A5" s="5" t="s">
        <v>234</v>
      </c>
      <c r="B5" s="5" t="s">
        <v>68</v>
      </c>
    </row>
    <row r="6" spans="1:2" ht="19" customHeight="1" x14ac:dyDescent="0.3">
      <c r="A6" t="s">
        <v>235</v>
      </c>
      <c r="B6" s="1">
        <v>10</v>
      </c>
    </row>
    <row r="7" spans="1:2" ht="19" customHeight="1" x14ac:dyDescent="0.3">
      <c r="A7" t="s">
        <v>236</v>
      </c>
      <c r="B7" s="1">
        <v>100</v>
      </c>
    </row>
    <row r="8" spans="1:2" ht="19" customHeight="1" x14ac:dyDescent="0.3">
      <c r="A8" t="s">
        <v>237</v>
      </c>
      <c r="B8" s="1">
        <v>5.0000000000000001E-4</v>
      </c>
    </row>
    <row r="9" spans="1:2" ht="19" customHeight="1" x14ac:dyDescent="0.3">
      <c r="A9" t="s">
        <v>238</v>
      </c>
      <c r="B9" s="1">
        <v>80</v>
      </c>
    </row>
    <row r="10" spans="1:2" ht="19" customHeight="1" x14ac:dyDescent="0.3">
      <c r="A10" t="s">
        <v>239</v>
      </c>
      <c r="B10" s="1">
        <v>1E-3</v>
      </c>
    </row>
    <row r="11" spans="1:2" ht="19" customHeight="1" x14ac:dyDescent="0.3">
      <c r="A11" t="s">
        <v>240</v>
      </c>
      <c r="B11" s="1">
        <v>0.04</v>
      </c>
    </row>
    <row r="12" spans="1:2" ht="19" customHeight="1" x14ac:dyDescent="0.3">
      <c r="A12" t="s">
        <v>241</v>
      </c>
      <c r="B12" s="1">
        <v>10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5DDE5"/>
    <pageSetUpPr fitToPage="1"/>
  </sheetPr>
  <dimension ref="A2:AE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5" ht="19" customHeight="1" x14ac:dyDescent="0.35">
      <c r="A2" s="3" t="s">
        <v>13</v>
      </c>
    </row>
    <row r="3" spans="1:5" ht="19" customHeight="1" x14ac:dyDescent="0.3">
      <c r="A3" s="4" t="s">
        <v>1</v>
      </c>
    </row>
    <row r="5" spans="1:5" ht="34.049999999999997" customHeight="1" x14ac:dyDescent="0.3">
      <c r="A5" s="5" t="s">
        <v>160</v>
      </c>
      <c r="B5" s="5" t="s">
        <v>137</v>
      </c>
      <c r="C5" s="5" t="s">
        <v>161</v>
      </c>
      <c r="D5" s="5" t="s">
        <v>162</v>
      </c>
      <c r="E5" s="5" t="s">
        <v>163</v>
      </c>
    </row>
    <row r="6" spans="1:5" ht="19" customHeight="1" x14ac:dyDescent="0.3">
      <c r="A6">
        <v>201</v>
      </c>
      <c r="B6" s="1">
        <v>21</v>
      </c>
      <c r="C6" s="1">
        <v>7.8030154078712322</v>
      </c>
      <c r="D6" s="1">
        <v>650</v>
      </c>
      <c r="E6" s="1">
        <v>89.015598464883766</v>
      </c>
    </row>
    <row r="7" spans="1:5" ht="19" customHeight="1" x14ac:dyDescent="0.3">
      <c r="A7">
        <v>202</v>
      </c>
      <c r="B7" s="1">
        <v>21</v>
      </c>
      <c r="C7" s="1">
        <v>4.1962954380177511</v>
      </c>
      <c r="D7" s="1">
        <v>220</v>
      </c>
      <c r="E7" s="1">
        <v>52.997505310922861</v>
      </c>
    </row>
    <row r="8" spans="1:5" ht="19" customHeight="1" x14ac:dyDescent="0.3">
      <c r="A8">
        <v>203</v>
      </c>
      <c r="B8" s="1">
        <v>22</v>
      </c>
      <c r="C8" s="1">
        <v>7.9218776270805922</v>
      </c>
      <c r="D8" s="1">
        <v>500</v>
      </c>
      <c r="E8" s="1">
        <v>77.352401605214098</v>
      </c>
    </row>
    <row r="9" spans="1:5" ht="19" customHeight="1" x14ac:dyDescent="0.3">
      <c r="A9">
        <v>204</v>
      </c>
      <c r="B9" s="1">
        <v>22</v>
      </c>
      <c r="C9" s="1">
        <v>6.6081037687175819</v>
      </c>
      <c r="D9" s="1">
        <v>200</v>
      </c>
      <c r="E9" s="1">
        <v>30.26759127154946</v>
      </c>
    </row>
    <row r="10" spans="1:5" ht="19" customHeight="1" x14ac:dyDescent="0.3">
      <c r="A10">
        <v>205</v>
      </c>
      <c r="B10" s="1">
        <v>23</v>
      </c>
      <c r="C10" s="1">
        <v>8.8416301138601803</v>
      </c>
      <c r="D10" s="1">
        <v>550</v>
      </c>
      <c r="E10" s="1">
        <v>79.785010955104696</v>
      </c>
    </row>
    <row r="11" spans="1:5" ht="19" customHeight="1" x14ac:dyDescent="0.3">
      <c r="A11">
        <v>206</v>
      </c>
      <c r="B11" s="1">
        <v>23</v>
      </c>
      <c r="C11" s="1">
        <v>2.977486482202413</v>
      </c>
      <c r="D11" s="1">
        <v>240</v>
      </c>
      <c r="E11" s="1">
        <v>82.889665756374598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5DDE5"/>
    <pageSetUpPr fitToPage="1"/>
  </sheetPr>
  <dimension ref="A2:AE24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8" ht="19" customHeight="1" x14ac:dyDescent="0.35">
      <c r="A2" s="3" t="s">
        <v>14</v>
      </c>
    </row>
    <row r="3" spans="1:8" ht="19" customHeight="1" x14ac:dyDescent="0.3">
      <c r="A3" s="4" t="s">
        <v>1</v>
      </c>
    </row>
    <row r="4" spans="1:8" ht="19" customHeight="1" x14ac:dyDescent="0.3">
      <c r="A4" s="4" t="s">
        <v>141</v>
      </c>
    </row>
    <row r="5" spans="1:8" ht="34.049999999999997" customHeight="1" x14ac:dyDescent="0.3">
      <c r="A5" s="5" t="s">
        <v>142</v>
      </c>
      <c r="B5" s="5" t="s">
        <v>143</v>
      </c>
      <c r="C5" s="5" t="s">
        <v>144</v>
      </c>
      <c r="D5" s="5" t="s">
        <v>112</v>
      </c>
      <c r="E5" s="5" t="s">
        <v>145</v>
      </c>
      <c r="F5" s="5" t="s">
        <v>146</v>
      </c>
      <c r="G5" s="5" t="s">
        <v>147</v>
      </c>
      <c r="H5" s="5" t="s">
        <v>148</v>
      </c>
    </row>
    <row r="6" spans="1:8" ht="19" customHeight="1" x14ac:dyDescent="0.3">
      <c r="A6">
        <v>0</v>
      </c>
      <c r="B6" s="1">
        <v>0</v>
      </c>
      <c r="C6" s="1">
        <v>0.1206774442766666</v>
      </c>
      <c r="D6" s="1">
        <v>82.81391927972436</v>
      </c>
      <c r="E6" s="1">
        <v>82.917134438547549</v>
      </c>
      <c r="F6" s="1">
        <v>0.85529785157327753</v>
      </c>
      <c r="G6" s="1">
        <v>5</v>
      </c>
      <c r="H6" s="1">
        <v>0</v>
      </c>
    </row>
    <row r="7" spans="1:8" ht="19" customHeight="1" x14ac:dyDescent="0.3">
      <c r="A7">
        <v>10</v>
      </c>
      <c r="B7" s="1">
        <v>0.1206774442766666</v>
      </c>
      <c r="C7" s="1">
        <v>0.1205292039600344</v>
      </c>
      <c r="D7" s="1">
        <v>82.917134438547549</v>
      </c>
      <c r="E7" s="1">
        <v>83.017753894670662</v>
      </c>
      <c r="F7" s="1">
        <v>0.83481391079690181</v>
      </c>
      <c r="G7" s="1">
        <v>5</v>
      </c>
      <c r="H7" s="1">
        <v>0</v>
      </c>
    </row>
    <row r="8" spans="1:8" ht="19" customHeight="1" x14ac:dyDescent="0.3">
      <c r="A8">
        <v>20</v>
      </c>
      <c r="B8" s="1">
        <v>0.24120664823670099</v>
      </c>
      <c r="C8" s="1">
        <v>0.12038503602810791</v>
      </c>
      <c r="D8" s="1">
        <v>83.017753894670662</v>
      </c>
      <c r="E8" s="1">
        <v>83.115850910915995</v>
      </c>
      <c r="F8" s="1">
        <v>0.81486054647548367</v>
      </c>
      <c r="G8" s="1">
        <v>5</v>
      </c>
      <c r="H8" s="1">
        <v>0</v>
      </c>
    </row>
    <row r="9" spans="1:8" ht="19" customHeight="1" x14ac:dyDescent="0.3">
      <c r="A9">
        <v>30</v>
      </c>
      <c r="B9" s="1">
        <v>0.36159168426480898</v>
      </c>
      <c r="C9" s="1">
        <v>0.1202448093725194</v>
      </c>
      <c r="D9" s="1">
        <v>83.115850910915995</v>
      </c>
      <c r="E9" s="1">
        <v>83.211494979249096</v>
      </c>
      <c r="F9" s="1">
        <v>0.79541120179910652</v>
      </c>
      <c r="G9" s="1">
        <v>5</v>
      </c>
      <c r="H9" s="1">
        <v>0</v>
      </c>
    </row>
    <row r="10" spans="1:8" ht="19" customHeight="1" x14ac:dyDescent="0.3">
      <c r="A10">
        <v>40</v>
      </c>
      <c r="B10" s="1">
        <v>0.48183649363732839</v>
      </c>
      <c r="C10" s="1">
        <v>0.12010839903541901</v>
      </c>
      <c r="D10" s="1">
        <v>83.211494979249096</v>
      </c>
      <c r="E10" s="1">
        <v>83.304753348248354</v>
      </c>
      <c r="F10" s="1">
        <v>0.77645168654489682</v>
      </c>
      <c r="G10" s="1">
        <v>5</v>
      </c>
      <c r="H10" s="1">
        <v>0</v>
      </c>
    </row>
    <row r="11" spans="1:8" ht="19" customHeight="1" x14ac:dyDescent="0.3">
      <c r="A11">
        <v>50</v>
      </c>
      <c r="B11" s="1">
        <v>0.60194489267274753</v>
      </c>
      <c r="C11" s="1">
        <v>0.1199756849155823</v>
      </c>
      <c r="D11" s="1">
        <v>83.304753348248354</v>
      </c>
      <c r="E11" s="1">
        <v>83.395691113247793</v>
      </c>
      <c r="F11" s="1">
        <v>0.75796829218706985</v>
      </c>
      <c r="G11" s="1">
        <v>5</v>
      </c>
      <c r="H11" s="1">
        <v>0</v>
      </c>
    </row>
    <row r="12" spans="1:8" ht="19" customHeight="1" x14ac:dyDescent="0.3">
      <c r="A12">
        <v>60</v>
      </c>
      <c r="B12" s="1">
        <v>0.72192057758832995</v>
      </c>
      <c r="C12" s="1">
        <v>0.1198465515325898</v>
      </c>
      <c r="D12" s="1">
        <v>83.395691113247793</v>
      </c>
      <c r="E12" s="1">
        <v>83.484371301909917</v>
      </c>
      <c r="F12" s="1">
        <v>0.73994777094617348</v>
      </c>
      <c r="G12" s="1">
        <v>5</v>
      </c>
      <c r="H12" s="1">
        <v>0</v>
      </c>
    </row>
    <row r="13" spans="1:8" ht="19" customHeight="1" x14ac:dyDescent="0.3">
      <c r="A13">
        <v>70</v>
      </c>
      <c r="B13" s="1">
        <v>0.84176712912091989</v>
      </c>
      <c r="C13" s="1">
        <v>0.1197208878049783</v>
      </c>
      <c r="D13" s="1">
        <v>83.484371301909917</v>
      </c>
      <c r="E13" s="1">
        <v>83.570854955511351</v>
      </c>
      <c r="F13" s="1">
        <v>0.72237731599780086</v>
      </c>
      <c r="G13" s="1">
        <v>5</v>
      </c>
      <c r="H13" s="1">
        <v>0</v>
      </c>
    </row>
    <row r="14" spans="1:8" ht="19" customHeight="1" x14ac:dyDescent="0.3">
      <c r="A14">
        <v>80</v>
      </c>
      <c r="B14" s="1">
        <v>0.96148801692589825</v>
      </c>
      <c r="C14" s="1">
        <v>0.1195985868413899</v>
      </c>
      <c r="D14" s="1">
        <v>83.570854955511351</v>
      </c>
      <c r="E14" s="1">
        <v>83.6552012062035</v>
      </c>
      <c r="F14" s="1">
        <v>0.70524454276373949</v>
      </c>
      <c r="G14" s="1">
        <v>5</v>
      </c>
      <c r="H14" s="1">
        <v>0</v>
      </c>
    </row>
    <row r="15" spans="1:8" ht="19" customHeight="1" x14ac:dyDescent="0.3">
      <c r="A15">
        <v>90</v>
      </c>
      <c r="B15" s="1">
        <v>1.0810866037672879</v>
      </c>
      <c r="C15" s="1">
        <v>0.1194795457438213</v>
      </c>
      <c r="D15" s="1">
        <v>83.6552012062035</v>
      </c>
      <c r="E15" s="1">
        <v>83.737467350491727</v>
      </c>
      <c r="F15" s="1">
        <v>0.68853747121384001</v>
      </c>
      <c r="G15" s="1">
        <v>5</v>
      </c>
      <c r="H15" s="1">
        <v>0</v>
      </c>
    </row>
    <row r="16" spans="1:8" ht="19" customHeight="1" x14ac:dyDescent="0.3">
      <c r="A16">
        <v>100</v>
      </c>
      <c r="B16" s="1">
        <v>1.20056614951111</v>
      </c>
      <c r="C16" s="1">
        <v>0.11928438403272899</v>
      </c>
      <c r="D16" s="1">
        <v>83.737467350491727</v>
      </c>
      <c r="E16" s="1">
        <v>83.929073095510276</v>
      </c>
      <c r="F16" s="1">
        <v>1.6062936198419271</v>
      </c>
      <c r="G16" s="1">
        <v>5</v>
      </c>
      <c r="H16" s="1">
        <v>1</v>
      </c>
    </row>
    <row r="17" spans="1:8" ht="19" customHeight="1" x14ac:dyDescent="0.3">
      <c r="A17">
        <v>110</v>
      </c>
      <c r="B17" s="1">
        <v>1.3198505335438391</v>
      </c>
      <c r="C17" s="1">
        <v>0.1190155219035595</v>
      </c>
      <c r="D17" s="1">
        <v>83.929073095510276</v>
      </c>
      <c r="E17" s="1">
        <v>84.116234609869238</v>
      </c>
      <c r="F17" s="1">
        <v>1.5725807135528611</v>
      </c>
      <c r="G17" s="1">
        <v>5</v>
      </c>
      <c r="H17" s="1">
        <v>1</v>
      </c>
    </row>
    <row r="18" spans="1:8" ht="19" customHeight="1" x14ac:dyDescent="0.3">
      <c r="A18">
        <v>120</v>
      </c>
      <c r="B18" s="1">
        <v>1.438866055447398</v>
      </c>
      <c r="C18" s="1">
        <v>0.1187540483291905</v>
      </c>
      <c r="D18" s="1">
        <v>84.116234609869238</v>
      </c>
      <c r="E18" s="1">
        <v>84.299076542802169</v>
      </c>
      <c r="F18" s="1">
        <v>1.539669051332748</v>
      </c>
      <c r="G18" s="1">
        <v>5</v>
      </c>
      <c r="H18" s="1">
        <v>1</v>
      </c>
    </row>
    <row r="19" spans="1:8" ht="19" customHeight="1" x14ac:dyDescent="0.3">
      <c r="A19">
        <v>130</v>
      </c>
      <c r="B19" s="1">
        <v>1.5576201037765891</v>
      </c>
      <c r="C19" s="1">
        <v>0.1184997021284548</v>
      </c>
      <c r="D19" s="1">
        <v>84.299076542802169</v>
      </c>
      <c r="E19" s="1">
        <v>84.477719016732735</v>
      </c>
      <c r="F19" s="1">
        <v>1.507535215041435</v>
      </c>
      <c r="G19" s="1">
        <v>5</v>
      </c>
      <c r="H19" s="1">
        <v>1</v>
      </c>
    </row>
    <row r="20" spans="1:8" ht="19" customHeight="1" x14ac:dyDescent="0.3">
      <c r="A20">
        <v>140</v>
      </c>
      <c r="B20" s="1">
        <v>1.6761198059050439</v>
      </c>
      <c r="C20" s="1">
        <v>0.1182522342703563</v>
      </c>
      <c r="D20" s="1">
        <v>84.477719016732735</v>
      </c>
      <c r="E20" s="1">
        <v>84.652277751655035</v>
      </c>
      <c r="F20" s="1">
        <v>1.4761559136651159</v>
      </c>
      <c r="G20" s="1">
        <v>5</v>
      </c>
      <c r="H20" s="1">
        <v>1</v>
      </c>
    </row>
    <row r="21" spans="1:8" ht="19" customHeight="1" x14ac:dyDescent="0.3">
      <c r="A21">
        <v>150</v>
      </c>
      <c r="B21" s="1">
        <v>1.7943720401754</v>
      </c>
      <c r="C21" s="1">
        <v>0.1180114071729981</v>
      </c>
      <c r="D21" s="1">
        <v>84.652277751655035</v>
      </c>
      <c r="E21" s="1">
        <v>84.822864347795672</v>
      </c>
      <c r="F21" s="1">
        <v>1.4455093810598101</v>
      </c>
      <c r="G21" s="1">
        <v>5</v>
      </c>
      <c r="H21" s="1">
        <v>1</v>
      </c>
    </row>
    <row r="22" spans="1:8" ht="19" customHeight="1" x14ac:dyDescent="0.3">
      <c r="A22">
        <v>160</v>
      </c>
      <c r="B22" s="1">
        <v>1.912383447348398</v>
      </c>
      <c r="C22" s="1">
        <v>0.11777699398734839</v>
      </c>
      <c r="D22" s="1">
        <v>84.822864347795672</v>
      </c>
      <c r="E22" s="1">
        <v>84.989586478962451</v>
      </c>
      <c r="F22" s="1">
        <v>1.4155746850245581</v>
      </c>
      <c r="G22" s="1">
        <v>5</v>
      </c>
      <c r="H22" s="1">
        <v>1</v>
      </c>
    </row>
    <row r="23" spans="1:8" ht="19" customHeight="1" x14ac:dyDescent="0.3">
      <c r="A23">
        <v>170</v>
      </c>
      <c r="B23" s="1">
        <v>2.0301604413357461</v>
      </c>
      <c r="C23" s="1">
        <v>0.117548777982051</v>
      </c>
      <c r="D23" s="1">
        <v>84.989586478962451</v>
      </c>
      <c r="E23" s="1">
        <v>85.152548074353589</v>
      </c>
      <c r="F23" s="1">
        <v>1.386331684503102</v>
      </c>
      <c r="G23" s="1">
        <v>5</v>
      </c>
      <c r="H23" s="1">
        <v>1</v>
      </c>
    </row>
    <row r="24" spans="1:8" ht="19" customHeight="1" x14ac:dyDescent="0.3">
      <c r="A24">
        <v>180</v>
      </c>
      <c r="B24" s="1">
        <v>2.1477092193177971</v>
      </c>
      <c r="C24" s="1">
        <v>0.11732655197100191</v>
      </c>
      <c r="D24" s="1">
        <v>85.152548074353589</v>
      </c>
      <c r="E24" s="1">
        <v>85.311849489661824</v>
      </c>
      <c r="F24" s="1">
        <v>1.357760989580675</v>
      </c>
      <c r="G24" s="1">
        <v>5</v>
      </c>
      <c r="H24" s="1">
        <v>1</v>
      </c>
    </row>
    <row r="25" spans="1:8" ht="19" customHeight="1" x14ac:dyDescent="0.3">
      <c r="A25">
        <v>190</v>
      </c>
      <c r="B25" s="1">
        <v>2.2650357712887992</v>
      </c>
      <c r="C25" s="1">
        <v>0.1171101177802126</v>
      </c>
      <c r="D25" s="1">
        <v>85.311849489661824</v>
      </c>
      <c r="E25" s="1">
        <v>85.467587668237329</v>
      </c>
      <c r="F25" s="1">
        <v>1.329843924056058</v>
      </c>
      <c r="G25" s="1">
        <v>5</v>
      </c>
      <c r="H25" s="1">
        <v>1</v>
      </c>
    </row>
    <row r="26" spans="1:8" ht="19" customHeight="1" x14ac:dyDescent="0.3">
      <c r="A26">
        <v>200</v>
      </c>
      <c r="B26" s="1">
        <v>2.3821458890690121</v>
      </c>
      <c r="C26" s="1">
        <v>0.1168992857508013</v>
      </c>
      <c r="D26" s="1">
        <v>85.467587668237329</v>
      </c>
      <c r="E26" s="1">
        <v>85.619856293009491</v>
      </c>
      <c r="F26" s="1">
        <v>1.302562490388163</v>
      </c>
      <c r="G26" s="1">
        <v>5</v>
      </c>
      <c r="H26" s="1">
        <v>1</v>
      </c>
    </row>
    <row r="27" spans="1:8" ht="19" customHeight="1" x14ac:dyDescent="0.3">
      <c r="A27">
        <v>210</v>
      </c>
      <c r="B27" s="1">
        <v>2.499045174819813</v>
      </c>
      <c r="C27" s="1">
        <v>0.11669387427524661</v>
      </c>
      <c r="D27" s="1">
        <v>85.619856293009491</v>
      </c>
      <c r="E27" s="1">
        <v>85.768745929810351</v>
      </c>
      <c r="F27" s="1">
        <v>1.27589933683812</v>
      </c>
      <c r="G27" s="1">
        <v>5</v>
      </c>
      <c r="H27" s="1">
        <v>1</v>
      </c>
    </row>
    <row r="28" spans="1:8" ht="19" customHeight="1" x14ac:dyDescent="0.3">
      <c r="A28">
        <v>220</v>
      </c>
      <c r="B28" s="1">
        <v>2.6157390490950601</v>
      </c>
      <c r="C28" s="1">
        <v>0.11649370936429621</v>
      </c>
      <c r="D28" s="1">
        <v>85.768745929810351</v>
      </c>
      <c r="E28" s="1">
        <v>85.914344162689844</v>
      </c>
      <c r="F28" s="1">
        <v>1.2498377266379519</v>
      </c>
      <c r="G28" s="1">
        <v>5</v>
      </c>
      <c r="H28" s="1">
        <v>1</v>
      </c>
    </row>
    <row r="29" spans="1:8" ht="19" customHeight="1" x14ac:dyDescent="0.3">
      <c r="A29">
        <v>230</v>
      </c>
      <c r="B29" s="1">
        <v>2.732232758459356</v>
      </c>
      <c r="C29" s="1">
        <v>0.1162986242421552</v>
      </c>
      <c r="D29" s="1">
        <v>85.914344162689844</v>
      </c>
      <c r="E29" s="1">
        <v>86.056735721766017</v>
      </c>
      <c r="F29" s="1">
        <v>1.224361509038044</v>
      </c>
      <c r="G29" s="1">
        <v>5</v>
      </c>
      <c r="H29" s="1">
        <v>1</v>
      </c>
    </row>
    <row r="30" spans="1:8" ht="19" customHeight="1" x14ac:dyDescent="0.3">
      <c r="A30">
        <v>240</v>
      </c>
      <c r="B30" s="1">
        <v>2.8485313827015122</v>
      </c>
      <c r="C30" s="1">
        <v>0.1161084589677932</v>
      </c>
      <c r="D30" s="1">
        <v>86.056735721766017</v>
      </c>
      <c r="E30" s="1">
        <v>86.196002604109921</v>
      </c>
      <c r="F30" s="1">
        <v>1.1994550920922391</v>
      </c>
      <c r="G30" s="1">
        <v>5</v>
      </c>
      <c r="H30" s="1">
        <v>1</v>
      </c>
    </row>
    <row r="31" spans="1:8" ht="19" customHeight="1" x14ac:dyDescent="0.3">
      <c r="A31">
        <v>250</v>
      </c>
      <c r="B31" s="1">
        <v>2.9646398416693041</v>
      </c>
      <c r="C31" s="1">
        <v>0.1159230600803926</v>
      </c>
      <c r="D31" s="1">
        <v>86.196002604109921</v>
      </c>
      <c r="E31" s="1">
        <v>86.332224188126176</v>
      </c>
      <c r="F31" s="1">
        <v>1.1751034170576991</v>
      </c>
      <c r="G31" s="1">
        <v>5</v>
      </c>
      <c r="H31" s="1">
        <v>1</v>
      </c>
    </row>
    <row r="32" spans="1:8" ht="19" customHeight="1" x14ac:dyDescent="0.3">
      <c r="A32">
        <v>260</v>
      </c>
      <c r="B32" s="1">
        <v>3.0805629017496972</v>
      </c>
      <c r="C32" s="1">
        <v>0.11574228026713659</v>
      </c>
      <c r="D32" s="1">
        <v>86.332224188126176</v>
      </c>
      <c r="E32" s="1">
        <v>86.465477341854069</v>
      </c>
      <c r="F32" s="1">
        <v>1.151291934290066</v>
      </c>
      <c r="G32" s="1">
        <v>5</v>
      </c>
      <c r="H32" s="1">
        <v>1</v>
      </c>
    </row>
    <row r="33" spans="1:8" ht="19" customHeight="1" x14ac:dyDescent="0.3">
      <c r="A33">
        <v>270</v>
      </c>
      <c r="B33" s="1">
        <v>3.1963051820168338</v>
      </c>
      <c r="C33" s="1">
        <v>0.1155659780516856</v>
      </c>
      <c r="D33" s="1">
        <v>86.465477341854069</v>
      </c>
      <c r="E33" s="1">
        <v>86.595836525582001</v>
      </c>
      <c r="F33" s="1">
        <v>1.12800658053211</v>
      </c>
      <c r="G33" s="1">
        <v>5</v>
      </c>
      <c r="H33" s="1">
        <v>1</v>
      </c>
    </row>
    <row r="34" spans="1:8" ht="19" customHeight="1" x14ac:dyDescent="0.3">
      <c r="A34">
        <v>280</v>
      </c>
      <c r="B34" s="1">
        <v>3.3118711600685198</v>
      </c>
      <c r="C34" s="1">
        <v>0.11539401750183249</v>
      </c>
      <c r="D34" s="1">
        <v>86.595836525582001</v>
      </c>
      <c r="E34" s="1">
        <v>86.723373889137974</v>
      </c>
      <c r="F34" s="1">
        <v>1.105233757494807</v>
      </c>
      <c r="G34" s="1">
        <v>5</v>
      </c>
      <c r="H34" s="1">
        <v>1</v>
      </c>
    </row>
    <row r="35" spans="1:8" ht="19" customHeight="1" x14ac:dyDescent="0.3">
      <c r="A35">
        <v>290</v>
      </c>
      <c r="B35" s="1">
        <v>3.427265177570352</v>
      </c>
      <c r="C35" s="1">
        <v>0.1152262679549516</v>
      </c>
      <c r="D35" s="1">
        <v>86.723373889137974</v>
      </c>
      <c r="E35" s="1">
        <v>86.848159364192057</v>
      </c>
      <c r="F35" s="1">
        <v>1.082960311644138</v>
      </c>
      <c r="G35" s="1">
        <v>5</v>
      </c>
      <c r="H35" s="1">
        <v>1</v>
      </c>
    </row>
    <row r="36" spans="1:8" ht="19" customHeight="1" x14ac:dyDescent="0.3">
      <c r="A36">
        <v>300</v>
      </c>
      <c r="B36" s="1">
        <v>3.5424914455253038</v>
      </c>
      <c r="C36" s="1">
        <v>0.1150626037599711</v>
      </c>
      <c r="D36" s="1">
        <v>86.848159364192057</v>
      </c>
      <c r="E36" s="1">
        <v>86.970260751881781</v>
      </c>
      <c r="F36" s="1">
        <v>1.061173515110386</v>
      </c>
      <c r="G36" s="1">
        <v>5</v>
      </c>
      <c r="H36" s="1">
        <v>1</v>
      </c>
    </row>
    <row r="37" spans="1:8" ht="19" customHeight="1" x14ac:dyDescent="0.3">
      <c r="A37">
        <v>310</v>
      </c>
      <c r="B37" s="1">
        <v>3.6575540492852752</v>
      </c>
      <c r="C37" s="1">
        <v>0.1149029040347038</v>
      </c>
      <c r="D37" s="1">
        <v>86.970260751881781</v>
      </c>
      <c r="E37" s="1">
        <v>87.089743806048659</v>
      </c>
      <c r="F37" s="1">
        <v>1.0398610476441259</v>
      </c>
      <c r="G37" s="1">
        <v>5</v>
      </c>
      <c r="H37" s="1">
        <v>1</v>
      </c>
    </row>
    <row r="38" spans="1:8" ht="19" customHeight="1" x14ac:dyDescent="0.3">
      <c r="A38">
        <v>320</v>
      </c>
      <c r="B38" s="1">
        <v>3.772456953319979</v>
      </c>
      <c r="C38" s="1">
        <v>0.1147470524374621</v>
      </c>
      <c r="D38" s="1">
        <v>87.089743806048659</v>
      </c>
      <c r="E38" s="1">
        <v>87.206672312353419</v>
      </c>
      <c r="F38" s="1">
        <v>1.0190109795498761</v>
      </c>
      <c r="G38" s="1">
        <v>5</v>
      </c>
      <c r="H38" s="1">
        <v>1</v>
      </c>
    </row>
    <row r="39" spans="1:8" ht="19" customHeight="1" x14ac:dyDescent="0.3">
      <c r="A39">
        <v>330</v>
      </c>
      <c r="B39" s="1">
        <v>3.8872040057574409</v>
      </c>
      <c r="C39" s="1">
        <v>0.1145949369519714</v>
      </c>
      <c r="D39" s="1">
        <v>87.206672312353419</v>
      </c>
      <c r="E39" s="1">
        <v>87.32110816351809</v>
      </c>
      <c r="F39" s="1">
        <v>0.9986117555318742</v>
      </c>
      <c r="G39" s="1">
        <v>5</v>
      </c>
      <c r="H39" s="1">
        <v>1</v>
      </c>
    </row>
    <row r="40" spans="1:8" ht="19" customHeight="1" x14ac:dyDescent="0.3">
      <c r="A40">
        <v>340</v>
      </c>
      <c r="B40" s="1">
        <v>4.0017989427094127</v>
      </c>
      <c r="C40" s="1">
        <v>0.11444644968467391</v>
      </c>
      <c r="D40" s="1">
        <v>87.32110816351809</v>
      </c>
      <c r="E40" s="1">
        <v>87.43311143092599</v>
      </c>
      <c r="F40" s="1">
        <v>0.97865217939474858</v>
      </c>
      <c r="G40" s="1">
        <v>5</v>
      </c>
      <c r="H40" s="1">
        <v>1</v>
      </c>
    </row>
    <row r="41" spans="1:8" ht="19" customHeight="1" x14ac:dyDescent="0.3">
      <c r="A41">
        <v>350</v>
      </c>
      <c r="B41" s="1">
        <v>4.1162453923940863</v>
      </c>
      <c r="C41" s="1">
        <v>0.1143014866735839</v>
      </c>
      <c r="D41" s="1">
        <v>87.43311143092599</v>
      </c>
      <c r="E41" s="1">
        <v>87.542740432794076</v>
      </c>
      <c r="F41" s="1">
        <v>0.95912139954189124</v>
      </c>
      <c r="G41" s="1">
        <v>5</v>
      </c>
      <c r="H41" s="1">
        <v>1</v>
      </c>
    </row>
    <row r="42" spans="1:8" ht="19" customHeight="1" x14ac:dyDescent="0.3">
      <c r="A42">
        <v>360</v>
      </c>
      <c r="B42" s="1">
        <v>4.2305468790676706</v>
      </c>
      <c r="C42" s="1">
        <v>0.11415994770792259</v>
      </c>
      <c r="D42" s="1">
        <v>87.542740432794076</v>
      </c>
      <c r="E42" s="1">
        <v>87.650051799117605</v>
      </c>
      <c r="F42" s="1">
        <v>0.94000889522203579</v>
      </c>
      <c r="G42" s="1">
        <v>5</v>
      </c>
      <c r="H42" s="1">
        <v>1</v>
      </c>
    </row>
    <row r="43" spans="1:8" ht="19" customHeight="1" x14ac:dyDescent="0.3">
      <c r="A43">
        <v>370</v>
      </c>
      <c r="B43" s="1">
        <v>4.3447068267755933</v>
      </c>
      <c r="C43" s="1">
        <v>0.1140217361578183</v>
      </c>
      <c r="D43" s="1">
        <v>87.650051799117605</v>
      </c>
      <c r="E43" s="1">
        <v>87.755100533573199</v>
      </c>
      <c r="F43" s="1">
        <v>0.92130446347696304</v>
      </c>
      <c r="G43" s="1">
        <v>5</v>
      </c>
      <c r="H43" s="1">
        <v>1</v>
      </c>
    </row>
    <row r="44" spans="1:8" ht="19" customHeight="1" x14ac:dyDescent="0.3">
      <c r="A44">
        <v>380</v>
      </c>
      <c r="B44" s="1">
        <v>4.4587285629334117</v>
      </c>
      <c r="C44" s="1">
        <v>0.1138867588132616</v>
      </c>
      <c r="D44" s="1">
        <v>87.755100533573199</v>
      </c>
      <c r="E44" s="1">
        <v>87.85794007278642</v>
      </c>
      <c r="F44" s="1">
        <v>0.9029982087895404</v>
      </c>
      <c r="G44" s="1">
        <v>5</v>
      </c>
      <c r="H44" s="1">
        <v>1</v>
      </c>
    </row>
    <row r="45" spans="1:8" ht="19" customHeight="1" x14ac:dyDescent="0.3">
      <c r="A45">
        <v>390</v>
      </c>
      <c r="B45" s="1">
        <v>4.5726153217466736</v>
      </c>
      <c r="C45" s="1">
        <v>0.11375492571852611</v>
      </c>
      <c r="D45" s="1">
        <v>87.85794007278642</v>
      </c>
      <c r="E45" s="1">
        <v>87.958622363268177</v>
      </c>
      <c r="F45" s="1">
        <v>0.88508071053456661</v>
      </c>
      <c r="G45" s="1">
        <v>5</v>
      </c>
      <c r="H45" s="1">
        <v>1</v>
      </c>
    </row>
    <row r="46" spans="1:8" ht="19" customHeight="1" x14ac:dyDescent="0.3">
      <c r="A46">
        <v>400</v>
      </c>
      <c r="B46" s="1">
        <v>4.6863702474651996</v>
      </c>
      <c r="C46" s="1">
        <v>0.11362615003020519</v>
      </c>
      <c r="D46" s="1">
        <v>87.958622363268177</v>
      </c>
      <c r="E46" s="1">
        <v>88.05719789187026</v>
      </c>
      <c r="F46" s="1">
        <v>0.86754262619897415</v>
      </c>
      <c r="G46" s="1">
        <v>5</v>
      </c>
      <c r="H46" s="1">
        <v>1</v>
      </c>
    </row>
    <row r="47" spans="1:8" ht="19" customHeight="1" x14ac:dyDescent="0.3">
      <c r="A47">
        <v>410</v>
      </c>
      <c r="B47" s="1">
        <v>4.7999963974954047</v>
      </c>
      <c r="C47" s="1">
        <v>0.1135003479162994</v>
      </c>
      <c r="D47" s="1">
        <v>88.05719789187026</v>
      </c>
      <c r="E47" s="1">
        <v>88.15371570593615</v>
      </c>
      <c r="F47" s="1">
        <v>0.85037460975067913</v>
      </c>
      <c r="G47" s="1">
        <v>5</v>
      </c>
      <c r="H47" s="1">
        <v>1</v>
      </c>
    </row>
    <row r="48" spans="1:8" ht="19" customHeight="1" x14ac:dyDescent="0.3">
      <c r="A48">
        <v>420</v>
      </c>
      <c r="B48" s="1">
        <v>4.9134967454117042</v>
      </c>
      <c r="C48" s="1">
        <v>0.113377438423769</v>
      </c>
      <c r="D48" s="1">
        <v>88.15371570593615</v>
      </c>
      <c r="E48" s="1">
        <v>88.248223498637444</v>
      </c>
      <c r="F48" s="1">
        <v>0.83356789512258733</v>
      </c>
      <c r="G48" s="1">
        <v>5</v>
      </c>
      <c r="H48" s="1">
        <v>1</v>
      </c>
    </row>
    <row r="49" spans="1:8" ht="19" customHeight="1" x14ac:dyDescent="0.3">
      <c r="A49">
        <v>430</v>
      </c>
      <c r="B49" s="1">
        <v>5.0268741838354734</v>
      </c>
      <c r="C49" s="1">
        <v>0.1132573433330851</v>
      </c>
      <c r="D49" s="1">
        <v>88.248223498637444</v>
      </c>
      <c r="E49" s="1">
        <v>88.340767655612254</v>
      </c>
      <c r="F49" s="1">
        <v>0.8171139658701122</v>
      </c>
      <c r="G49" s="1">
        <v>5</v>
      </c>
      <c r="H49" s="1">
        <v>1</v>
      </c>
    </row>
    <row r="50" spans="1:8" ht="19" customHeight="1" x14ac:dyDescent="0.3">
      <c r="A50">
        <v>440</v>
      </c>
      <c r="B50" s="1">
        <v>5.1401315271685588</v>
      </c>
      <c r="C50" s="1">
        <v>0.1131399870428067</v>
      </c>
      <c r="D50" s="1">
        <v>88.340767655612254</v>
      </c>
      <c r="E50" s="1">
        <v>88.431393299585366</v>
      </c>
      <c r="F50" s="1">
        <v>0.80100454615417216</v>
      </c>
      <c r="G50" s="1">
        <v>5</v>
      </c>
      <c r="H50" s="1">
        <v>1</v>
      </c>
    </row>
    <row r="51" spans="1:8" ht="19" customHeight="1" x14ac:dyDescent="0.3">
      <c r="A51">
        <v>450</v>
      </c>
      <c r="B51" s="1">
        <v>5.2532715142113657</v>
      </c>
      <c r="C51" s="1">
        <v>0.1130252964600876</v>
      </c>
      <c r="D51" s="1">
        <v>88.431393299585366</v>
      </c>
      <c r="E51" s="1">
        <v>88.5201443330768</v>
      </c>
      <c r="F51" s="1">
        <v>0.78523159213987126</v>
      </c>
      <c r="G51" s="1">
        <v>5</v>
      </c>
      <c r="H51" s="1">
        <v>1</v>
      </c>
    </row>
    <row r="52" spans="1:8" ht="19" customHeight="1" x14ac:dyDescent="0.3">
      <c r="A52">
        <v>460</v>
      </c>
      <c r="B52" s="1">
        <v>5.3662968106714537</v>
      </c>
      <c r="C52" s="1">
        <v>0.1129132008967547</v>
      </c>
      <c r="D52" s="1">
        <v>88.5201443330768</v>
      </c>
      <c r="E52" s="1">
        <v>88.607063479298859</v>
      </c>
      <c r="F52" s="1">
        <v>0.76978728378744565</v>
      </c>
      <c r="G52" s="1">
        <v>5</v>
      </c>
      <c r="H52" s="1">
        <v>1</v>
      </c>
    </row>
    <row r="53" spans="1:8" ht="19" customHeight="1" x14ac:dyDescent="0.3">
      <c r="A53">
        <v>470</v>
      </c>
      <c r="B53" s="1">
        <v>5.4792100115682087</v>
      </c>
      <c r="C53" s="1">
        <v>0.1128036319706225</v>
      </c>
      <c r="D53" s="1">
        <v>88.607063479298859</v>
      </c>
      <c r="E53" s="1">
        <v>88.692192321335341</v>
      </c>
      <c r="F53" s="1">
        <v>0.75466401701191899</v>
      </c>
      <c r="G53" s="1">
        <v>5</v>
      </c>
      <c r="H53" s="1">
        <v>1</v>
      </c>
    </row>
    <row r="54" spans="1:8" ht="19" customHeight="1" x14ac:dyDescent="0.3">
      <c r="A54">
        <v>480</v>
      </c>
      <c r="B54" s="1">
        <v>5.5920136435388317</v>
      </c>
      <c r="C54" s="1">
        <v>0.11269652351173549</v>
      </c>
      <c r="D54" s="1">
        <v>88.692192321335341</v>
      </c>
      <c r="E54" s="1">
        <v>88.775571339691098</v>
      </c>
      <c r="F54" s="1">
        <v>0.73985439619236781</v>
      </c>
      <c r="G54" s="1">
        <v>5</v>
      </c>
      <c r="H54" s="1">
        <v>1</v>
      </c>
    </row>
    <row r="55" spans="1:8" ht="19" customHeight="1" x14ac:dyDescent="0.3">
      <c r="A55">
        <v>490</v>
      </c>
      <c r="B55" s="1">
        <v>5.7047101670505684</v>
      </c>
      <c r="C55" s="1">
        <v>0.1125918114732483</v>
      </c>
      <c r="D55" s="1">
        <v>88.775571339691098</v>
      </c>
      <c r="E55" s="1">
        <v>88.857239948294676</v>
      </c>
      <c r="F55" s="1">
        <v>0.72535122701160615</v>
      </c>
      <c r="G55" s="1">
        <v>5</v>
      </c>
      <c r="H55" s="1">
        <v>1</v>
      </c>
    </row>
    <row r="56" spans="1:8" ht="19" customHeight="1" x14ac:dyDescent="0.3">
      <c r="A56">
        <v>500</v>
      </c>
      <c r="B56" s="1">
        <v>5.8173019785238163</v>
      </c>
      <c r="C56" s="1">
        <v>0.1124894338466725</v>
      </c>
      <c r="D56" s="1">
        <v>88.857239948294676</v>
      </c>
      <c r="E56" s="1">
        <v>88.937236529031949</v>
      </c>
      <c r="F56" s="1">
        <v>0.71114750960796302</v>
      </c>
      <c r="G56" s="1">
        <v>5</v>
      </c>
      <c r="H56" s="1">
        <v>1</v>
      </c>
    </row>
    <row r="57" spans="1:8" ht="19" customHeight="1" x14ac:dyDescent="0.3">
      <c r="A57">
        <v>510</v>
      </c>
      <c r="B57" s="1">
        <v>5.9297914123704887</v>
      </c>
      <c r="C57" s="1">
        <v>0.1123893305812397</v>
      </c>
      <c r="D57" s="1">
        <v>88.937236529031949</v>
      </c>
      <c r="E57" s="1">
        <v>89.015598464883766</v>
      </c>
      <c r="F57" s="1">
        <v>0.69723643202210039</v>
      </c>
      <c r="G57" s="1">
        <v>5</v>
      </c>
      <c r="H57" s="1">
        <v>1</v>
      </c>
    </row>
    <row r="58" spans="1:8" ht="19" customHeight="1" x14ac:dyDescent="0.3">
      <c r="A58">
        <v>520</v>
      </c>
      <c r="B58" s="1">
        <v>6.0421807429517287</v>
      </c>
      <c r="C58" s="1">
        <v>0.11236614072975171</v>
      </c>
      <c r="D58" s="1">
        <v>89.015598464883766</v>
      </c>
      <c r="E58" s="1">
        <v>88.97396200334812</v>
      </c>
      <c r="F58" s="1">
        <v>-0.37054277440906841</v>
      </c>
      <c r="G58" s="1">
        <v>5</v>
      </c>
      <c r="H58" s="1">
        <v>0</v>
      </c>
    </row>
    <row r="59" spans="1:8" ht="19" customHeight="1" x14ac:dyDescent="0.3">
      <c r="A59">
        <v>530</v>
      </c>
      <c r="B59" s="1">
        <v>6.1545468836814807</v>
      </c>
      <c r="C59" s="1">
        <v>0.1124181649000668</v>
      </c>
      <c r="D59" s="1">
        <v>88.97396200334812</v>
      </c>
      <c r="E59" s="1">
        <v>88.933229577112499</v>
      </c>
      <c r="F59" s="1">
        <v>-0.3623295778918873</v>
      </c>
      <c r="G59" s="1">
        <v>5</v>
      </c>
      <c r="H59" s="1">
        <v>0</v>
      </c>
    </row>
    <row r="60" spans="1:8" ht="19" customHeight="1" x14ac:dyDescent="0.3">
      <c r="A60">
        <v>540</v>
      </c>
      <c r="B60" s="1">
        <v>6.2669650485815476</v>
      </c>
      <c r="C60" s="1">
        <v>0.1124691055911911</v>
      </c>
      <c r="D60" s="1">
        <v>88.933229577112499</v>
      </c>
      <c r="E60" s="1">
        <v>88.893382405533544</v>
      </c>
      <c r="F60" s="1">
        <v>-0.35429437594884799</v>
      </c>
      <c r="G60" s="1">
        <v>5</v>
      </c>
      <c r="H60" s="1">
        <v>0</v>
      </c>
    </row>
    <row r="61" spans="1:8" ht="19" customHeight="1" x14ac:dyDescent="0.3">
      <c r="A61">
        <v>550</v>
      </c>
      <c r="B61" s="1">
        <v>6.3794341541727384</v>
      </c>
      <c r="C61" s="1">
        <v>0.1125189830456873</v>
      </c>
      <c r="D61" s="1">
        <v>88.893382405533544</v>
      </c>
      <c r="E61" s="1">
        <v>88.854402533823489</v>
      </c>
      <c r="F61" s="1">
        <v>-0.34642929268411538</v>
      </c>
      <c r="G61" s="1">
        <v>5</v>
      </c>
      <c r="H61" s="1">
        <v>0</v>
      </c>
    </row>
    <row r="62" spans="1:8" ht="19" customHeight="1" x14ac:dyDescent="0.3">
      <c r="A62">
        <v>560</v>
      </c>
      <c r="B62" s="1">
        <v>6.4919531372184256</v>
      </c>
      <c r="C62" s="1">
        <v>0.112567817322026</v>
      </c>
      <c r="D62" s="1">
        <v>88.854402533823489</v>
      </c>
      <c r="E62" s="1">
        <v>88.816271694365739</v>
      </c>
      <c r="F62" s="1">
        <v>-0.33873659776727438</v>
      </c>
      <c r="G62" s="1">
        <v>5</v>
      </c>
      <c r="H62" s="1">
        <v>0</v>
      </c>
    </row>
    <row r="63" spans="1:8" ht="19" customHeight="1" x14ac:dyDescent="0.3">
      <c r="A63">
        <v>570</v>
      </c>
      <c r="B63" s="1">
        <v>6.604520954540452</v>
      </c>
      <c r="C63" s="1">
        <v>0.11379802312460829</v>
      </c>
      <c r="D63" s="1">
        <v>88.816271694365739</v>
      </c>
      <c r="E63" s="1">
        <v>86.93370577316972</v>
      </c>
      <c r="F63" s="1">
        <v>-16.543045911567511</v>
      </c>
      <c r="G63" s="1">
        <v>5</v>
      </c>
      <c r="H63" s="1">
        <v>0</v>
      </c>
    </row>
    <row r="64" spans="1:8" ht="19" customHeight="1" x14ac:dyDescent="0.3">
      <c r="A64">
        <v>580</v>
      </c>
      <c r="B64" s="1">
        <v>6.71831897766506</v>
      </c>
      <c r="C64" s="1">
        <v>0.11786445752947849</v>
      </c>
      <c r="D64" s="1">
        <v>86.93370577316972</v>
      </c>
      <c r="E64" s="1">
        <v>82.752732523955558</v>
      </c>
      <c r="F64" s="1">
        <v>-35.472722963735542</v>
      </c>
      <c r="G64" s="1">
        <v>5</v>
      </c>
      <c r="H64" s="1">
        <v>0</v>
      </c>
    </row>
    <row r="65" spans="1:8" ht="19" customHeight="1" x14ac:dyDescent="0.3">
      <c r="A65">
        <v>590</v>
      </c>
      <c r="B65" s="1">
        <v>6.8361834351945383</v>
      </c>
      <c r="C65" s="1">
        <v>0.1240932137117573</v>
      </c>
      <c r="D65" s="1">
        <v>82.752732523955558</v>
      </c>
      <c r="E65" s="1">
        <v>78.416435408594111</v>
      </c>
      <c r="F65" s="1">
        <v>-34.943869899555963</v>
      </c>
      <c r="G65" s="1">
        <v>5</v>
      </c>
      <c r="H65" s="1">
        <v>0</v>
      </c>
    </row>
    <row r="66" spans="1:8" ht="19" customHeight="1" x14ac:dyDescent="0.3">
      <c r="A66">
        <v>600</v>
      </c>
      <c r="B66" s="1">
        <v>6.9602766489062953</v>
      </c>
      <c r="C66" s="1">
        <v>0.17130853759974721</v>
      </c>
      <c r="D66" s="1">
        <v>78.416435408594111</v>
      </c>
      <c r="E66" s="1">
        <v>73.896585249390085</v>
      </c>
      <c r="F66" s="1">
        <v>-34.421601533491817</v>
      </c>
      <c r="G66" s="1">
        <v>4</v>
      </c>
      <c r="H66" s="1">
        <v>0</v>
      </c>
    </row>
    <row r="67" spans="1:8" ht="19" customHeight="1" x14ac:dyDescent="0.3">
      <c r="A67">
        <v>610</v>
      </c>
      <c r="B67" s="1">
        <v>7.1315851865060429</v>
      </c>
      <c r="C67" s="1">
        <v>0.13980849919056809</v>
      </c>
      <c r="D67" s="1">
        <v>73.896585249390085</v>
      </c>
      <c r="E67" s="1">
        <v>69.156234255800982</v>
      </c>
      <c r="F67" s="1">
        <v>-33.906028753857747</v>
      </c>
      <c r="G67" s="1">
        <v>4</v>
      </c>
      <c r="H67" s="1">
        <v>0</v>
      </c>
    </row>
    <row r="68" spans="1:8" ht="19" customHeight="1" x14ac:dyDescent="0.3">
      <c r="A68">
        <v>620</v>
      </c>
      <c r="B68" s="1">
        <v>7.2713936856966113</v>
      </c>
      <c r="C68" s="1">
        <v>0.1500355996960516</v>
      </c>
      <c r="D68" s="1">
        <v>69.156234255800982</v>
      </c>
      <c r="E68" s="1">
        <v>64.145462411635492</v>
      </c>
      <c r="F68" s="1">
        <v>-33.397219422033963</v>
      </c>
      <c r="G68" s="1">
        <v>4</v>
      </c>
      <c r="H68" s="1">
        <v>0</v>
      </c>
    </row>
    <row r="69" spans="1:8" ht="19" customHeight="1" x14ac:dyDescent="0.3">
      <c r="A69">
        <v>630</v>
      </c>
      <c r="B69" s="1">
        <v>7.4214292853926631</v>
      </c>
      <c r="C69" s="1">
        <v>0.2026816752194473</v>
      </c>
      <c r="D69" s="1">
        <v>64.145462411635492</v>
      </c>
      <c r="E69" s="1">
        <v>58.79401416445252</v>
      </c>
      <c r="F69" s="1">
        <v>-32.895212321634929</v>
      </c>
      <c r="G69" s="1">
        <v>3</v>
      </c>
      <c r="H69" s="1">
        <v>0</v>
      </c>
    </row>
    <row r="70" spans="1:8" ht="19" customHeight="1" x14ac:dyDescent="0.3">
      <c r="A70">
        <v>640</v>
      </c>
      <c r="B70" s="1">
        <v>7.6241109606121107</v>
      </c>
      <c r="C70" s="1">
        <v>0.1789044472591273</v>
      </c>
      <c r="D70" s="1">
        <v>58.79401416445252</v>
      </c>
      <c r="E70" s="1">
        <v>52.997505310922861</v>
      </c>
      <c r="F70" s="1">
        <v>-32.400026619427329</v>
      </c>
      <c r="G70" s="1">
        <v>3</v>
      </c>
      <c r="H70" s="1">
        <v>0</v>
      </c>
    </row>
    <row r="71" spans="1:8" ht="19" customHeight="1" x14ac:dyDescent="0.3">
      <c r="A71">
        <v>650</v>
      </c>
      <c r="B71" s="1">
        <v>7.8030154078712384</v>
      </c>
      <c r="C71" s="1">
        <v>0.22869829178071169</v>
      </c>
      <c r="D71" s="1">
        <v>52.997505310922861</v>
      </c>
      <c r="E71" s="1">
        <v>52.9917954467237</v>
      </c>
      <c r="F71" s="1">
        <v>-3.0259225694499001E-2</v>
      </c>
      <c r="G71" s="1">
        <v>2</v>
      </c>
      <c r="H71" s="1">
        <v>0</v>
      </c>
    </row>
    <row r="72" spans="1:8" ht="19" customHeight="1" x14ac:dyDescent="0.3">
      <c r="A72">
        <v>660</v>
      </c>
      <c r="B72" s="1">
        <v>8.0317136996519505</v>
      </c>
      <c r="C72" s="1">
        <v>0.18871870262634019</v>
      </c>
      <c r="D72" s="1">
        <v>52.9917954467237</v>
      </c>
      <c r="E72" s="1">
        <v>52.986042052507401</v>
      </c>
      <c r="F72" s="1">
        <v>-3.0486613866196399E-2</v>
      </c>
      <c r="G72" s="1">
        <v>2</v>
      </c>
      <c r="H72" s="1">
        <v>0</v>
      </c>
    </row>
    <row r="73" spans="1:8" ht="19" customHeight="1" x14ac:dyDescent="0.3">
      <c r="A73">
        <v>670</v>
      </c>
      <c r="B73" s="1">
        <v>8.2204324022782913</v>
      </c>
      <c r="C73" s="1">
        <v>0.18873927169203189</v>
      </c>
      <c r="D73" s="1">
        <v>52.986042052507401</v>
      </c>
      <c r="E73" s="1">
        <v>52.980245836079121</v>
      </c>
      <c r="F73" s="1">
        <v>-3.0710176935190198E-2</v>
      </c>
      <c r="G73" s="1">
        <v>2</v>
      </c>
      <c r="H73" s="1">
        <v>0</v>
      </c>
    </row>
    <row r="74" spans="1:8" ht="19" customHeight="1" x14ac:dyDescent="0.3">
      <c r="A74">
        <v>680</v>
      </c>
      <c r="B74" s="1">
        <v>8.4091716739703237</v>
      </c>
      <c r="C74" s="1">
        <v>0.18875999781885119</v>
      </c>
      <c r="D74" s="1">
        <v>52.980245836079121</v>
      </c>
      <c r="E74" s="1">
        <v>52.97440679743886</v>
      </c>
      <c r="F74" s="1">
        <v>-3.0933665542124799E-2</v>
      </c>
      <c r="G74" s="1">
        <v>2</v>
      </c>
      <c r="H74" s="1">
        <v>0</v>
      </c>
    </row>
    <row r="75" spans="1:8" ht="19" customHeight="1" x14ac:dyDescent="0.3">
      <c r="A75">
        <v>690</v>
      </c>
      <c r="B75" s="1">
        <v>8.5979316717891745</v>
      </c>
      <c r="C75" s="1">
        <v>0.18878087858631989</v>
      </c>
      <c r="D75" s="1">
        <v>52.97440679743886</v>
      </c>
      <c r="E75" s="1">
        <v>52.968526352196932</v>
      </c>
      <c r="F75" s="1">
        <v>-3.1149580857800101E-2</v>
      </c>
      <c r="G75" s="1">
        <v>2</v>
      </c>
      <c r="H75" s="1">
        <v>0</v>
      </c>
    </row>
    <row r="76" spans="1:8" ht="19" customHeight="1" x14ac:dyDescent="0.3">
      <c r="A76">
        <v>700</v>
      </c>
      <c r="B76" s="1">
        <v>8.7867125503754941</v>
      </c>
      <c r="C76" s="1">
        <v>0.18880191157251769</v>
      </c>
      <c r="D76" s="1">
        <v>52.968526352196932</v>
      </c>
      <c r="E76" s="1">
        <v>52.962604500353343</v>
      </c>
      <c r="F76" s="1">
        <v>-3.1365423126658201E-2</v>
      </c>
      <c r="G76" s="1">
        <v>2</v>
      </c>
      <c r="H76" s="1">
        <v>0</v>
      </c>
    </row>
    <row r="77" spans="1:8" ht="19" customHeight="1" x14ac:dyDescent="0.3">
      <c r="A77">
        <v>710</v>
      </c>
      <c r="B77" s="1">
        <v>8.9755144619480127</v>
      </c>
      <c r="C77" s="1">
        <v>0.18882309561585281</v>
      </c>
      <c r="D77" s="1">
        <v>52.962604500353343</v>
      </c>
      <c r="E77" s="1">
        <v>52.95664194971323</v>
      </c>
      <c r="F77" s="1">
        <v>-3.1577443536025297E-2</v>
      </c>
      <c r="G77" s="1">
        <v>2</v>
      </c>
      <c r="H77" s="1">
        <v>0</v>
      </c>
    </row>
    <row r="78" spans="1:8" ht="19" customHeight="1" x14ac:dyDescent="0.3">
      <c r="A78">
        <v>720</v>
      </c>
      <c r="B78" s="1">
        <v>9.1643375575638633</v>
      </c>
      <c r="C78" s="1">
        <v>0.1888444276612094</v>
      </c>
      <c r="D78" s="1">
        <v>52.95664194971323</v>
      </c>
      <c r="E78" s="1">
        <v>52.950639761984348</v>
      </c>
      <c r="F78" s="1">
        <v>-3.1783769334447202E-2</v>
      </c>
      <c r="G78" s="1">
        <v>2</v>
      </c>
      <c r="H78" s="1">
        <v>0</v>
      </c>
    </row>
    <row r="79" spans="1:8" ht="19" customHeight="1" x14ac:dyDescent="0.3">
      <c r="A79">
        <v>730</v>
      </c>
      <c r="B79" s="1">
        <v>9.3531819852250742</v>
      </c>
      <c r="C79" s="1">
        <v>0.18886590654492169</v>
      </c>
      <c r="D79" s="1">
        <v>52.950639761984348</v>
      </c>
      <c r="E79" s="1">
        <v>52.944597583264112</v>
      </c>
      <c r="F79" s="1">
        <v>-3.1991897483089803E-2</v>
      </c>
      <c r="G79" s="1">
        <v>2</v>
      </c>
      <c r="H79" s="1">
        <v>0</v>
      </c>
    </row>
    <row r="80" spans="1:8" ht="19" customHeight="1" x14ac:dyDescent="0.3">
      <c r="A80">
        <v>740</v>
      </c>
      <c r="B80" s="1">
        <v>9.5420478917699967</v>
      </c>
      <c r="C80" s="1">
        <v>0.1888875304715508</v>
      </c>
      <c r="D80" s="1">
        <v>52.944597583264112</v>
      </c>
      <c r="E80" s="1">
        <v>52.938516829162843</v>
      </c>
      <c r="F80" s="1">
        <v>-3.2192459110956403E-2</v>
      </c>
      <c r="G80" s="1">
        <v>2</v>
      </c>
      <c r="H80" s="1">
        <v>0</v>
      </c>
    </row>
    <row r="81" spans="1:8" ht="19" customHeight="1" x14ac:dyDescent="0.3">
      <c r="A81">
        <v>750</v>
      </c>
      <c r="B81" s="1">
        <v>9.7309354222415472</v>
      </c>
      <c r="C81" s="1">
        <v>0.18890929638165721</v>
      </c>
      <c r="D81" s="1">
        <v>52.938516829162843</v>
      </c>
      <c r="E81" s="1">
        <v>52.932397853583097</v>
      </c>
      <c r="F81" s="1">
        <v>-3.2391077077431801E-2</v>
      </c>
      <c r="G81" s="1">
        <v>2</v>
      </c>
      <c r="H81" s="1">
        <v>0</v>
      </c>
    </row>
    <row r="82" spans="1:8" ht="19" customHeight="1" x14ac:dyDescent="0.3">
      <c r="A82">
        <v>760</v>
      </c>
      <c r="B82" s="1">
        <v>9.9198447186232048</v>
      </c>
      <c r="C82" s="1">
        <v>0.18893120374007341</v>
      </c>
      <c r="D82" s="1">
        <v>52.932397853583097</v>
      </c>
      <c r="E82" s="1">
        <v>52.926240656524897</v>
      </c>
      <c r="F82" s="1">
        <v>-3.2589624880983999E-2</v>
      </c>
      <c r="G82" s="1">
        <v>2</v>
      </c>
      <c r="H82" s="1">
        <v>0</v>
      </c>
    </row>
    <row r="83" spans="1:8" ht="19" customHeight="1" x14ac:dyDescent="0.3">
      <c r="A83">
        <v>770</v>
      </c>
      <c r="B83" s="1">
        <v>10.10877592236328</v>
      </c>
      <c r="C83" s="1">
        <v>0.1889532501163802</v>
      </c>
      <c r="D83" s="1">
        <v>52.926240656524897</v>
      </c>
      <c r="E83" s="1">
        <v>52.920046653598547</v>
      </c>
      <c r="F83" s="1">
        <v>-3.2780610667100502E-2</v>
      </c>
      <c r="G83" s="1">
        <v>2</v>
      </c>
      <c r="H83" s="1">
        <v>0</v>
      </c>
    </row>
    <row r="84" spans="1:8" ht="19" customHeight="1" x14ac:dyDescent="0.3">
      <c r="A84">
        <v>780</v>
      </c>
      <c r="B84" s="1">
        <v>10.297729172479659</v>
      </c>
      <c r="C84" s="1">
        <v>0.18897543307844281</v>
      </c>
      <c r="D84" s="1">
        <v>52.920046653598547</v>
      </c>
      <c r="E84" s="1">
        <v>52.913815844804049</v>
      </c>
      <c r="F84" s="1">
        <v>-3.2971528060534099E-2</v>
      </c>
      <c r="G84" s="1">
        <v>2</v>
      </c>
      <c r="H84" s="1">
        <v>0</v>
      </c>
    </row>
    <row r="85" spans="1:8" ht="19" customHeight="1" x14ac:dyDescent="0.3">
      <c r="A85">
        <v>790</v>
      </c>
      <c r="B85" s="1">
        <v>10.486704605558099</v>
      </c>
      <c r="C85" s="1">
        <v>0.18899775082444689</v>
      </c>
      <c r="D85" s="1">
        <v>52.913815844804049</v>
      </c>
      <c r="E85" s="1">
        <v>52.907549291849143</v>
      </c>
      <c r="F85" s="1">
        <v>-3.3156759419489298E-2</v>
      </c>
      <c r="G85" s="1">
        <v>2</v>
      </c>
      <c r="H85" s="1">
        <v>0</v>
      </c>
    </row>
    <row r="86" spans="1:8" ht="19" customHeight="1" x14ac:dyDescent="0.3">
      <c r="A86">
        <v>800</v>
      </c>
      <c r="B86" s="1">
        <v>10.675702356382549</v>
      </c>
      <c r="C86" s="1">
        <v>0.18902020218361401</v>
      </c>
      <c r="D86" s="1">
        <v>52.907549291849143</v>
      </c>
      <c r="E86" s="1">
        <v>52.901246640831232</v>
      </c>
      <c r="F86" s="1">
        <v>-3.33437957694286E-2</v>
      </c>
      <c r="G86" s="1">
        <v>2</v>
      </c>
      <c r="H86" s="1">
        <v>0</v>
      </c>
    </row>
    <row r="87" spans="1:8" ht="19" customHeight="1" x14ac:dyDescent="0.3">
      <c r="A87">
        <v>810</v>
      </c>
      <c r="B87" s="1">
        <v>10.864722558566161</v>
      </c>
      <c r="C87" s="1">
        <v>0.1890427853521818</v>
      </c>
      <c r="D87" s="1">
        <v>52.901246640831232</v>
      </c>
      <c r="E87" s="1">
        <v>52.894909307360649</v>
      </c>
      <c r="F87" s="1">
        <v>-3.3523276007463201E-2</v>
      </c>
      <c r="G87" s="1">
        <v>2</v>
      </c>
      <c r="H87" s="1">
        <v>0</v>
      </c>
    </row>
    <row r="88" spans="1:8" ht="19" customHeight="1" x14ac:dyDescent="0.3">
      <c r="A88">
        <v>820</v>
      </c>
      <c r="B88" s="1">
        <v>11.053765343918339</v>
      </c>
      <c r="C88" s="1">
        <v>0.1890654972601023</v>
      </c>
      <c r="D88" s="1">
        <v>52.894909307360649</v>
      </c>
      <c r="E88" s="1">
        <v>52.888537645339973</v>
      </c>
      <c r="F88" s="1">
        <v>-3.3700818568286099E-2</v>
      </c>
      <c r="G88" s="1">
        <v>2</v>
      </c>
      <c r="H88" s="1">
        <v>0</v>
      </c>
    </row>
    <row r="89" spans="1:8" ht="19" customHeight="1" x14ac:dyDescent="0.3">
      <c r="A89">
        <v>830</v>
      </c>
      <c r="B89" s="1">
        <v>11.242830841178449</v>
      </c>
      <c r="C89" s="1">
        <v>0.1890883373655588</v>
      </c>
      <c r="D89" s="1">
        <v>52.888537645339973</v>
      </c>
      <c r="E89" s="1">
        <v>52.882131654769182</v>
      </c>
      <c r="F89" s="1">
        <v>-3.3878295510089598E-2</v>
      </c>
      <c r="G89" s="1">
        <v>2</v>
      </c>
      <c r="H89" s="1">
        <v>0</v>
      </c>
    </row>
    <row r="90" spans="1:8" ht="19" customHeight="1" x14ac:dyDescent="0.3">
      <c r="A90">
        <v>840</v>
      </c>
      <c r="B90" s="1">
        <v>11.43191917854401</v>
      </c>
      <c r="C90" s="1">
        <v>0.1891113038610035</v>
      </c>
      <c r="D90" s="1">
        <v>52.882131654769182</v>
      </c>
      <c r="E90" s="1">
        <v>52.875692397356033</v>
      </c>
      <c r="F90" s="1">
        <v>-3.4050092626307503E-2</v>
      </c>
      <c r="G90" s="1">
        <v>2</v>
      </c>
      <c r="H90" s="1">
        <v>0</v>
      </c>
    </row>
    <row r="91" spans="1:8" ht="19" customHeight="1" x14ac:dyDescent="0.3">
      <c r="A91">
        <v>850</v>
      </c>
      <c r="B91" s="1">
        <v>11.621030482405009</v>
      </c>
      <c r="C91" s="1">
        <v>0.1891343936716034</v>
      </c>
      <c r="D91" s="1">
        <v>52.875692397356033</v>
      </c>
      <c r="E91" s="1">
        <v>52.869220580905683</v>
      </c>
      <c r="F91" s="1">
        <v>-3.4218083367727498E-2</v>
      </c>
      <c r="G91" s="1">
        <v>2</v>
      </c>
      <c r="H91" s="1">
        <v>0</v>
      </c>
    </row>
    <row r="92" spans="1:8" ht="19" customHeight="1" x14ac:dyDescent="0.3">
      <c r="A92">
        <v>860</v>
      </c>
      <c r="B92" s="1">
        <v>11.810164876076611</v>
      </c>
      <c r="C92" s="1">
        <v>0.18914596981237911</v>
      </c>
      <c r="D92" s="1">
        <v>52.869220580905683</v>
      </c>
      <c r="E92" s="1">
        <v>52.869220580905683</v>
      </c>
      <c r="F92" s="1">
        <v>0</v>
      </c>
      <c r="G92" s="1">
        <v>2</v>
      </c>
      <c r="H92" s="1">
        <v>0</v>
      </c>
    </row>
    <row r="93" spans="1:8" ht="19" customHeight="1" x14ac:dyDescent="0.3">
      <c r="A93">
        <v>870</v>
      </c>
      <c r="B93" s="1">
        <v>11.99931084588899</v>
      </c>
      <c r="C93" s="1">
        <v>0.18670315649926369</v>
      </c>
      <c r="D93" s="1">
        <v>52.869220580905683</v>
      </c>
      <c r="E93" s="1">
        <v>54.252696236172177</v>
      </c>
      <c r="F93" s="1">
        <v>7.4100282030955213</v>
      </c>
      <c r="G93" s="1">
        <v>2</v>
      </c>
      <c r="H93" s="1">
        <v>0</v>
      </c>
    </row>
    <row r="94" spans="1:8" ht="19" customHeight="1" x14ac:dyDescent="0.3">
      <c r="A94">
        <v>880</v>
      </c>
      <c r="B94" s="1">
        <v>12.18601400238826</v>
      </c>
      <c r="C94" s="1">
        <v>0.22216606911408329</v>
      </c>
      <c r="D94" s="1">
        <v>54.252696236172177</v>
      </c>
      <c r="E94" s="1">
        <v>55.537233893323041</v>
      </c>
      <c r="F94" s="1">
        <v>7.0514649813649388</v>
      </c>
      <c r="G94" s="1">
        <v>3</v>
      </c>
      <c r="H94" s="1">
        <v>0</v>
      </c>
    </row>
    <row r="95" spans="1:8" ht="19" customHeight="1" x14ac:dyDescent="0.3">
      <c r="A95">
        <v>890</v>
      </c>
      <c r="B95" s="1">
        <v>12.40818007150234</v>
      </c>
      <c r="C95" s="1">
        <v>0.17813754288424871</v>
      </c>
      <c r="D95" s="1">
        <v>55.537233893323041</v>
      </c>
      <c r="E95" s="1">
        <v>56.735562038277521</v>
      </c>
      <c r="F95" s="1">
        <v>6.7269825638783676</v>
      </c>
      <c r="G95" s="1">
        <v>3</v>
      </c>
      <c r="H95" s="1">
        <v>0</v>
      </c>
    </row>
    <row r="96" spans="1:8" ht="19" customHeight="1" x14ac:dyDescent="0.3">
      <c r="A96">
        <v>900</v>
      </c>
      <c r="B96" s="1">
        <v>12.586317614386591</v>
      </c>
      <c r="C96" s="1">
        <v>0.1745299413412664</v>
      </c>
      <c r="D96" s="1">
        <v>56.735562038277521</v>
      </c>
      <c r="E96" s="1">
        <v>57.857956107088043</v>
      </c>
      <c r="F96" s="1">
        <v>6.4309542545244538</v>
      </c>
      <c r="G96" s="1">
        <v>3</v>
      </c>
      <c r="H96" s="1">
        <v>0</v>
      </c>
    </row>
    <row r="97" spans="1:8" ht="19" customHeight="1" x14ac:dyDescent="0.3">
      <c r="A97">
        <v>910</v>
      </c>
      <c r="B97" s="1">
        <v>12.76084755572786</v>
      </c>
      <c r="C97" s="1">
        <v>0.1712756852955028</v>
      </c>
      <c r="D97" s="1">
        <v>57.857956107088043</v>
      </c>
      <c r="E97" s="1">
        <v>58.912850942925509</v>
      </c>
      <c r="F97" s="1">
        <v>6.1590460666816629</v>
      </c>
      <c r="G97" s="1">
        <v>3</v>
      </c>
      <c r="H97" s="1">
        <v>0</v>
      </c>
    </row>
    <row r="98" spans="1:8" ht="19" customHeight="1" x14ac:dyDescent="0.3">
      <c r="A98">
        <v>920</v>
      </c>
      <c r="B98" s="1">
        <v>12.93212324102336</v>
      </c>
      <c r="C98" s="1">
        <v>0.16832165984042641</v>
      </c>
      <c r="D98" s="1">
        <v>58.912850942925509</v>
      </c>
      <c r="E98" s="1">
        <v>59.907270121473147</v>
      </c>
      <c r="F98" s="1">
        <v>5.9078503591895473</v>
      </c>
      <c r="G98" s="1">
        <v>3</v>
      </c>
      <c r="H98" s="1">
        <v>0</v>
      </c>
    </row>
    <row r="99" spans="1:8" ht="19" customHeight="1" x14ac:dyDescent="0.3">
      <c r="A99">
        <v>930</v>
      </c>
      <c r="B99" s="1">
        <v>13.10044490086378</v>
      </c>
      <c r="C99" s="1">
        <v>0.1656254279812345</v>
      </c>
      <c r="D99" s="1">
        <v>59.907270121473147</v>
      </c>
      <c r="E99" s="1">
        <v>60.847134825731061</v>
      </c>
      <c r="F99" s="1">
        <v>5.6746401546771947</v>
      </c>
      <c r="G99" s="1">
        <v>3</v>
      </c>
      <c r="H99" s="1">
        <v>0</v>
      </c>
    </row>
    <row r="100" spans="1:8" ht="19" customHeight="1" x14ac:dyDescent="0.3">
      <c r="A100">
        <v>940</v>
      </c>
      <c r="B100" s="1">
        <v>13.26607032884502</v>
      </c>
      <c r="C100" s="1">
        <v>0.16315259641839211</v>
      </c>
      <c r="D100" s="1">
        <v>60.847134825731061</v>
      </c>
      <c r="E100" s="1">
        <v>61.737491095339522</v>
      </c>
      <c r="F100" s="1">
        <v>5.4571995123216324</v>
      </c>
      <c r="G100" s="1">
        <v>3</v>
      </c>
      <c r="H100" s="1">
        <v>0</v>
      </c>
    </row>
    <row r="101" spans="1:8" ht="19" customHeight="1" x14ac:dyDescent="0.3">
      <c r="A101">
        <v>950</v>
      </c>
      <c r="B101" s="1">
        <v>13.42922292526341</v>
      </c>
      <c r="C101" s="1">
        <v>0.1608749390625841</v>
      </c>
      <c r="D101" s="1">
        <v>61.737491095339522</v>
      </c>
      <c r="E101" s="1">
        <v>62.582680315693842</v>
      </c>
      <c r="F101" s="1">
        <v>5.2537034374603078</v>
      </c>
      <c r="G101" s="1">
        <v>3</v>
      </c>
      <c r="H101" s="1">
        <v>0</v>
      </c>
    </row>
    <row r="102" spans="1:8" ht="19" customHeight="1" x14ac:dyDescent="0.3">
      <c r="A102">
        <v>960</v>
      </c>
      <c r="B102" s="1">
        <v>13.590097864325999</v>
      </c>
      <c r="C102" s="1">
        <v>0.1587690323782481</v>
      </c>
      <c r="D102" s="1">
        <v>62.582680315693842</v>
      </c>
      <c r="E102" s="1">
        <v>63.386469337825552</v>
      </c>
      <c r="F102" s="1">
        <v>5.0626309809383203</v>
      </c>
      <c r="G102" s="1">
        <v>3</v>
      </c>
      <c r="H102" s="1">
        <v>0</v>
      </c>
    </row>
    <row r="103" spans="1:8" ht="19" customHeight="1" x14ac:dyDescent="0.3">
      <c r="A103">
        <v>970</v>
      </c>
      <c r="B103" s="1">
        <v>13.748866896704239</v>
      </c>
      <c r="C103" s="1">
        <v>0.1568152446556299</v>
      </c>
      <c r="D103" s="1">
        <v>63.386469337825552</v>
      </c>
      <c r="E103" s="1">
        <v>64.152151310444196</v>
      </c>
      <c r="F103" s="1">
        <v>4.8827011321514204</v>
      </c>
      <c r="G103" s="1">
        <v>3</v>
      </c>
      <c r="H103" s="1">
        <v>0</v>
      </c>
    </row>
    <row r="104" spans="1:8" ht="19" customHeight="1" x14ac:dyDescent="0.3">
      <c r="A104">
        <v>980</v>
      </c>
      <c r="B104" s="1">
        <v>13.905682141359881</v>
      </c>
      <c r="C104" s="1">
        <v>0.15499697515408481</v>
      </c>
      <c r="D104" s="1">
        <v>64.152151310444196</v>
      </c>
      <c r="E104" s="1">
        <v>64.882624885140913</v>
      </c>
      <c r="F104" s="1">
        <v>4.7128247113889756</v>
      </c>
      <c r="G104" s="1">
        <v>3</v>
      </c>
      <c r="H104" s="1">
        <v>0</v>
      </c>
    </row>
    <row r="105" spans="1:8" ht="19" customHeight="1" x14ac:dyDescent="0.3">
      <c r="A105">
        <v>990</v>
      </c>
      <c r="B105" s="1">
        <v>14.06067911651396</v>
      </c>
      <c r="C105" s="1">
        <v>0.15330007294576739</v>
      </c>
      <c r="D105" s="1">
        <v>64.882624885140913</v>
      </c>
      <c r="E105" s="1">
        <v>65.580457197509801</v>
      </c>
      <c r="F105" s="1">
        <v>4.5520677124254236</v>
      </c>
      <c r="G105" s="1">
        <v>3</v>
      </c>
      <c r="H105" s="1">
        <v>0</v>
      </c>
    </row>
    <row r="106" spans="1:8" ht="19" customHeight="1" x14ac:dyDescent="0.3">
      <c r="A106">
        <v>1000</v>
      </c>
      <c r="B106" s="1">
        <v>14.21397918945973</v>
      </c>
      <c r="C106" s="1">
        <v>0.15171238715746371</v>
      </c>
      <c r="D106" s="1">
        <v>65.580457197509801</v>
      </c>
      <c r="E106" s="1">
        <v>66.247934502910894</v>
      </c>
      <c r="F106" s="1">
        <v>4.3996229833778218</v>
      </c>
      <c r="G106" s="1">
        <v>3</v>
      </c>
      <c r="H106" s="1">
        <v>0</v>
      </c>
    </row>
    <row r="107" spans="1:8" ht="19" customHeight="1" x14ac:dyDescent="0.3">
      <c r="A107">
        <v>1010</v>
      </c>
      <c r="B107" s="1">
        <v>14.36569157661719</v>
      </c>
      <c r="C107" s="1">
        <v>0.15022341474163509</v>
      </c>
      <c r="D107" s="1">
        <v>66.247934502910894</v>
      </c>
      <c r="E107" s="1">
        <v>66.887103296605318</v>
      </c>
      <c r="F107" s="1">
        <v>4.2547880754389098</v>
      </c>
      <c r="G107" s="1">
        <v>3</v>
      </c>
      <c r="H107" s="1">
        <v>0</v>
      </c>
    </row>
    <row r="108" spans="1:8" ht="19" customHeight="1" x14ac:dyDescent="0.3">
      <c r="A108">
        <v>1020</v>
      </c>
      <c r="B108" s="1">
        <v>14.51591499135883</v>
      </c>
      <c r="C108" s="1">
        <v>0.14882402162825331</v>
      </c>
      <c r="D108" s="1">
        <v>66.887103296605318</v>
      </c>
      <c r="E108" s="1">
        <v>67.49980401300823</v>
      </c>
      <c r="F108" s="1">
        <v>4.1169477191886017</v>
      </c>
      <c r="G108" s="1">
        <v>3</v>
      </c>
      <c r="H108" s="1">
        <v>0</v>
      </c>
    </row>
    <row r="109" spans="1:8" ht="19" customHeight="1" x14ac:dyDescent="0.3">
      <c r="A109">
        <v>1030</v>
      </c>
      <c r="B109" s="1">
        <v>14.664739012987081</v>
      </c>
      <c r="C109" s="1">
        <v>0.14750621977641781</v>
      </c>
      <c r="D109" s="1">
        <v>67.49980401300823</v>
      </c>
      <c r="E109" s="1">
        <v>68.087698875445881</v>
      </c>
      <c r="F109" s="1">
        <v>3.9855598179436131</v>
      </c>
      <c r="G109" s="1">
        <v>3</v>
      </c>
      <c r="H109" s="1">
        <v>0</v>
      </c>
    </row>
    <row r="110" spans="1:8" ht="19" customHeight="1" x14ac:dyDescent="0.3">
      <c r="A110">
        <v>1040</v>
      </c>
      <c r="B110" s="1">
        <v>14.8122452327635</v>
      </c>
      <c r="C110" s="1">
        <v>0.1862629872947911</v>
      </c>
      <c r="D110" s="1">
        <v>68.087698875445881</v>
      </c>
      <c r="E110" s="1">
        <v>68.652295089604664</v>
      </c>
      <c r="F110" s="1">
        <v>3.8601441458381038</v>
      </c>
      <c r="G110" s="1">
        <v>4</v>
      </c>
      <c r="H110" s="1">
        <v>0</v>
      </c>
    </row>
    <row r="111" spans="1:8" ht="19" customHeight="1" x14ac:dyDescent="0.3">
      <c r="A111">
        <v>1050</v>
      </c>
      <c r="B111" s="1">
        <v>14.998508220058291</v>
      </c>
      <c r="C111" s="1">
        <v>0.14508812209265901</v>
      </c>
      <c r="D111" s="1">
        <v>68.652295089604664</v>
      </c>
      <c r="E111" s="1">
        <v>69.194964296847417</v>
      </c>
      <c r="F111" s="1">
        <v>3.7402731485916321</v>
      </c>
      <c r="G111" s="1">
        <v>4</v>
      </c>
      <c r="H111" s="1">
        <v>0</v>
      </c>
    </row>
    <row r="112" spans="1:8" ht="19" customHeight="1" x14ac:dyDescent="0.3">
      <c r="A112">
        <v>1060</v>
      </c>
      <c r="B112" s="1">
        <v>15.14359634215095</v>
      </c>
      <c r="C112" s="1">
        <v>0.14397612188788839</v>
      </c>
      <c r="D112" s="1">
        <v>69.194964296847417</v>
      </c>
      <c r="E112" s="1">
        <v>69.716958998139248</v>
      </c>
      <c r="F112" s="1">
        <v>3.625564395311994</v>
      </c>
      <c r="G112" s="1">
        <v>4</v>
      </c>
      <c r="H112" s="1">
        <v>0</v>
      </c>
    </row>
    <row r="113" spans="1:8" ht="19" customHeight="1" x14ac:dyDescent="0.3">
      <c r="A113">
        <v>1070</v>
      </c>
      <c r="B113" s="1">
        <v>15.28757246403884</v>
      </c>
      <c r="C113" s="1">
        <v>0.1429220851178804</v>
      </c>
      <c r="D113" s="1">
        <v>69.716958998139248</v>
      </c>
      <c r="E113" s="1">
        <v>70.219426505222543</v>
      </c>
      <c r="F113" s="1">
        <v>3.5156743387060492</v>
      </c>
      <c r="G113" s="1">
        <v>4</v>
      </c>
      <c r="H113" s="1">
        <v>0</v>
      </c>
    </row>
    <row r="114" spans="1:8" ht="19" customHeight="1" x14ac:dyDescent="0.3">
      <c r="A114">
        <v>1080</v>
      </c>
      <c r="B114" s="1">
        <v>15.43049454915672</v>
      </c>
      <c r="C114" s="1">
        <v>0.14192162856552329</v>
      </c>
      <c r="D114" s="1">
        <v>70.219426505222543</v>
      </c>
      <c r="E114" s="1">
        <v>70.703420858851075</v>
      </c>
      <c r="F114" s="1">
        <v>3.4102931210733458</v>
      </c>
      <c r="G114" s="1">
        <v>4</v>
      </c>
      <c r="H114" s="1">
        <v>0</v>
      </c>
    </row>
    <row r="115" spans="1:8" ht="19" customHeight="1" x14ac:dyDescent="0.3">
      <c r="A115">
        <v>1090</v>
      </c>
      <c r="B115" s="1">
        <v>15.572416177722239</v>
      </c>
      <c r="C115" s="1">
        <v>0.140970818454249</v>
      </c>
      <c r="D115" s="1">
        <v>70.703420858851075</v>
      </c>
      <c r="E115" s="1">
        <v>71.169913064444842</v>
      </c>
      <c r="F115" s="1">
        <v>3.3091402228410058</v>
      </c>
      <c r="G115" s="1">
        <v>4</v>
      </c>
      <c r="H115" s="1">
        <v>0</v>
      </c>
    </row>
    <row r="116" spans="1:8" ht="19" customHeight="1" x14ac:dyDescent="0.3">
      <c r="A116">
        <v>1100</v>
      </c>
      <c r="B116" s="1">
        <v>15.71338699617649</v>
      </c>
      <c r="C116" s="1">
        <v>0.14006611247464559</v>
      </c>
      <c r="D116" s="1">
        <v>71.169913064444842</v>
      </c>
      <c r="E116" s="1">
        <v>71.619799926413933</v>
      </c>
      <c r="F116" s="1">
        <v>3.2119607949462079</v>
      </c>
      <c r="G116" s="1">
        <v>4</v>
      </c>
      <c r="H116" s="1">
        <v>0</v>
      </c>
    </row>
    <row r="117" spans="1:8" ht="19" customHeight="1" x14ac:dyDescent="0.3">
      <c r="A117">
        <v>1110</v>
      </c>
      <c r="B117" s="1">
        <v>15.85345310865114</v>
      </c>
      <c r="C117" s="1">
        <v>0.1392043107427762</v>
      </c>
      <c r="D117" s="1">
        <v>71.619799926413933</v>
      </c>
      <c r="E117" s="1">
        <v>72.053911708538877</v>
      </c>
      <c r="F117" s="1">
        <v>3.1185225501177229</v>
      </c>
      <c r="G117" s="1">
        <v>4</v>
      </c>
      <c r="H117" s="1">
        <v>0</v>
      </c>
    </row>
    <row r="118" spans="1:8" ht="19" customHeight="1" x14ac:dyDescent="0.3">
      <c r="A118">
        <v>1120</v>
      </c>
      <c r="B118" s="1">
        <v>15.99265741939392</v>
      </c>
      <c r="C118" s="1">
        <v>0.13838251410216881</v>
      </c>
      <c r="D118" s="1">
        <v>72.053911708538877</v>
      </c>
      <c r="E118" s="1">
        <v>72.473018805484386</v>
      </c>
      <c r="F118" s="1">
        <v>3.0286131139088872</v>
      </c>
      <c r="G118" s="1">
        <v>4</v>
      </c>
      <c r="H118" s="1">
        <v>0</v>
      </c>
    </row>
    <row r="119" spans="1:8" ht="19" customHeight="1" x14ac:dyDescent="0.3">
      <c r="A119">
        <v>1130</v>
      </c>
      <c r="B119" s="1">
        <v>16.13103993349608</v>
      </c>
      <c r="C119" s="1">
        <v>0.1375980884994992</v>
      </c>
      <c r="D119" s="1">
        <v>72.473018805484386</v>
      </c>
      <c r="E119" s="1">
        <v>72.87783757703572</v>
      </c>
      <c r="F119" s="1">
        <v>2.9420377562353219</v>
      </c>
      <c r="G119" s="1">
        <v>4</v>
      </c>
      <c r="H119" s="1">
        <v>0</v>
      </c>
    </row>
    <row r="120" spans="1:8" ht="19" customHeight="1" x14ac:dyDescent="0.3">
      <c r="A120">
        <v>1140</v>
      </c>
      <c r="B120" s="1">
        <v>16.268638021995582</v>
      </c>
      <c r="C120" s="1">
        <v>0.13684863441155809</v>
      </c>
      <c r="D120" s="1">
        <v>72.87783757703572</v>
      </c>
      <c r="E120" s="1">
        <v>73.26903546995473</v>
      </c>
      <c r="F120" s="1">
        <v>2.8586174396342359</v>
      </c>
      <c r="G120" s="1">
        <v>4</v>
      </c>
      <c r="H120" s="1">
        <v>0</v>
      </c>
    </row>
    <row r="121" spans="1:8" ht="19" customHeight="1" x14ac:dyDescent="0.3">
      <c r="A121">
        <v>1150</v>
      </c>
      <c r="B121" s="1">
        <v>16.405486656407142</v>
      </c>
      <c r="C121" s="1">
        <v>0.1361319604952316</v>
      </c>
      <c r="D121" s="1">
        <v>73.26903546995473</v>
      </c>
      <c r="E121" s="1">
        <v>73.64723553093593</v>
      </c>
      <c r="F121" s="1">
        <v>2.7781871325833438</v>
      </c>
      <c r="G121" s="1">
        <v>4</v>
      </c>
      <c r="H121" s="1">
        <v>0</v>
      </c>
    </row>
    <row r="122" spans="1:8" ht="19" customHeight="1" x14ac:dyDescent="0.3">
      <c r="A122">
        <v>1160</v>
      </c>
      <c r="B122" s="1">
        <v>16.541618616902369</v>
      </c>
      <c r="C122" s="1">
        <v>0.1354460607855168</v>
      </c>
      <c r="D122" s="1">
        <v>73.64723553093593</v>
      </c>
      <c r="E122" s="1">
        <v>74.013020396850933</v>
      </c>
      <c r="F122" s="1">
        <v>2.7005943457760622</v>
      </c>
      <c r="G122" s="1">
        <v>4</v>
      </c>
      <c r="H122" s="1">
        <v>0</v>
      </c>
    </row>
    <row r="123" spans="1:8" ht="19" customHeight="1" x14ac:dyDescent="0.3">
      <c r="A123">
        <v>1170</v>
      </c>
      <c r="B123" s="1">
        <v>16.677064677687881</v>
      </c>
      <c r="C123" s="1">
        <v>0.1347890948884396</v>
      </c>
      <c r="D123" s="1">
        <v>74.013020396850933</v>
      </c>
      <c r="E123" s="1">
        <v>74.366935834425163</v>
      </c>
      <c r="F123" s="1">
        <v>2.6256978568418621</v>
      </c>
      <c r="G123" s="1">
        <v>4</v>
      </c>
      <c r="H123" s="1">
        <v>0</v>
      </c>
    </row>
    <row r="124" spans="1:8" ht="19" customHeight="1" x14ac:dyDescent="0.3">
      <c r="A124">
        <v>1180</v>
      </c>
      <c r="B124" s="1">
        <v>16.81185377257632</v>
      </c>
      <c r="C124" s="1">
        <v>0.1341593707131854</v>
      </c>
      <c r="D124" s="1">
        <v>74.366935834425163</v>
      </c>
      <c r="E124" s="1">
        <v>74.709493890020127</v>
      </c>
      <c r="F124" s="1">
        <v>2.5533665950722479</v>
      </c>
      <c r="G124" s="1">
        <v>4</v>
      </c>
      <c r="H124" s="1">
        <v>0</v>
      </c>
    </row>
    <row r="125" spans="1:8" ht="19" customHeight="1" x14ac:dyDescent="0.3">
      <c r="A125">
        <v>1190</v>
      </c>
      <c r="B125" s="1">
        <v>16.946013143289509</v>
      </c>
      <c r="C125" s="1">
        <v>0.13355532936614761</v>
      </c>
      <c r="D125" s="1">
        <v>74.709493890020127</v>
      </c>
      <c r="E125" s="1">
        <v>75.041175700776549</v>
      </c>
      <c r="F125" s="1">
        <v>2.483478662593098</v>
      </c>
      <c r="G125" s="1">
        <v>4</v>
      </c>
      <c r="H125" s="1">
        <v>0</v>
      </c>
    </row>
    <row r="126" spans="1:8" ht="19" customHeight="1" x14ac:dyDescent="0.3">
      <c r="A126">
        <v>1200</v>
      </c>
      <c r="B126" s="1">
        <v>17.079568472655659</v>
      </c>
      <c r="C126" s="1">
        <v>0.13297553189301539</v>
      </c>
      <c r="D126" s="1">
        <v>75.041175700776549</v>
      </c>
      <c r="E126" s="1">
        <v>75.362434010601476</v>
      </c>
      <c r="F126" s="1">
        <v>2.4159204723722718</v>
      </c>
      <c r="G126" s="1">
        <v>4</v>
      </c>
      <c r="H126" s="1">
        <v>0</v>
      </c>
    </row>
    <row r="127" spans="1:8" ht="19" customHeight="1" x14ac:dyDescent="0.3">
      <c r="A127">
        <v>1210</v>
      </c>
      <c r="B127" s="1">
        <v>17.212544004548668</v>
      </c>
      <c r="C127" s="1">
        <v>0.13241864760598021</v>
      </c>
      <c r="D127" s="1">
        <v>75.362434010601476</v>
      </c>
      <c r="E127" s="1">
        <v>75.67369542874475</v>
      </c>
      <c r="F127" s="1">
        <v>2.3505859920081091</v>
      </c>
      <c r="G127" s="1">
        <v>4</v>
      </c>
      <c r="H127" s="1">
        <v>0</v>
      </c>
    </row>
    <row r="128" spans="1:8" ht="19" customHeight="1" x14ac:dyDescent="0.3">
      <c r="A128">
        <v>1220</v>
      </c>
      <c r="B128" s="1">
        <v>17.344962652154649</v>
      </c>
      <c r="C128" s="1">
        <v>0.1318834436821005</v>
      </c>
      <c r="D128" s="1">
        <v>75.67369542874475</v>
      </c>
      <c r="E128" s="1">
        <v>75.975362569840357</v>
      </c>
      <c r="F128" s="1">
        <v>2.2873768888137418</v>
      </c>
      <c r="G128" s="1">
        <v>4</v>
      </c>
      <c r="H128" s="1">
        <v>0</v>
      </c>
    </row>
    <row r="129" spans="1:8" ht="19" customHeight="1" x14ac:dyDescent="0.3">
      <c r="A129">
        <v>1230</v>
      </c>
      <c r="B129" s="1">
        <v>17.476846095836748</v>
      </c>
      <c r="C129" s="1">
        <v>0.13136877596829949</v>
      </c>
      <c r="D129" s="1">
        <v>75.975362569840357</v>
      </c>
      <c r="E129" s="1">
        <v>76.267815861130089</v>
      </c>
      <c r="F129" s="1">
        <v>2.226200930427376</v>
      </c>
      <c r="G129" s="1">
        <v>4</v>
      </c>
      <c r="H129" s="1">
        <v>0</v>
      </c>
    </row>
    <row r="130" spans="1:8" ht="19" customHeight="1" x14ac:dyDescent="0.3">
      <c r="A130">
        <v>1240</v>
      </c>
      <c r="B130" s="1">
        <v>17.60821487180505</v>
      </c>
      <c r="C130" s="1">
        <v>0.13087358127916129</v>
      </c>
      <c r="D130" s="1">
        <v>76.267815861130089</v>
      </c>
      <c r="E130" s="1">
        <v>76.551414762190149</v>
      </c>
      <c r="F130" s="1">
        <v>2.1669682932808429</v>
      </c>
      <c r="G130" s="1">
        <v>4</v>
      </c>
      <c r="H130" s="1">
        <v>0</v>
      </c>
    </row>
    <row r="131" spans="1:8" ht="19" customHeight="1" x14ac:dyDescent="0.3">
      <c r="A131">
        <v>1250</v>
      </c>
      <c r="B131" s="1">
        <v>17.739088453084211</v>
      </c>
      <c r="C131" s="1">
        <v>0.13039687021233831</v>
      </c>
      <c r="D131" s="1">
        <v>76.551414762190149</v>
      </c>
      <c r="E131" s="1">
        <v>76.826499657319999</v>
      </c>
      <c r="F131" s="1">
        <v>2.109597375166322</v>
      </c>
      <c r="G131" s="1">
        <v>4</v>
      </c>
      <c r="H131" s="1">
        <v>0</v>
      </c>
    </row>
    <row r="132" spans="1:8" ht="19" customHeight="1" x14ac:dyDescent="0.3">
      <c r="A132">
        <v>1260</v>
      </c>
      <c r="B132" s="1">
        <v>17.869485323296551</v>
      </c>
      <c r="C132" s="1">
        <v>0.12993772037695919</v>
      </c>
      <c r="D132" s="1">
        <v>76.826499657319999</v>
      </c>
      <c r="E132" s="1">
        <v>77.09339321119019</v>
      </c>
      <c r="F132" s="1">
        <v>2.0540113609497892</v>
      </c>
      <c r="G132" s="1">
        <v>4</v>
      </c>
      <c r="H132" s="1">
        <v>0</v>
      </c>
    </row>
    <row r="133" spans="1:8" ht="19" customHeight="1" x14ac:dyDescent="0.3">
      <c r="A133">
        <v>1270</v>
      </c>
      <c r="B133" s="1">
        <v>17.999423043673509</v>
      </c>
      <c r="C133" s="1">
        <v>0.1294952706467325</v>
      </c>
      <c r="D133" s="1">
        <v>77.09339321119019</v>
      </c>
      <c r="E133" s="1">
        <v>77.352401605214098</v>
      </c>
      <c r="F133" s="1">
        <v>2.0001378639571161</v>
      </c>
      <c r="G133" s="1">
        <v>4</v>
      </c>
      <c r="H133" s="1">
        <v>0</v>
      </c>
    </row>
    <row r="134" spans="1:8" ht="19" customHeight="1" x14ac:dyDescent="0.3">
      <c r="A134">
        <v>1280</v>
      </c>
      <c r="B134" s="1">
        <v>18.128918314320241</v>
      </c>
      <c r="C134" s="1">
        <v>0.12991069752711959</v>
      </c>
      <c r="D134" s="1">
        <v>77.352401605214098</v>
      </c>
      <c r="E134" s="1">
        <v>76.599508289079921</v>
      </c>
      <c r="F134" s="1">
        <v>-5.7954681982752394</v>
      </c>
      <c r="G134" s="1">
        <v>4</v>
      </c>
      <c r="H134" s="1">
        <v>0</v>
      </c>
    </row>
    <row r="135" spans="1:8" ht="19" customHeight="1" x14ac:dyDescent="0.3">
      <c r="A135">
        <v>1290</v>
      </c>
      <c r="B135" s="1">
        <v>18.258829011847361</v>
      </c>
      <c r="C135" s="1">
        <v>0.13459637010644079</v>
      </c>
      <c r="D135" s="1">
        <v>76.599508289079921</v>
      </c>
      <c r="E135" s="1">
        <v>71.992909056081004</v>
      </c>
      <c r="F135" s="1">
        <v>-34.225285788583641</v>
      </c>
      <c r="G135" s="1">
        <v>4</v>
      </c>
      <c r="H135" s="1">
        <v>0</v>
      </c>
    </row>
    <row r="136" spans="1:8" ht="19" customHeight="1" x14ac:dyDescent="0.3">
      <c r="A136">
        <v>1300</v>
      </c>
      <c r="B136" s="1">
        <v>18.393425381953801</v>
      </c>
      <c r="C136" s="1">
        <v>0.143740066700729</v>
      </c>
      <c r="D136" s="1">
        <v>71.992909056081004</v>
      </c>
      <c r="E136" s="1">
        <v>67.147140472632344</v>
      </c>
      <c r="F136" s="1">
        <v>-33.712024035286497</v>
      </c>
      <c r="G136" s="1">
        <v>4</v>
      </c>
      <c r="H136" s="1">
        <v>0</v>
      </c>
    </row>
    <row r="137" spans="1:8" ht="19" customHeight="1" x14ac:dyDescent="0.3">
      <c r="A137">
        <v>1310</v>
      </c>
      <c r="B137" s="1">
        <v>18.53716544865453</v>
      </c>
      <c r="C137" s="1">
        <v>0.1948560535259373</v>
      </c>
      <c r="D137" s="1">
        <v>67.147140472632344</v>
      </c>
      <c r="E137" s="1">
        <v>62.005059551954602</v>
      </c>
      <c r="F137" s="1">
        <v>-33.205553180499237</v>
      </c>
      <c r="G137" s="1">
        <v>3</v>
      </c>
      <c r="H137" s="1">
        <v>0</v>
      </c>
    </row>
    <row r="138" spans="1:8" ht="19" customHeight="1" x14ac:dyDescent="0.3">
      <c r="A138">
        <v>1320</v>
      </c>
      <c r="B138" s="1">
        <v>18.732021502180469</v>
      </c>
      <c r="C138" s="1">
        <v>0.16879110891752641</v>
      </c>
      <c r="D138" s="1">
        <v>62.005059551954602</v>
      </c>
      <c r="E138" s="1">
        <v>56.484593891653411</v>
      </c>
      <c r="F138" s="1">
        <v>-32.705903146821328</v>
      </c>
      <c r="G138" s="1">
        <v>3</v>
      </c>
      <c r="H138" s="1">
        <v>0</v>
      </c>
    </row>
    <row r="139" spans="1:8" ht="19" customHeight="1" x14ac:dyDescent="0.3">
      <c r="A139">
        <v>1330</v>
      </c>
      <c r="B139" s="1">
        <v>18.900812611098001</v>
      </c>
      <c r="C139" s="1">
        <v>0.18701210177418329</v>
      </c>
      <c r="D139" s="1">
        <v>56.484593891653411</v>
      </c>
      <c r="E139" s="1">
        <v>50.460356784051832</v>
      </c>
      <c r="F139" s="1">
        <v>-32.213087016560173</v>
      </c>
      <c r="G139" s="1">
        <v>3</v>
      </c>
      <c r="H139" s="1">
        <v>0</v>
      </c>
    </row>
    <row r="140" spans="1:8" ht="19" customHeight="1" x14ac:dyDescent="0.3">
      <c r="A140">
        <v>1340</v>
      </c>
      <c r="B140" s="1">
        <v>19.08782471287218</v>
      </c>
      <c r="C140" s="1">
        <v>0.25172816112711632</v>
      </c>
      <c r="D140" s="1">
        <v>50.460356784051832</v>
      </c>
      <c r="E140" s="1">
        <v>44.00038898321764</v>
      </c>
      <c r="F140" s="1">
        <v>-30.510668804967271</v>
      </c>
      <c r="G140" s="1">
        <v>2</v>
      </c>
      <c r="H140" s="1">
        <v>0</v>
      </c>
    </row>
    <row r="141" spans="1:8" ht="19" customHeight="1" x14ac:dyDescent="0.3">
      <c r="A141">
        <v>1350</v>
      </c>
      <c r="B141" s="1">
        <v>19.339552873999288</v>
      </c>
      <c r="C141" s="1">
        <v>0.24585192155807181</v>
      </c>
      <c r="D141" s="1">
        <v>44.00038898321764</v>
      </c>
      <c r="E141" s="1">
        <v>37.349392109609283</v>
      </c>
      <c r="F141" s="1">
        <v>-27.052856985855801</v>
      </c>
      <c r="G141" s="1">
        <v>2</v>
      </c>
      <c r="H141" s="1">
        <v>0</v>
      </c>
    </row>
    <row r="142" spans="1:8" ht="19" customHeight="1" x14ac:dyDescent="0.3">
      <c r="A142">
        <v>1360</v>
      </c>
      <c r="B142" s="1">
        <v>19.585404795557359</v>
      </c>
      <c r="C142" s="1">
        <v>0.33578367741221848</v>
      </c>
      <c r="D142" s="1">
        <v>37.349392109609283</v>
      </c>
      <c r="E142" s="1">
        <v>30.26759127154946</v>
      </c>
      <c r="F142" s="1">
        <v>-23.94250047878835</v>
      </c>
      <c r="G142" s="1">
        <v>1</v>
      </c>
      <c r="H142" s="1">
        <v>0</v>
      </c>
    </row>
    <row r="143" spans="1:8" ht="19" customHeight="1" x14ac:dyDescent="0.3">
      <c r="A143">
        <v>1370</v>
      </c>
      <c r="B143" s="1">
        <v>19.921188472969579</v>
      </c>
      <c r="C143" s="1">
        <v>0.33038727142216812</v>
      </c>
      <c r="D143" s="1">
        <v>30.26759127154946</v>
      </c>
      <c r="E143" s="1">
        <v>30.26742847636342</v>
      </c>
      <c r="F143" s="1">
        <v>-4.9274049009680003E-4</v>
      </c>
      <c r="G143" s="1">
        <v>1</v>
      </c>
      <c r="H143" s="1">
        <v>0</v>
      </c>
    </row>
    <row r="144" spans="1:8" ht="19" customHeight="1" x14ac:dyDescent="0.3">
      <c r="A144">
        <v>1380</v>
      </c>
      <c r="B144" s="1">
        <v>20.251575744391751</v>
      </c>
      <c r="C144" s="1">
        <v>0.33038905616095787</v>
      </c>
      <c r="D144" s="1">
        <v>30.26742847636342</v>
      </c>
      <c r="E144" s="1">
        <v>30.267264265567061</v>
      </c>
      <c r="F144" s="1">
        <v>-4.9702250511809997E-4</v>
      </c>
      <c r="G144" s="1">
        <v>1</v>
      </c>
      <c r="H144" s="1">
        <v>0</v>
      </c>
    </row>
    <row r="145" spans="1:8" ht="19" customHeight="1" x14ac:dyDescent="0.3">
      <c r="A145">
        <v>1390</v>
      </c>
      <c r="B145" s="1">
        <v>20.581964800552711</v>
      </c>
      <c r="C145" s="1">
        <v>0.33039085830313192</v>
      </c>
      <c r="D145" s="1">
        <v>30.267264265567061</v>
      </c>
      <c r="E145" s="1">
        <v>30.26709828525782</v>
      </c>
      <c r="F145" s="1">
        <v>-5.0237561081300001E-4</v>
      </c>
      <c r="G145" s="1">
        <v>1</v>
      </c>
      <c r="H145" s="1">
        <v>0</v>
      </c>
    </row>
    <row r="146" spans="1:8" ht="19" customHeight="1" x14ac:dyDescent="0.3">
      <c r="A146">
        <v>1400</v>
      </c>
      <c r="B146" s="1">
        <v>20.912355658855841</v>
      </c>
      <c r="C146" s="1">
        <v>0.3303926797808478</v>
      </c>
      <c r="D146" s="1">
        <v>30.26709828525782</v>
      </c>
      <c r="E146" s="1">
        <v>30.26693053543568</v>
      </c>
      <c r="F146" s="1">
        <v>-5.0772862840630002E-4</v>
      </c>
      <c r="G146" s="1">
        <v>1</v>
      </c>
      <c r="H146" s="1">
        <v>0</v>
      </c>
    </row>
    <row r="147" spans="1:8" ht="19" customHeight="1" x14ac:dyDescent="0.3">
      <c r="A147">
        <v>1410</v>
      </c>
      <c r="B147" s="1">
        <v>21.242748338636691</v>
      </c>
      <c r="C147" s="1">
        <v>0.33039452059474478</v>
      </c>
      <c r="D147" s="1">
        <v>30.26693053543568</v>
      </c>
      <c r="E147" s="1">
        <v>30.266761016100649</v>
      </c>
      <c r="F147" s="1">
        <v>-5.1308155693729996E-4</v>
      </c>
      <c r="G147" s="1">
        <v>1</v>
      </c>
      <c r="H147" s="1">
        <v>0</v>
      </c>
    </row>
    <row r="148" spans="1:8" ht="19" customHeight="1" x14ac:dyDescent="0.3">
      <c r="A148">
        <v>1420</v>
      </c>
      <c r="B148" s="1">
        <v>21.573142859231432</v>
      </c>
      <c r="C148" s="1">
        <v>0.33039637881383749</v>
      </c>
      <c r="D148" s="1">
        <v>30.266761016100649</v>
      </c>
      <c r="E148" s="1">
        <v>30.2665900811553</v>
      </c>
      <c r="F148" s="1">
        <v>-5.1736325306700004E-4</v>
      </c>
      <c r="G148" s="1">
        <v>1</v>
      </c>
      <c r="H148" s="1">
        <v>0</v>
      </c>
    </row>
    <row r="149" spans="1:8" ht="19" customHeight="1" x14ac:dyDescent="0.3">
      <c r="A149">
        <v>1430</v>
      </c>
      <c r="B149" s="1">
        <v>21.903539238045269</v>
      </c>
      <c r="C149" s="1">
        <v>0.33039825250705929</v>
      </c>
      <c r="D149" s="1">
        <v>30.2665900811553</v>
      </c>
      <c r="E149" s="1">
        <v>30.266417730599638</v>
      </c>
      <c r="F149" s="1">
        <v>-5.2164487660200001E-4</v>
      </c>
      <c r="G149" s="1">
        <v>1</v>
      </c>
      <c r="H149" s="1">
        <v>0</v>
      </c>
    </row>
    <row r="150" spans="1:8" ht="19" customHeight="1" x14ac:dyDescent="0.3">
      <c r="A150">
        <v>1440</v>
      </c>
      <c r="B150" s="1">
        <v>22.233937490552329</v>
      </c>
      <c r="C150" s="1">
        <v>0.33040014360661191</v>
      </c>
      <c r="D150" s="1">
        <v>30.266417730599638</v>
      </c>
      <c r="E150" s="1">
        <v>30.266243610531092</v>
      </c>
      <c r="F150" s="1">
        <v>-5.2699755711380005E-4</v>
      </c>
      <c r="G150" s="1">
        <v>1</v>
      </c>
      <c r="H150" s="1">
        <v>0</v>
      </c>
    </row>
    <row r="151" spans="1:8" ht="19" customHeight="1" x14ac:dyDescent="0.3">
      <c r="A151">
        <v>1450</v>
      </c>
      <c r="B151" s="1">
        <v>22.564337634158939</v>
      </c>
      <c r="C151" s="1">
        <v>0.33040205404479078</v>
      </c>
      <c r="D151" s="1">
        <v>30.266243610531092</v>
      </c>
      <c r="E151" s="1">
        <v>30.26606772094965</v>
      </c>
      <c r="F151" s="1">
        <v>-5.3235014519249996E-4</v>
      </c>
      <c r="G151" s="1">
        <v>1</v>
      </c>
      <c r="H151" s="1">
        <v>0</v>
      </c>
    </row>
    <row r="152" spans="1:8" ht="19" customHeight="1" x14ac:dyDescent="0.3">
      <c r="A152">
        <v>1460</v>
      </c>
      <c r="B152" s="1">
        <v>22.894739688203732</v>
      </c>
      <c r="C152" s="1">
        <v>0.33040398189054587</v>
      </c>
      <c r="D152" s="1">
        <v>30.26606772094965</v>
      </c>
      <c r="E152" s="1">
        <v>30.265890415757891</v>
      </c>
      <c r="F152" s="1">
        <v>-5.366315222374E-4</v>
      </c>
      <c r="G152" s="1">
        <v>1</v>
      </c>
      <c r="H152" s="1">
        <v>0</v>
      </c>
    </row>
    <row r="153" spans="1:8" ht="19" customHeight="1" x14ac:dyDescent="0.3">
      <c r="A153">
        <v>1470</v>
      </c>
      <c r="B153" s="1">
        <v>23.22514367009428</v>
      </c>
      <c r="C153" s="1">
        <v>0.3304059271444863</v>
      </c>
      <c r="D153" s="1">
        <v>30.265890415757891</v>
      </c>
      <c r="E153" s="1">
        <v>30.265711341053251</v>
      </c>
      <c r="F153" s="1">
        <v>-5.4198393531800003E-4</v>
      </c>
      <c r="G153" s="1">
        <v>1</v>
      </c>
      <c r="H153" s="1">
        <v>0</v>
      </c>
    </row>
    <row r="154" spans="1:8" ht="19" customHeight="1" x14ac:dyDescent="0.3">
      <c r="A154">
        <v>1480</v>
      </c>
      <c r="B154" s="1">
        <v>23.555549597238759</v>
      </c>
      <c r="C154" s="1">
        <v>0.33040788980722657</v>
      </c>
      <c r="D154" s="1">
        <v>30.265711341053251</v>
      </c>
      <c r="E154" s="1">
        <v>30.265530850738291</v>
      </c>
      <c r="F154" s="1">
        <v>-5.4626514840939999E-4</v>
      </c>
      <c r="G154" s="1">
        <v>1</v>
      </c>
      <c r="H154" s="1">
        <v>0</v>
      </c>
    </row>
    <row r="155" spans="1:8" ht="19" customHeight="1" x14ac:dyDescent="0.3">
      <c r="A155">
        <v>1490</v>
      </c>
      <c r="B155" s="1">
        <v>23.885957487045989</v>
      </c>
      <c r="C155" s="1">
        <v>0.33040986794759741</v>
      </c>
      <c r="D155" s="1">
        <v>30.265530850738291</v>
      </c>
      <c r="E155" s="1">
        <v>30.26534894481301</v>
      </c>
      <c r="F155" s="1">
        <v>-5.5054628484179995E-4</v>
      </c>
      <c r="G155" s="1">
        <v>1</v>
      </c>
      <c r="H155" s="1">
        <v>0</v>
      </c>
    </row>
    <row r="156" spans="1:8" ht="19" customHeight="1" x14ac:dyDescent="0.3">
      <c r="A156">
        <v>1500</v>
      </c>
      <c r="B156" s="1">
        <v>24.216367354993579</v>
      </c>
      <c r="C156" s="1">
        <v>0.33041186349796708</v>
      </c>
      <c r="D156" s="1">
        <v>30.26534894481301</v>
      </c>
      <c r="E156" s="1">
        <v>30.265165269374851</v>
      </c>
      <c r="F156" s="1">
        <v>-5.5589843603340002E-4</v>
      </c>
      <c r="G156" s="1">
        <v>1</v>
      </c>
      <c r="H156" s="1">
        <v>0</v>
      </c>
    </row>
    <row r="157" spans="1:8" ht="19" customHeight="1" x14ac:dyDescent="0.3">
      <c r="A157">
        <v>1510</v>
      </c>
      <c r="B157" s="1">
        <v>24.546779218491551</v>
      </c>
      <c r="C157" s="1">
        <v>0.33041387839080227</v>
      </c>
      <c r="D157" s="1">
        <v>30.265165269374851</v>
      </c>
      <c r="E157" s="1">
        <v>30.26497982442379</v>
      </c>
      <c r="F157" s="1">
        <v>-5.6125048972140005E-4</v>
      </c>
      <c r="G157" s="1">
        <v>1</v>
      </c>
      <c r="H157" s="1">
        <v>0</v>
      </c>
    </row>
    <row r="158" spans="1:8" ht="19" customHeight="1" x14ac:dyDescent="0.3">
      <c r="A158">
        <v>1520</v>
      </c>
      <c r="B158" s="1">
        <v>24.877193096882351</v>
      </c>
      <c r="C158" s="1">
        <v>0.33041591069495008</v>
      </c>
      <c r="D158" s="1">
        <v>30.26497982442379</v>
      </c>
      <c r="E158" s="1">
        <v>30.264792963862419</v>
      </c>
      <c r="F158" s="1">
        <v>-5.6553136614069998E-4</v>
      </c>
      <c r="G158" s="1">
        <v>1</v>
      </c>
      <c r="H158" s="1">
        <v>0</v>
      </c>
    </row>
    <row r="159" spans="1:8" ht="19" customHeight="1" x14ac:dyDescent="0.3">
      <c r="A159">
        <v>1530</v>
      </c>
      <c r="B159" s="1">
        <v>25.2076090075773</v>
      </c>
      <c r="C159" s="1">
        <v>0.33041795847916899</v>
      </c>
      <c r="D159" s="1">
        <v>30.264792963862419</v>
      </c>
      <c r="E159" s="1">
        <v>30.264604687690731</v>
      </c>
      <c r="F159" s="1">
        <v>-5.6981216321210003E-4</v>
      </c>
      <c r="G159" s="1">
        <v>1</v>
      </c>
      <c r="H159" s="1">
        <v>0</v>
      </c>
    </row>
    <row r="160" spans="1:8" ht="19" customHeight="1" x14ac:dyDescent="0.3">
      <c r="A160">
        <v>1540</v>
      </c>
      <c r="B160" s="1">
        <v>25.538026966056471</v>
      </c>
      <c r="C160" s="1">
        <v>0.33042002367594198</v>
      </c>
      <c r="D160" s="1">
        <v>30.264604687690731</v>
      </c>
      <c r="E160" s="1">
        <v>30.264414642006159</v>
      </c>
      <c r="F160" s="1">
        <v>-5.7516394576279995E-4</v>
      </c>
      <c r="G160" s="1">
        <v>1</v>
      </c>
      <c r="H160" s="1">
        <v>0</v>
      </c>
    </row>
    <row r="161" spans="1:8" ht="19" customHeight="1" x14ac:dyDescent="0.3">
      <c r="A161">
        <v>1550</v>
      </c>
      <c r="B161" s="1">
        <v>25.868446989732419</v>
      </c>
      <c r="C161" s="1">
        <v>0.33042210435398928</v>
      </c>
      <c r="D161" s="1">
        <v>30.264414642006159</v>
      </c>
      <c r="E161" s="1">
        <v>30.264223534613851</v>
      </c>
      <c r="F161" s="1">
        <v>-5.7837351010329996E-4</v>
      </c>
      <c r="G161" s="1">
        <v>1</v>
      </c>
      <c r="H161" s="1">
        <v>0</v>
      </c>
    </row>
    <row r="162" spans="1:8" ht="19" customHeight="1" x14ac:dyDescent="0.3">
      <c r="A162">
        <v>1560</v>
      </c>
      <c r="B162" s="1">
        <v>26.198869094086401</v>
      </c>
      <c r="C162" s="1">
        <v>0.33042314760075647</v>
      </c>
      <c r="D162" s="1">
        <v>30.264223534613851</v>
      </c>
      <c r="E162" s="1">
        <v>30.264223534613851</v>
      </c>
      <c r="F162" s="1">
        <v>0</v>
      </c>
      <c r="G162" s="1">
        <v>1</v>
      </c>
      <c r="H162" s="1">
        <v>0</v>
      </c>
    </row>
    <row r="163" spans="1:8" ht="19" customHeight="1" x14ac:dyDescent="0.3">
      <c r="A163">
        <v>1570</v>
      </c>
      <c r="B163" s="1">
        <v>26.529292241687159</v>
      </c>
      <c r="C163" s="1">
        <v>0.31156016468046621</v>
      </c>
      <c r="D163" s="1">
        <v>30.264223534613851</v>
      </c>
      <c r="E163" s="1">
        <v>33.928835358238693</v>
      </c>
      <c r="F163" s="1">
        <v>11.76213213066965</v>
      </c>
      <c r="G163" s="1">
        <v>1</v>
      </c>
      <c r="H163" s="1">
        <v>0</v>
      </c>
    </row>
    <row r="164" spans="1:8" ht="19" customHeight="1" x14ac:dyDescent="0.3">
      <c r="A164">
        <v>1580</v>
      </c>
      <c r="B164" s="1">
        <v>26.840852406367631</v>
      </c>
      <c r="C164" s="1">
        <v>0.28045503857182741</v>
      </c>
      <c r="D164" s="1">
        <v>33.928835358238693</v>
      </c>
      <c r="E164" s="1">
        <v>37.383843143979753</v>
      </c>
      <c r="F164" s="1">
        <v>12.319292972360721</v>
      </c>
      <c r="G164" s="1">
        <v>1</v>
      </c>
      <c r="H164" s="1">
        <v>0</v>
      </c>
    </row>
    <row r="165" spans="1:8" ht="19" customHeight="1" x14ac:dyDescent="0.3">
      <c r="A165">
        <v>1590</v>
      </c>
      <c r="B165" s="1">
        <v>27.12130744493945</v>
      </c>
      <c r="C165" s="1">
        <v>0.2565129541949438</v>
      </c>
      <c r="D165" s="1">
        <v>37.383843143979753</v>
      </c>
      <c r="E165" s="1">
        <v>40.584928697462871</v>
      </c>
      <c r="F165" s="1">
        <v>12.47923545822316</v>
      </c>
      <c r="G165" s="1">
        <v>1</v>
      </c>
      <c r="H165" s="1">
        <v>0</v>
      </c>
    </row>
    <row r="166" spans="1:8" ht="19" customHeight="1" x14ac:dyDescent="0.3">
      <c r="A166">
        <v>1600</v>
      </c>
      <c r="B166" s="1">
        <v>27.3778203991344</v>
      </c>
      <c r="C166" s="1">
        <v>0.23853798670424389</v>
      </c>
      <c r="D166" s="1">
        <v>40.584928697462871</v>
      </c>
      <c r="E166" s="1">
        <v>43.259159518127717</v>
      </c>
      <c r="F166" s="1">
        <v>11.210922241833719</v>
      </c>
      <c r="G166" s="1">
        <v>1</v>
      </c>
      <c r="H166" s="1">
        <v>0</v>
      </c>
    </row>
    <row r="167" spans="1:8" ht="19" customHeight="1" x14ac:dyDescent="0.3">
      <c r="A167">
        <v>1610</v>
      </c>
      <c r="B167" s="1">
        <v>27.616358385838641</v>
      </c>
      <c r="C167" s="1">
        <v>0.26515214291132222</v>
      </c>
      <c r="D167" s="1">
        <v>43.259159518127717</v>
      </c>
      <c r="E167" s="1">
        <v>45.569664144799361</v>
      </c>
      <c r="F167" s="1">
        <v>10.26197040274962</v>
      </c>
      <c r="G167" s="1">
        <v>2</v>
      </c>
      <c r="H167" s="1">
        <v>0</v>
      </c>
    </row>
    <row r="168" spans="1:8" ht="19" customHeight="1" x14ac:dyDescent="0.3">
      <c r="A168">
        <v>1620</v>
      </c>
      <c r="B168" s="1">
        <v>27.88151052874996</v>
      </c>
      <c r="C168" s="1">
        <v>0.21463854183649489</v>
      </c>
      <c r="D168" s="1">
        <v>45.569664144799361</v>
      </c>
      <c r="E168" s="1">
        <v>47.610245804623382</v>
      </c>
      <c r="F168" s="1">
        <v>9.5070607653423167</v>
      </c>
      <c r="G168" s="1">
        <v>2</v>
      </c>
      <c r="H168" s="1">
        <v>0</v>
      </c>
    </row>
    <row r="169" spans="1:8" ht="19" customHeight="1" x14ac:dyDescent="0.3">
      <c r="A169">
        <v>1630</v>
      </c>
      <c r="B169" s="1">
        <v>28.09614907058646</v>
      </c>
      <c r="C169" s="1">
        <v>0.20607746195082521</v>
      </c>
      <c r="D169" s="1">
        <v>47.610245804623382</v>
      </c>
      <c r="E169" s="1">
        <v>49.440638899946862</v>
      </c>
      <c r="F169" s="1">
        <v>8.8820634629140152</v>
      </c>
      <c r="G169" s="1">
        <v>2</v>
      </c>
      <c r="H169" s="1">
        <v>0</v>
      </c>
    </row>
    <row r="170" spans="1:8" ht="19" customHeight="1" x14ac:dyDescent="0.3">
      <c r="A170">
        <v>1640</v>
      </c>
      <c r="B170" s="1">
        <v>28.30222653253729</v>
      </c>
      <c r="C170" s="1">
        <v>0.1989213412528715</v>
      </c>
      <c r="D170" s="1">
        <v>49.440638899946862</v>
      </c>
      <c r="E170" s="1">
        <v>51.101615008223447</v>
      </c>
      <c r="F170" s="1">
        <v>8.3499140806874497</v>
      </c>
      <c r="G170" s="1">
        <v>2</v>
      </c>
      <c r="H170" s="1">
        <v>0</v>
      </c>
    </row>
    <row r="171" spans="1:8" ht="19" customHeight="1" x14ac:dyDescent="0.3">
      <c r="A171">
        <v>1650</v>
      </c>
      <c r="B171" s="1">
        <v>28.50114787379016</v>
      </c>
      <c r="C171" s="1">
        <v>0.1926958011190894</v>
      </c>
      <c r="D171" s="1">
        <v>51.101615008223447</v>
      </c>
      <c r="E171" s="1">
        <v>52.688918484717803</v>
      </c>
      <c r="F171" s="1">
        <v>8.2373537320274863</v>
      </c>
      <c r="G171" s="1">
        <v>2</v>
      </c>
      <c r="H171" s="1">
        <v>1</v>
      </c>
    </row>
    <row r="172" spans="1:8" ht="19" customHeight="1" x14ac:dyDescent="0.3">
      <c r="A172">
        <v>1660</v>
      </c>
      <c r="B172" s="1">
        <v>28.69384367490925</v>
      </c>
      <c r="C172" s="1">
        <v>0.18718856055806901</v>
      </c>
      <c r="D172" s="1">
        <v>52.688918484717803</v>
      </c>
      <c r="E172" s="1">
        <v>54.15521739823145</v>
      </c>
      <c r="F172" s="1">
        <v>7.8332720180236493</v>
      </c>
      <c r="G172" s="1">
        <v>2</v>
      </c>
      <c r="H172" s="1">
        <v>1</v>
      </c>
    </row>
    <row r="173" spans="1:8" ht="19" customHeight="1" x14ac:dyDescent="0.3">
      <c r="A173">
        <v>1670</v>
      </c>
      <c r="B173" s="1">
        <v>28.88103223546732</v>
      </c>
      <c r="C173" s="1">
        <v>0.1823599563243834</v>
      </c>
      <c r="D173" s="1">
        <v>54.15521739823145</v>
      </c>
      <c r="E173" s="1">
        <v>55.517982810392368</v>
      </c>
      <c r="F173" s="1">
        <v>7.4729421942656016</v>
      </c>
      <c r="G173" s="1">
        <v>2</v>
      </c>
      <c r="H173" s="1">
        <v>1</v>
      </c>
    </row>
    <row r="174" spans="1:8" ht="19" customHeight="1" x14ac:dyDescent="0.3">
      <c r="A174">
        <v>1680</v>
      </c>
      <c r="B174" s="1">
        <v>29.063392191791699</v>
      </c>
      <c r="C174" s="1">
        <v>0.21808026662613861</v>
      </c>
      <c r="D174" s="1">
        <v>55.517982810392368</v>
      </c>
      <c r="E174" s="1">
        <v>56.79092361093484</v>
      </c>
      <c r="F174" s="1">
        <v>7.1481294624006981</v>
      </c>
      <c r="G174" s="1">
        <v>3</v>
      </c>
      <c r="H174" s="1">
        <v>1</v>
      </c>
    </row>
    <row r="175" spans="1:8" ht="19" customHeight="1" x14ac:dyDescent="0.3">
      <c r="A175">
        <v>1690</v>
      </c>
      <c r="B175" s="1">
        <v>29.281472458417841</v>
      </c>
      <c r="C175" s="1">
        <v>0.1742525331670462</v>
      </c>
      <c r="D175" s="1">
        <v>56.79092361093484</v>
      </c>
      <c r="E175" s="1">
        <v>57.985026193060918</v>
      </c>
      <c r="F175" s="1">
        <v>6.8527129013462176</v>
      </c>
      <c r="G175" s="1">
        <v>3</v>
      </c>
      <c r="H175" s="1">
        <v>1</v>
      </c>
    </row>
    <row r="176" spans="1:8" ht="19" customHeight="1" x14ac:dyDescent="0.3">
      <c r="A176">
        <v>1700</v>
      </c>
      <c r="B176" s="1">
        <v>29.45572499158488</v>
      </c>
      <c r="C176" s="1">
        <v>0.17080253801778189</v>
      </c>
      <c r="D176" s="1">
        <v>57.985026193060918</v>
      </c>
      <c r="E176" s="1">
        <v>59.109252569458633</v>
      </c>
      <c r="F176" s="1">
        <v>6.5820238355045602</v>
      </c>
      <c r="G176" s="1">
        <v>3</v>
      </c>
      <c r="H176" s="1">
        <v>1</v>
      </c>
    </row>
    <row r="177" spans="1:8" ht="19" customHeight="1" x14ac:dyDescent="0.3">
      <c r="A177">
        <v>1710</v>
      </c>
      <c r="B177" s="1">
        <v>29.626527529602669</v>
      </c>
      <c r="C177" s="1">
        <v>0.16767231328277721</v>
      </c>
      <c r="D177" s="1">
        <v>59.109252569458633</v>
      </c>
      <c r="E177" s="1">
        <v>60.171024587988683</v>
      </c>
      <c r="F177" s="1">
        <v>6.33242303241434</v>
      </c>
      <c r="G177" s="1">
        <v>3</v>
      </c>
      <c r="H177" s="1">
        <v>1</v>
      </c>
    </row>
    <row r="178" spans="1:8" ht="19" customHeight="1" x14ac:dyDescent="0.3">
      <c r="A178">
        <v>1720</v>
      </c>
      <c r="B178" s="1">
        <v>29.79419984288544</v>
      </c>
      <c r="C178" s="1">
        <v>0.1648157939200488</v>
      </c>
      <c r="D178" s="1">
        <v>60.171024587988683</v>
      </c>
      <c r="E178" s="1">
        <v>61.176569136565888</v>
      </c>
      <c r="F178" s="1">
        <v>6.1010205676343503</v>
      </c>
      <c r="G178" s="1">
        <v>3</v>
      </c>
      <c r="H178" s="1">
        <v>1</v>
      </c>
    </row>
    <row r="179" spans="1:8" ht="19" customHeight="1" x14ac:dyDescent="0.3">
      <c r="A179">
        <v>1730</v>
      </c>
      <c r="B179" s="1">
        <v>29.959015636805489</v>
      </c>
      <c r="C179" s="1">
        <v>0.16219582096998489</v>
      </c>
      <c r="D179" s="1">
        <v>61.176569136565888</v>
      </c>
      <c r="E179" s="1">
        <v>62.131170115859682</v>
      </c>
      <c r="F179" s="1">
        <v>5.8854844322434703</v>
      </c>
      <c r="G179" s="1">
        <v>3</v>
      </c>
      <c r="H179" s="1">
        <v>1</v>
      </c>
    </row>
    <row r="180" spans="1:8" ht="19" customHeight="1" x14ac:dyDescent="0.3">
      <c r="A180">
        <v>1740</v>
      </c>
      <c r="B180" s="1">
        <v>30.12121145777548</v>
      </c>
      <c r="C180" s="1">
        <v>0.1597820237283013</v>
      </c>
      <c r="D180" s="1">
        <v>62.131170115859682</v>
      </c>
      <c r="E180" s="1">
        <v>63.039356163170723</v>
      </c>
      <c r="F180" s="1">
        <v>5.6839062750597806</v>
      </c>
      <c r="G180" s="1">
        <v>3</v>
      </c>
      <c r="H180" s="1">
        <v>1</v>
      </c>
    </row>
    <row r="181" spans="1:8" ht="19" customHeight="1" x14ac:dyDescent="0.3">
      <c r="A181">
        <v>1750</v>
      </c>
      <c r="B181" s="1">
        <v>30.280993481503771</v>
      </c>
      <c r="C181" s="1">
        <v>0.15754929028120709</v>
      </c>
      <c r="D181" s="1">
        <v>63.039356163170723</v>
      </c>
      <c r="E181" s="1">
        <v>63.905043042324479</v>
      </c>
      <c r="F181" s="1">
        <v>5.4947050387126861</v>
      </c>
      <c r="G181" s="1">
        <v>3</v>
      </c>
      <c r="H181" s="1">
        <v>1</v>
      </c>
    </row>
    <row r="182" spans="1:8" ht="19" customHeight="1" x14ac:dyDescent="0.3">
      <c r="A182">
        <v>1760</v>
      </c>
      <c r="B182" s="1">
        <v>30.438542771784981</v>
      </c>
      <c r="C182" s="1">
        <v>0.1554766416724731</v>
      </c>
      <c r="D182" s="1">
        <v>63.905043042324479</v>
      </c>
      <c r="E182" s="1">
        <v>64.731643374738567</v>
      </c>
      <c r="F182" s="1">
        <v>5.3165563876495527</v>
      </c>
      <c r="G182" s="1">
        <v>3</v>
      </c>
      <c r="H182" s="1">
        <v>1</v>
      </c>
    </row>
    <row r="183" spans="1:8" ht="19" customHeight="1" x14ac:dyDescent="0.3">
      <c r="A183">
        <v>1770</v>
      </c>
      <c r="B183" s="1">
        <v>30.59401941345746</v>
      </c>
      <c r="C183" s="1">
        <v>0.15354638903326329</v>
      </c>
      <c r="D183" s="1">
        <v>64.731643374738567</v>
      </c>
      <c r="E183" s="1">
        <v>65.522152405944539</v>
      </c>
      <c r="F183" s="1">
        <v>5.1483400956743939</v>
      </c>
      <c r="G183" s="1">
        <v>3</v>
      </c>
      <c r="H183" s="1">
        <v>1</v>
      </c>
    </row>
    <row r="184" spans="1:8" ht="19" customHeight="1" x14ac:dyDescent="0.3">
      <c r="A184">
        <v>1780</v>
      </c>
      <c r="B184" s="1">
        <v>30.747565802490719</v>
      </c>
      <c r="C184" s="1">
        <v>0.1517434929368244</v>
      </c>
      <c r="D184" s="1">
        <v>65.522152405944539</v>
      </c>
      <c r="E184" s="1">
        <v>66.279215896066447</v>
      </c>
      <c r="F184" s="1">
        <v>4.9891001944781692</v>
      </c>
      <c r="G184" s="1">
        <v>3</v>
      </c>
      <c r="H184" s="1">
        <v>1</v>
      </c>
    </row>
    <row r="185" spans="1:8" ht="19" customHeight="1" x14ac:dyDescent="0.3">
      <c r="A185">
        <v>1790</v>
      </c>
      <c r="B185" s="1">
        <v>30.899309295427539</v>
      </c>
      <c r="C185" s="1">
        <v>0.15005506978998179</v>
      </c>
      <c r="D185" s="1">
        <v>66.279215896066447</v>
      </c>
      <c r="E185" s="1">
        <v>67.005184477690634</v>
      </c>
      <c r="F185" s="1">
        <v>4.8380143545983616</v>
      </c>
      <c r="G185" s="1">
        <v>3</v>
      </c>
      <c r="H185" s="1">
        <v>1</v>
      </c>
    </row>
    <row r="186" spans="1:8" ht="19" customHeight="1" x14ac:dyDescent="0.3">
      <c r="A186">
        <v>1800</v>
      </c>
      <c r="B186" s="1">
        <v>31.049364365217521</v>
      </c>
      <c r="C186" s="1">
        <v>0.1484700068074333</v>
      </c>
      <c r="D186" s="1">
        <v>67.005184477690634</v>
      </c>
      <c r="E186" s="1">
        <v>67.702157631750666</v>
      </c>
      <c r="F186" s="1">
        <v>4.6943700552530574</v>
      </c>
      <c r="G186" s="1">
        <v>3</v>
      </c>
      <c r="H186" s="1">
        <v>1</v>
      </c>
    </row>
    <row r="187" spans="1:8" ht="19" customHeight="1" x14ac:dyDescent="0.3">
      <c r="A187">
        <v>1810</v>
      </c>
      <c r="B187" s="1">
        <v>31.19783437202496</v>
      </c>
      <c r="C187" s="1">
        <v>0.14697865830714821</v>
      </c>
      <c r="D187" s="1">
        <v>67.702157631750666</v>
      </c>
      <c r="E187" s="1">
        <v>68.372019601552537</v>
      </c>
      <c r="F187" s="1">
        <v>4.5575458200334653</v>
      </c>
      <c r="G187" s="1">
        <v>3</v>
      </c>
      <c r="H187" s="1">
        <v>1</v>
      </c>
    </row>
    <row r="188" spans="1:8" ht="19" customHeight="1" x14ac:dyDescent="0.3">
      <c r="A188">
        <v>1820</v>
      </c>
      <c r="B188" s="1">
        <v>31.344813030332109</v>
      </c>
      <c r="C188" s="1">
        <v>0.18557260369417911</v>
      </c>
      <c r="D188" s="1">
        <v>68.372019601552537</v>
      </c>
      <c r="E188" s="1">
        <v>69.016468977083235</v>
      </c>
      <c r="F188" s="1">
        <v>4.4269962834804124</v>
      </c>
      <c r="G188" s="1">
        <v>4</v>
      </c>
      <c r="H188" s="1">
        <v>1</v>
      </c>
    </row>
    <row r="189" spans="1:8" ht="19" customHeight="1" x14ac:dyDescent="0.3">
      <c r="A189">
        <v>1830</v>
      </c>
      <c r="B189" s="1">
        <v>31.530385634026281</v>
      </c>
      <c r="C189" s="1">
        <v>0.14424445279059919</v>
      </c>
      <c r="D189" s="1">
        <v>69.016468977083235</v>
      </c>
      <c r="E189" s="1">
        <v>69.637043259079846</v>
      </c>
      <c r="F189" s="1">
        <v>4.3022401901132534</v>
      </c>
      <c r="G189" s="1">
        <v>4</v>
      </c>
      <c r="H189" s="1">
        <v>1</v>
      </c>
    </row>
    <row r="190" spans="1:8" ht="19" customHeight="1" x14ac:dyDescent="0.3">
      <c r="A190">
        <v>1840</v>
      </c>
      <c r="B190" s="1">
        <v>31.67463008681688</v>
      </c>
      <c r="C190" s="1">
        <v>0.14298768789602731</v>
      </c>
      <c r="D190" s="1">
        <v>69.637043259079846</v>
      </c>
      <c r="E190" s="1">
        <v>70.235139404247676</v>
      </c>
      <c r="F190" s="1">
        <v>4.1828506633573399</v>
      </c>
      <c r="G190" s="1">
        <v>4</v>
      </c>
      <c r="H190" s="1">
        <v>1</v>
      </c>
    </row>
    <row r="191" spans="1:8" ht="19" customHeight="1" x14ac:dyDescent="0.3">
      <c r="A191">
        <v>1850</v>
      </c>
      <c r="B191" s="1">
        <v>31.817617774712911</v>
      </c>
      <c r="C191" s="1">
        <v>0.1417965346265054</v>
      </c>
      <c r="D191" s="1">
        <v>70.235139404247676</v>
      </c>
      <c r="E191" s="1">
        <v>70.812031125556558</v>
      </c>
      <c r="F191" s="1">
        <v>4.0684472496343007</v>
      </c>
      <c r="G191" s="1">
        <v>4</v>
      </c>
      <c r="H191" s="1">
        <v>1</v>
      </c>
    </row>
    <row r="192" spans="1:8" ht="19" customHeight="1" x14ac:dyDescent="0.3">
      <c r="A192">
        <v>1860</v>
      </c>
      <c r="B192" s="1">
        <v>31.959414309339419</v>
      </c>
      <c r="C192" s="1">
        <v>0.14066585550817179</v>
      </c>
      <c r="D192" s="1">
        <v>70.812031125556558</v>
      </c>
      <c r="E192" s="1">
        <v>71.368883551624037</v>
      </c>
      <c r="F192" s="1">
        <v>3.9586893639240772</v>
      </c>
      <c r="G192" s="1">
        <v>4</v>
      </c>
      <c r="H192" s="1">
        <v>1</v>
      </c>
    </row>
    <row r="193" spans="1:8" ht="19" customHeight="1" x14ac:dyDescent="0.3">
      <c r="A193">
        <v>1870</v>
      </c>
      <c r="B193" s="1">
        <v>32.10008016484759</v>
      </c>
      <c r="C193" s="1">
        <v>0.1395910617160262</v>
      </c>
      <c r="D193" s="1">
        <v>71.368883551624037</v>
      </c>
      <c r="E193" s="1">
        <v>71.906765720866787</v>
      </c>
      <c r="F193" s="1">
        <v>3.8532708515175278</v>
      </c>
      <c r="G193" s="1">
        <v>4</v>
      </c>
      <c r="H193" s="1">
        <v>1</v>
      </c>
    </row>
    <row r="194" spans="1:8" ht="19" customHeight="1" x14ac:dyDescent="0.3">
      <c r="A194">
        <v>1880</v>
      </c>
      <c r="B194" s="1">
        <v>32.239671226563622</v>
      </c>
      <c r="C194" s="1">
        <v>0.138568039396329</v>
      </c>
      <c r="D194" s="1">
        <v>71.906765720866787</v>
      </c>
      <c r="E194" s="1">
        <v>72.426661288203221</v>
      </c>
      <c r="F194" s="1">
        <v>3.7519154460246229</v>
      </c>
      <c r="G194" s="1">
        <v>4</v>
      </c>
      <c r="H194" s="1">
        <v>1</v>
      </c>
    </row>
    <row r="195" spans="1:8" ht="19" customHeight="1" x14ac:dyDescent="0.3">
      <c r="A195">
        <v>1890</v>
      </c>
      <c r="B195" s="1">
        <v>32.378239265959941</v>
      </c>
      <c r="C195" s="1">
        <v>0.13759308779657051</v>
      </c>
      <c r="D195" s="1">
        <v>72.426661288203221</v>
      </c>
      <c r="E195" s="1">
        <v>72.929477746700371</v>
      </c>
      <c r="F195" s="1">
        <v>3.6543729525174968</v>
      </c>
      <c r="G195" s="1">
        <v>4</v>
      </c>
      <c r="H195" s="1">
        <v>1</v>
      </c>
    </row>
    <row r="196" spans="1:8" ht="19" customHeight="1" x14ac:dyDescent="0.3">
      <c r="A196">
        <v>1900</v>
      </c>
      <c r="B196" s="1">
        <v>32.515832353756508</v>
      </c>
      <c r="C196" s="1">
        <v>0.13666286702117719</v>
      </c>
      <c r="D196" s="1">
        <v>72.929477746700371</v>
      </c>
      <c r="E196" s="1">
        <v>73.416054407990956</v>
      </c>
      <c r="F196" s="1">
        <v>3.5604160215311369</v>
      </c>
      <c r="G196" s="1">
        <v>4</v>
      </c>
      <c r="H196" s="1">
        <v>1</v>
      </c>
    </row>
    <row r="197" spans="1:8" ht="19" customHeight="1" x14ac:dyDescent="0.3">
      <c r="A197">
        <v>1910</v>
      </c>
      <c r="B197" s="1">
        <v>32.652495220777688</v>
      </c>
      <c r="C197" s="1">
        <v>0.1357743536848581</v>
      </c>
      <c r="D197" s="1">
        <v>73.416054407990956</v>
      </c>
      <c r="E197" s="1">
        <v>73.887169339414285</v>
      </c>
      <c r="F197" s="1">
        <v>3.4698374077097469</v>
      </c>
      <c r="G197" s="1">
        <v>4</v>
      </c>
      <c r="H197" s="1">
        <v>1</v>
      </c>
    </row>
    <row r="198" spans="1:8" ht="19" customHeight="1" x14ac:dyDescent="0.3">
      <c r="A198">
        <v>1920</v>
      </c>
      <c r="B198" s="1">
        <v>32.788269574462547</v>
      </c>
      <c r="C198" s="1">
        <v>0.13492480308491411</v>
      </c>
      <c r="D198" s="1">
        <v>73.887169339414285</v>
      </c>
      <c r="E198" s="1">
        <v>74.343545419629081</v>
      </c>
      <c r="F198" s="1">
        <v>3.3824476284584759</v>
      </c>
      <c r="G198" s="1">
        <v>4</v>
      </c>
      <c r="H198" s="1">
        <v>1</v>
      </c>
    </row>
    <row r="199" spans="1:8" ht="19" customHeight="1" x14ac:dyDescent="0.3">
      <c r="A199">
        <v>1930</v>
      </c>
      <c r="B199" s="1">
        <v>32.92319437754746</v>
      </c>
      <c r="C199" s="1">
        <v>0.13411171678509931</v>
      </c>
      <c r="D199" s="1">
        <v>74.343545419629081</v>
      </c>
      <c r="E199" s="1">
        <v>74.785855645663446</v>
      </c>
      <c r="F199" s="1">
        <v>3.2980729546779459</v>
      </c>
      <c r="G199" s="1">
        <v>4</v>
      </c>
      <c r="H199" s="1">
        <v>1</v>
      </c>
    </row>
    <row r="200" spans="1:8" ht="19" customHeight="1" x14ac:dyDescent="0.3">
      <c r="A200">
        <v>1940</v>
      </c>
      <c r="B200" s="1">
        <v>33.05730609433256</v>
      </c>
      <c r="C200" s="1">
        <v>0.1333328147158005</v>
      </c>
      <c r="D200" s="1">
        <v>74.785855645663446</v>
      </c>
      <c r="E200" s="1">
        <v>75.214727801330284</v>
      </c>
      <c r="F200" s="1">
        <v>3.2165536787097611</v>
      </c>
      <c r="G200" s="1">
        <v>4</v>
      </c>
      <c r="H200" s="1">
        <v>1</v>
      </c>
    </row>
    <row r="201" spans="1:8" ht="19" customHeight="1" x14ac:dyDescent="0.3">
      <c r="A201">
        <v>1950</v>
      </c>
      <c r="B201" s="1">
        <v>33.19063890904836</v>
      </c>
      <c r="C201" s="1">
        <v>0.13258601106244461</v>
      </c>
      <c r="D201" s="1">
        <v>75.214727801330284</v>
      </c>
      <c r="E201" s="1">
        <v>75.630748578379951</v>
      </c>
      <c r="F201" s="1">
        <v>3.1377426148957062</v>
      </c>
      <c r="G201" s="1">
        <v>4</v>
      </c>
      <c r="H201" s="1">
        <v>1</v>
      </c>
    </row>
    <row r="202" spans="1:8" ht="19" customHeight="1" x14ac:dyDescent="0.3">
      <c r="A202">
        <v>1960</v>
      </c>
      <c r="B202" s="1">
        <v>33.323224920110803</v>
      </c>
      <c r="C202" s="1">
        <v>0.13186939334659831</v>
      </c>
      <c r="D202" s="1">
        <v>75.630748578379951</v>
      </c>
      <c r="E202" s="1">
        <v>76.034467226724203</v>
      </c>
      <c r="F202" s="1">
        <v>3.0615037962838421</v>
      </c>
      <c r="G202" s="1">
        <v>4</v>
      </c>
      <c r="H202" s="1">
        <v>1</v>
      </c>
    </row>
    <row r="203" spans="1:8" ht="19" customHeight="1" x14ac:dyDescent="0.3">
      <c r="A203">
        <v>1970</v>
      </c>
      <c r="B203" s="1">
        <v>33.455094313457401</v>
      </c>
      <c r="C203" s="1">
        <v>0.13118120421001411</v>
      </c>
      <c r="D203" s="1">
        <v>76.034467226724203</v>
      </c>
      <c r="E203" s="1">
        <v>76.426398797809782</v>
      </c>
      <c r="F203" s="1">
        <v>2.9877113375031512</v>
      </c>
      <c r="G203" s="1">
        <v>4</v>
      </c>
      <c r="H203" s="1">
        <v>1</v>
      </c>
    </row>
    <row r="204" spans="1:8" ht="19" customHeight="1" x14ac:dyDescent="0.3">
      <c r="A204">
        <v>1980</v>
      </c>
      <c r="B204" s="1">
        <v>33.586275517667417</v>
      </c>
      <c r="C204" s="1">
        <v>0.1305198254968109</v>
      </c>
      <c r="D204" s="1">
        <v>76.426398797809782</v>
      </c>
      <c r="E204" s="1">
        <v>76.807027035177327</v>
      </c>
      <c r="F204" s="1">
        <v>2.9162484390300052</v>
      </c>
      <c r="G204" s="1">
        <v>4</v>
      </c>
      <c r="H204" s="1">
        <v>1</v>
      </c>
    </row>
    <row r="205" spans="1:8" ht="19" customHeight="1" x14ac:dyDescent="0.3">
      <c r="A205">
        <v>1990</v>
      </c>
      <c r="B205" s="1">
        <v>33.716795343164229</v>
      </c>
      <c r="C205" s="1">
        <v>0.12988376429755619</v>
      </c>
      <c r="D205" s="1">
        <v>76.807027035177327</v>
      </c>
      <c r="E205" s="1">
        <v>77.176806957970186</v>
      </c>
      <c r="F205" s="1">
        <v>2.8470065122667618</v>
      </c>
      <c r="G205" s="1">
        <v>4</v>
      </c>
      <c r="H205" s="1">
        <v>1</v>
      </c>
    </row>
    <row r="206" spans="1:8" ht="19" customHeight="1" x14ac:dyDescent="0.3">
      <c r="A206">
        <v>2000</v>
      </c>
      <c r="B206" s="1">
        <v>33.846679107461782</v>
      </c>
      <c r="C206" s="1">
        <v>0.12927164067469321</v>
      </c>
      <c r="D206" s="1">
        <v>77.176806957970186</v>
      </c>
      <c r="E206" s="1">
        <v>77.536167176311764</v>
      </c>
      <c r="F206" s="1">
        <v>2.7798844082585221</v>
      </c>
      <c r="G206" s="1">
        <v>4</v>
      </c>
      <c r="H206" s="1">
        <v>1</v>
      </c>
    </row>
    <row r="207" spans="1:8" ht="19" customHeight="1" x14ac:dyDescent="0.3">
      <c r="A207">
        <v>2010</v>
      </c>
      <c r="B207" s="1">
        <v>33.975950748136484</v>
      </c>
      <c r="C207" s="1">
        <v>0.12868217683418171</v>
      </c>
      <c r="D207" s="1">
        <v>77.536167176311764</v>
      </c>
      <c r="E207" s="1">
        <v>77.885511971778413</v>
      </c>
      <c r="F207" s="1">
        <v>2.7147877356536361</v>
      </c>
      <c r="G207" s="1">
        <v>4</v>
      </c>
      <c r="H207" s="1">
        <v>1</v>
      </c>
    </row>
    <row r="208" spans="1:8" ht="19" customHeight="1" x14ac:dyDescent="0.3">
      <c r="A208">
        <v>2020</v>
      </c>
      <c r="B208" s="1">
        <v>34.104632924970659</v>
      </c>
      <c r="C208" s="1">
        <v>0.12819929643579189</v>
      </c>
      <c r="D208" s="1">
        <v>77.885511971778413</v>
      </c>
      <c r="E208" s="1">
        <v>78.121584447950539</v>
      </c>
      <c r="F208" s="1">
        <v>1.8414490776114241</v>
      </c>
      <c r="G208" s="1">
        <v>4</v>
      </c>
      <c r="H208" s="1">
        <v>0</v>
      </c>
    </row>
    <row r="209" spans="1:8" ht="19" customHeight="1" x14ac:dyDescent="0.3">
      <c r="A209">
        <v>2030</v>
      </c>
      <c r="B209" s="1">
        <v>34.232832221406447</v>
      </c>
      <c r="C209" s="1">
        <v>0.12781801229396031</v>
      </c>
      <c r="D209" s="1">
        <v>78.121584447950539</v>
      </c>
      <c r="E209" s="1">
        <v>78.350884815640384</v>
      </c>
      <c r="F209" s="1">
        <v>1.7939597367739679</v>
      </c>
      <c r="G209" s="1">
        <v>4</v>
      </c>
      <c r="H209" s="1">
        <v>0</v>
      </c>
    </row>
    <row r="210" spans="1:8" ht="19" customHeight="1" x14ac:dyDescent="0.3">
      <c r="A210">
        <v>2040</v>
      </c>
      <c r="B210" s="1">
        <v>34.360650233700412</v>
      </c>
      <c r="C210" s="1">
        <v>0.1274497959268297</v>
      </c>
      <c r="D210" s="1">
        <v>78.350884815640384</v>
      </c>
      <c r="E210" s="1">
        <v>78.5736504851631</v>
      </c>
      <c r="F210" s="1">
        <v>1.7478699585412409</v>
      </c>
      <c r="G210" s="1">
        <v>4</v>
      </c>
      <c r="H210" s="1">
        <v>0</v>
      </c>
    </row>
    <row r="211" spans="1:8" ht="19" customHeight="1" x14ac:dyDescent="0.3">
      <c r="A211">
        <v>2050</v>
      </c>
      <c r="B211" s="1">
        <v>34.48810002962724</v>
      </c>
      <c r="C211" s="1">
        <v>0.12709406670096371</v>
      </c>
      <c r="D211" s="1">
        <v>78.5736504851631</v>
      </c>
      <c r="E211" s="1">
        <v>78.790107864449524</v>
      </c>
      <c r="F211" s="1">
        <v>1.7031273363509629</v>
      </c>
      <c r="G211" s="1">
        <v>4</v>
      </c>
      <c r="H211" s="1">
        <v>0</v>
      </c>
    </row>
    <row r="212" spans="1:8" ht="19" customHeight="1" x14ac:dyDescent="0.3">
      <c r="A212">
        <v>2060</v>
      </c>
      <c r="B212" s="1">
        <v>34.615194096328203</v>
      </c>
      <c r="C212" s="1">
        <v>0.1267502779714092</v>
      </c>
      <c r="D212" s="1">
        <v>78.790107864449524</v>
      </c>
      <c r="E212" s="1">
        <v>79.000473111722741</v>
      </c>
      <c r="F212" s="1">
        <v>1.6596827292218681</v>
      </c>
      <c r="G212" s="1">
        <v>4</v>
      </c>
      <c r="H212" s="1">
        <v>0</v>
      </c>
    </row>
    <row r="213" spans="1:8" ht="19" customHeight="1" x14ac:dyDescent="0.3">
      <c r="A213">
        <v>2070</v>
      </c>
      <c r="B213" s="1">
        <v>34.741944374299607</v>
      </c>
      <c r="C213" s="1">
        <v>0.12641791450057391</v>
      </c>
      <c r="D213" s="1">
        <v>79.000473111722741</v>
      </c>
      <c r="E213" s="1">
        <v>79.204952749097032</v>
      </c>
      <c r="F213" s="1">
        <v>1.617489405533252</v>
      </c>
      <c r="G213" s="1">
        <v>4</v>
      </c>
      <c r="H213" s="1">
        <v>0</v>
      </c>
    </row>
    <row r="214" spans="1:8" ht="19" customHeight="1" x14ac:dyDescent="0.3">
      <c r="A214">
        <v>2080</v>
      </c>
      <c r="B214" s="1">
        <v>34.868362288800178</v>
      </c>
      <c r="C214" s="1">
        <v>0.12609649016020941</v>
      </c>
      <c r="D214" s="1">
        <v>79.204952749097032</v>
      </c>
      <c r="E214" s="1">
        <v>79.403744246270435</v>
      </c>
      <c r="F214" s="1">
        <v>1.576503017021605</v>
      </c>
      <c r="G214" s="1">
        <v>4</v>
      </c>
      <c r="H214" s="1">
        <v>0</v>
      </c>
    </row>
    <row r="215" spans="1:8" ht="19" customHeight="1" x14ac:dyDescent="0.3">
      <c r="A215">
        <v>2090</v>
      </c>
      <c r="B215" s="1">
        <v>34.994458778960393</v>
      </c>
      <c r="C215" s="1">
        <v>0.12578554568543909</v>
      </c>
      <c r="D215" s="1">
        <v>79.403744246270435</v>
      </c>
      <c r="E215" s="1">
        <v>79.597036733886227</v>
      </c>
      <c r="F215" s="1">
        <v>1.536682824425406</v>
      </c>
      <c r="G215" s="1">
        <v>4</v>
      </c>
      <c r="H215" s="1">
        <v>0</v>
      </c>
    </row>
    <row r="216" spans="1:8" ht="19" customHeight="1" x14ac:dyDescent="0.3">
      <c r="A216">
        <v>2100</v>
      </c>
      <c r="B216" s="1">
        <v>35.120244324645832</v>
      </c>
      <c r="C216" s="1">
        <v>0.1254846470477457</v>
      </c>
      <c r="D216" s="1">
        <v>79.597036733886227</v>
      </c>
      <c r="E216" s="1">
        <v>79.785010955104696</v>
      </c>
      <c r="F216" s="1">
        <v>1.4979858145271461</v>
      </c>
      <c r="G216" s="1">
        <v>4</v>
      </c>
      <c r="H216" s="1">
        <v>0</v>
      </c>
    </row>
    <row r="217" spans="1:8" ht="19" customHeight="1" x14ac:dyDescent="0.3">
      <c r="A217">
        <v>2110</v>
      </c>
      <c r="B217" s="1">
        <v>35.24572897169358</v>
      </c>
      <c r="C217" s="1">
        <v>0.12519338385375289</v>
      </c>
      <c r="D217" s="1">
        <v>79.785010955104696</v>
      </c>
      <c r="E217" s="1">
        <v>79.967840069062774</v>
      </c>
      <c r="F217" s="1">
        <v>1.460373610251281</v>
      </c>
      <c r="G217" s="1">
        <v>4</v>
      </c>
      <c r="H217" s="1">
        <v>0</v>
      </c>
    </row>
    <row r="218" spans="1:8" ht="19" customHeight="1" x14ac:dyDescent="0.3">
      <c r="A218">
        <v>2120</v>
      </c>
      <c r="B218" s="1">
        <v>35.370922355547343</v>
      </c>
      <c r="C218" s="1">
        <v>0.1249112331856307</v>
      </c>
      <c r="D218" s="1">
        <v>79.967840069062774</v>
      </c>
      <c r="E218" s="1">
        <v>80.145862197233541</v>
      </c>
      <c r="F218" s="1">
        <v>1.4251891013373099</v>
      </c>
      <c r="G218" s="1">
        <v>4</v>
      </c>
      <c r="H218" s="1">
        <v>0</v>
      </c>
    </row>
    <row r="219" spans="1:8" ht="19" customHeight="1" x14ac:dyDescent="0.3">
      <c r="A219">
        <v>2130</v>
      </c>
      <c r="B219" s="1">
        <v>35.495833588732957</v>
      </c>
      <c r="C219" s="1">
        <v>0.1246378309822708</v>
      </c>
      <c r="D219" s="1">
        <v>80.145862197233541</v>
      </c>
      <c r="E219" s="1">
        <v>80.319061192237996</v>
      </c>
      <c r="F219" s="1">
        <v>1.3896181732261541</v>
      </c>
      <c r="G219" s="1">
        <v>4</v>
      </c>
      <c r="H219" s="1">
        <v>0</v>
      </c>
    </row>
    <row r="220" spans="1:8" ht="19" customHeight="1" x14ac:dyDescent="0.3">
      <c r="A220">
        <v>2140</v>
      </c>
      <c r="B220" s="1">
        <v>35.620471419715237</v>
      </c>
      <c r="C220" s="1">
        <v>0.12437296496098529</v>
      </c>
      <c r="D220" s="1">
        <v>80.319061192237996</v>
      </c>
      <c r="E220" s="1">
        <v>80.487590046428011</v>
      </c>
      <c r="F220" s="1">
        <v>1.355028033969301</v>
      </c>
      <c r="G220" s="1">
        <v>4</v>
      </c>
      <c r="H220" s="1">
        <v>0</v>
      </c>
    </row>
    <row r="221" spans="1:8" ht="19" customHeight="1" x14ac:dyDescent="0.3">
      <c r="A221">
        <v>2150</v>
      </c>
      <c r="B221" s="1">
        <v>35.74484438467622</v>
      </c>
      <c r="C221" s="1">
        <v>0.1241163030281424</v>
      </c>
      <c r="D221" s="1">
        <v>80.487590046428011</v>
      </c>
      <c r="E221" s="1">
        <v>80.65159563706078</v>
      </c>
      <c r="F221" s="1">
        <v>1.321386366105207</v>
      </c>
      <c r="G221" s="1">
        <v>4</v>
      </c>
      <c r="H221" s="1">
        <v>0</v>
      </c>
    </row>
    <row r="222" spans="1:8" ht="19" customHeight="1" x14ac:dyDescent="0.3">
      <c r="A222">
        <v>2160</v>
      </c>
      <c r="B222" s="1">
        <v>35.868960687704373</v>
      </c>
      <c r="C222" s="1">
        <v>0.1238675296918334</v>
      </c>
      <c r="D222" s="1">
        <v>80.65159563706078</v>
      </c>
      <c r="E222" s="1">
        <v>80.811219111545626</v>
      </c>
      <c r="F222" s="1">
        <v>1.288662774513796</v>
      </c>
      <c r="G222" s="1">
        <v>4</v>
      </c>
      <c r="H222" s="1">
        <v>0</v>
      </c>
    </row>
    <row r="223" spans="1:8" ht="19" customHeight="1" x14ac:dyDescent="0.3">
      <c r="A223">
        <v>2170</v>
      </c>
      <c r="B223" s="1">
        <v>35.992828217396202</v>
      </c>
      <c r="C223" s="1">
        <v>0.1236263450724123</v>
      </c>
      <c r="D223" s="1">
        <v>80.811219111545626</v>
      </c>
      <c r="E223" s="1">
        <v>80.966596032024981</v>
      </c>
      <c r="F223" s="1">
        <v>1.2568269359443089</v>
      </c>
      <c r="G223" s="1">
        <v>4</v>
      </c>
      <c r="H223" s="1">
        <v>0</v>
      </c>
    </row>
    <row r="224" spans="1:8" ht="19" customHeight="1" x14ac:dyDescent="0.3">
      <c r="A224">
        <v>2180</v>
      </c>
      <c r="B224" s="1">
        <v>36.116454562468611</v>
      </c>
      <c r="C224" s="1">
        <v>0.1233924639899396</v>
      </c>
      <c r="D224" s="1">
        <v>80.966596032024981</v>
      </c>
      <c r="E224" s="1">
        <v>81.11785672378214</v>
      </c>
      <c r="F224" s="1">
        <v>1.2258503223461961</v>
      </c>
      <c r="G224" s="1">
        <v>4</v>
      </c>
      <c r="H224" s="1">
        <v>0</v>
      </c>
    </row>
    <row r="225" spans="1:8" ht="19" customHeight="1" x14ac:dyDescent="0.3">
      <c r="A225">
        <v>2190</v>
      </c>
      <c r="B225" s="1">
        <v>36.239847026458548</v>
      </c>
      <c r="C225" s="1">
        <v>0.12316561499307151</v>
      </c>
      <c r="D225" s="1">
        <v>81.11785672378214</v>
      </c>
      <c r="E225" s="1">
        <v>81.265126555480222</v>
      </c>
      <c r="F225" s="1">
        <v>1.195705730908458</v>
      </c>
      <c r="G225" s="1">
        <v>4</v>
      </c>
      <c r="H225" s="1">
        <v>0</v>
      </c>
    </row>
    <row r="226" spans="1:8" ht="19" customHeight="1" x14ac:dyDescent="0.3">
      <c r="A226">
        <v>2200</v>
      </c>
      <c r="B226" s="1">
        <v>36.363012641451618</v>
      </c>
      <c r="C226" s="1">
        <v>0.1229455395110006</v>
      </c>
      <c r="D226" s="1">
        <v>81.265126555480222</v>
      </c>
      <c r="E226" s="1">
        <v>81.408526181718059</v>
      </c>
      <c r="F226" s="1">
        <v>1.1663670500629</v>
      </c>
      <c r="G226" s="1">
        <v>4</v>
      </c>
      <c r="H226" s="1">
        <v>0</v>
      </c>
    </row>
    <row r="227" spans="1:8" ht="19" customHeight="1" x14ac:dyDescent="0.3">
      <c r="A227">
        <v>2210</v>
      </c>
      <c r="B227" s="1">
        <v>36.485958180962619</v>
      </c>
      <c r="C227" s="1">
        <v>0.1627319910830268</v>
      </c>
      <c r="D227" s="1">
        <v>81.408526181718059</v>
      </c>
      <c r="E227" s="1">
        <v>81.548171770572367</v>
      </c>
      <c r="F227" s="1">
        <v>1.137809202165045</v>
      </c>
      <c r="G227" s="1">
        <v>5</v>
      </c>
      <c r="H227" s="1">
        <v>0</v>
      </c>
    </row>
    <row r="228" spans="1:8" ht="19" customHeight="1" x14ac:dyDescent="0.3">
      <c r="A228">
        <v>2220</v>
      </c>
      <c r="B228" s="1">
        <v>36.648690172045647</v>
      </c>
      <c r="C228" s="1">
        <v>0.1225247346439958</v>
      </c>
      <c r="D228" s="1">
        <v>81.548171770572367</v>
      </c>
      <c r="E228" s="1">
        <v>81.684175217253355</v>
      </c>
      <c r="F228" s="1">
        <v>1.1100080900085689</v>
      </c>
      <c r="G228" s="1">
        <v>5</v>
      </c>
      <c r="H228" s="1">
        <v>0</v>
      </c>
    </row>
    <row r="229" spans="1:8" ht="19" customHeight="1" x14ac:dyDescent="0.3">
      <c r="A229">
        <v>2230</v>
      </c>
      <c r="B229" s="1">
        <v>36.771214906689643</v>
      </c>
      <c r="C229" s="1">
        <v>0.1223235458608633</v>
      </c>
      <c r="D229" s="1">
        <v>81.684175217253355</v>
      </c>
      <c r="E229" s="1">
        <v>81.816644344901519</v>
      </c>
      <c r="F229" s="1">
        <v>1.0829405468579349</v>
      </c>
      <c r="G229" s="1">
        <v>5</v>
      </c>
      <c r="H229" s="1">
        <v>0</v>
      </c>
    </row>
    <row r="230" spans="1:8" ht="19" customHeight="1" x14ac:dyDescent="0.3">
      <c r="A230">
        <v>2240</v>
      </c>
      <c r="B230" s="1">
        <v>36.893538452550509</v>
      </c>
      <c r="C230" s="1">
        <v>0.12212821051610299</v>
      </c>
      <c r="D230" s="1">
        <v>81.816644344901519</v>
      </c>
      <c r="E230" s="1">
        <v>81.945683093466471</v>
      </c>
      <c r="F230" s="1">
        <v>1.056584289736566</v>
      </c>
      <c r="G230" s="1">
        <v>5</v>
      </c>
      <c r="H230" s="1">
        <v>0</v>
      </c>
    </row>
    <row r="231" spans="1:8" ht="19" customHeight="1" x14ac:dyDescent="0.3">
      <c r="A231">
        <v>2250</v>
      </c>
      <c r="B231" s="1">
        <v>37.015666663066611</v>
      </c>
      <c r="C231" s="1">
        <v>0.12193852393408521</v>
      </c>
      <c r="D231" s="1">
        <v>81.945683093466471</v>
      </c>
      <c r="E231" s="1">
        <v>82.071391697525328</v>
      </c>
      <c r="F231" s="1">
        <v>1.0309178756896471</v>
      </c>
      <c r="G231" s="1">
        <v>5</v>
      </c>
      <c r="H231" s="1">
        <v>0</v>
      </c>
    </row>
    <row r="232" spans="1:8" ht="19" customHeight="1" x14ac:dyDescent="0.3">
      <c r="A232">
        <v>2260</v>
      </c>
      <c r="B232" s="1">
        <v>37.137605187000688</v>
      </c>
      <c r="C232" s="1">
        <v>0.1217542904469205</v>
      </c>
      <c r="D232" s="1">
        <v>82.071391697525328</v>
      </c>
      <c r="E232" s="1">
        <v>82.193866853828169</v>
      </c>
      <c r="F232" s="1">
        <v>1.005920660810171</v>
      </c>
      <c r="G232" s="1">
        <v>5</v>
      </c>
      <c r="H232" s="1">
        <v>0</v>
      </c>
    </row>
    <row r="233" spans="1:8" ht="19" customHeight="1" x14ac:dyDescent="0.3">
      <c r="A233">
        <v>2270</v>
      </c>
      <c r="B233" s="1">
        <v>37.259359477447617</v>
      </c>
      <c r="C233" s="1">
        <v>0.121575322896587</v>
      </c>
      <c r="D233" s="1">
        <v>82.193866853828169</v>
      </c>
      <c r="E233" s="1">
        <v>82.313201879290958</v>
      </c>
      <c r="F233" s="1">
        <v>0.98157276180377262</v>
      </c>
      <c r="G233" s="1">
        <v>5</v>
      </c>
      <c r="H233" s="1">
        <v>0</v>
      </c>
    </row>
    <row r="234" spans="1:8" ht="19" customHeight="1" x14ac:dyDescent="0.3">
      <c r="A234">
        <v>2280</v>
      </c>
      <c r="B234" s="1">
        <v>37.380934800344207</v>
      </c>
      <c r="C234" s="1">
        <v>0.12140144217045309</v>
      </c>
      <c r="D234" s="1">
        <v>82.313201879290958</v>
      </c>
      <c r="E234" s="1">
        <v>82.42948686009882</v>
      </c>
      <c r="F234" s="1">
        <v>0.9578550199147684</v>
      </c>
      <c r="G234" s="1">
        <v>5</v>
      </c>
      <c r="H234" s="1">
        <v>0</v>
      </c>
    </row>
    <row r="235" spans="1:8" ht="19" customHeight="1" x14ac:dyDescent="0.3">
      <c r="A235">
        <v>2290</v>
      </c>
      <c r="B235" s="1">
        <v>37.502336242514659</v>
      </c>
      <c r="C235" s="1">
        <v>0.12123247676757271</v>
      </c>
      <c r="D235" s="1">
        <v>82.42948686009882</v>
      </c>
      <c r="E235" s="1">
        <v>82.542808792526145</v>
      </c>
      <c r="F235" s="1">
        <v>0.93474896701636678</v>
      </c>
      <c r="G235" s="1">
        <v>5</v>
      </c>
      <c r="H235" s="1">
        <v>0</v>
      </c>
    </row>
    <row r="236" spans="1:8" ht="19" customHeight="1" x14ac:dyDescent="0.3">
      <c r="A236">
        <v>2300</v>
      </c>
      <c r="B236" s="1">
        <v>37.623568719282233</v>
      </c>
      <c r="C236" s="1">
        <v>0.1210682623933613</v>
      </c>
      <c r="D236" s="1">
        <v>82.542808792526145</v>
      </c>
      <c r="E236" s="1">
        <v>82.653251716034362</v>
      </c>
      <c r="F236" s="1">
        <v>0.91223679373028976</v>
      </c>
      <c r="G236" s="1">
        <v>5</v>
      </c>
      <c r="H236" s="1">
        <v>0</v>
      </c>
    </row>
    <row r="237" spans="1:8" ht="19" customHeight="1" x14ac:dyDescent="0.3">
      <c r="A237">
        <v>2310</v>
      </c>
      <c r="B237" s="1">
        <v>37.74463698167559</v>
      </c>
      <c r="C237" s="1">
        <v>0.12090864158047709</v>
      </c>
      <c r="D237" s="1">
        <v>82.653251716034362</v>
      </c>
      <c r="E237" s="1">
        <v>82.760896839161745</v>
      </c>
      <c r="F237" s="1">
        <v>0.89030131941176482</v>
      </c>
      <c r="G237" s="1">
        <v>5</v>
      </c>
      <c r="H237" s="1">
        <v>0</v>
      </c>
    </row>
    <row r="238" spans="1:8" ht="19" customHeight="1" x14ac:dyDescent="0.3">
      <c r="A238">
        <v>2320</v>
      </c>
      <c r="B238" s="1">
        <v>37.865545623256068</v>
      </c>
      <c r="C238" s="1">
        <v>0.12075346333359931</v>
      </c>
      <c r="D238" s="1">
        <v>82.760896839161745</v>
      </c>
      <c r="E238" s="1">
        <v>82.86582265911909</v>
      </c>
      <c r="F238" s="1">
        <v>0.86892596751013118</v>
      </c>
      <c r="G238" s="1">
        <v>5</v>
      </c>
      <c r="H238" s="1">
        <v>0</v>
      </c>
    </row>
    <row r="239" spans="1:8" ht="19" customHeight="1" x14ac:dyDescent="0.3">
      <c r="A239">
        <v>2330</v>
      </c>
      <c r="B239" s="1">
        <v>37.986299086589668</v>
      </c>
      <c r="C239" s="1">
        <v>0.1206596547190442</v>
      </c>
      <c r="D239" s="1">
        <v>82.86582265911909</v>
      </c>
      <c r="E239" s="1">
        <v>82.889665756374598</v>
      </c>
      <c r="F239" s="1">
        <v>0.19760621154623551</v>
      </c>
      <c r="G239" s="1">
        <v>5</v>
      </c>
      <c r="H239" s="1">
        <v>0</v>
      </c>
    </row>
    <row r="240" spans="1:8" ht="19" customHeight="1" x14ac:dyDescent="0.3">
      <c r="A240">
        <v>2340</v>
      </c>
      <c r="B240" s="1">
        <v>38.106958741308709</v>
      </c>
      <c r="C240" s="1">
        <v>0.1206974489757898</v>
      </c>
      <c r="D240" s="1">
        <v>82.889665756374598</v>
      </c>
      <c r="E240" s="1">
        <v>82.81391927972436</v>
      </c>
      <c r="F240" s="1">
        <v>-0.6275731367398748</v>
      </c>
      <c r="G240" s="1">
        <v>5</v>
      </c>
      <c r="H240" s="1">
        <v>0</v>
      </c>
    </row>
    <row r="241" spans="1:8" ht="19" customHeight="1" x14ac:dyDescent="0.3">
      <c r="A241">
        <v>2350</v>
      </c>
      <c r="B241" s="1">
        <v>38.227656190284499</v>
      </c>
      <c r="C241" s="1">
        <v>0.12075264746524721</v>
      </c>
      <c r="D241" s="1">
        <v>82.81391927972436</v>
      </c>
      <c r="E241" s="1">
        <v>82.81391927972436</v>
      </c>
      <c r="F241" s="1">
        <v>0</v>
      </c>
      <c r="G241" s="1">
        <v>5</v>
      </c>
      <c r="H241" s="1">
        <v>0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5DDE5"/>
    <pageSetUpPr fitToPage="1"/>
  </sheetPr>
  <dimension ref="A2:AE24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8" ht="19" customHeight="1" x14ac:dyDescent="0.35">
      <c r="A2" s="3" t="s">
        <v>15</v>
      </c>
    </row>
    <row r="3" spans="1:8" ht="19" customHeight="1" x14ac:dyDescent="0.3">
      <c r="A3" s="4" t="s">
        <v>1</v>
      </c>
    </row>
    <row r="5" spans="1:8" ht="34.049999999999997" customHeight="1" x14ac:dyDescent="0.3">
      <c r="A5" s="5" t="s">
        <v>142</v>
      </c>
      <c r="B5" s="5" t="s">
        <v>149</v>
      </c>
      <c r="C5" s="5" t="s">
        <v>150</v>
      </c>
      <c r="D5" s="5" t="s">
        <v>115</v>
      </c>
      <c r="E5" s="5" t="s">
        <v>151</v>
      </c>
      <c r="F5" s="5" t="s">
        <v>114</v>
      </c>
      <c r="G5" s="5" t="s">
        <v>152</v>
      </c>
      <c r="H5" s="5" t="s">
        <v>153</v>
      </c>
    </row>
    <row r="6" spans="1:8" ht="19" customHeight="1" x14ac:dyDescent="0.3">
      <c r="A6">
        <v>0</v>
      </c>
      <c r="B6" s="1">
        <v>4999.1603488558076</v>
      </c>
      <c r="C6" s="1">
        <v>0</v>
      </c>
      <c r="D6" s="1">
        <v>3884.2693360167509</v>
      </c>
      <c r="E6" s="1">
        <v>422.09975306470238</v>
      </c>
      <c r="F6" s="1">
        <v>20196.597037646829</v>
      </c>
      <c r="G6" s="1">
        <v>12471.79587002038</v>
      </c>
      <c r="H6" s="1">
        <v>15668.187667626449</v>
      </c>
    </row>
    <row r="7" spans="1:8" ht="19" customHeight="1" x14ac:dyDescent="0.3">
      <c r="A7">
        <v>10</v>
      </c>
      <c r="B7" s="1">
        <v>4992.9279451671846</v>
      </c>
      <c r="C7" s="1">
        <v>0</v>
      </c>
      <c r="D7" s="1">
        <v>3893.9020488209262</v>
      </c>
      <c r="E7" s="1">
        <v>422.8308026703229</v>
      </c>
      <c r="F7" s="1">
        <v>20245.38271127153</v>
      </c>
      <c r="G7" s="1">
        <v>12494.856967200019</v>
      </c>
      <c r="H7" s="1">
        <v>15693.863210821501</v>
      </c>
    </row>
    <row r="8" spans="1:8" ht="19" customHeight="1" x14ac:dyDescent="0.3">
      <c r="A8">
        <v>20</v>
      </c>
      <c r="B8" s="1">
        <v>4986.8767621464967</v>
      </c>
      <c r="C8" s="1">
        <v>0</v>
      </c>
      <c r="D8" s="1">
        <v>3903.3036981357332</v>
      </c>
      <c r="E8" s="1">
        <v>423.544169971087</v>
      </c>
      <c r="F8" s="1">
        <v>20292.989564572468</v>
      </c>
      <c r="G8" s="1">
        <v>12517.35835504476</v>
      </c>
      <c r="H8" s="1">
        <v>15718.91964302771</v>
      </c>
    </row>
    <row r="9" spans="1:8" ht="19" customHeight="1" x14ac:dyDescent="0.3">
      <c r="A9">
        <v>30</v>
      </c>
      <c r="B9" s="1">
        <v>4980.9917451215306</v>
      </c>
      <c r="C9" s="1">
        <v>0</v>
      </c>
      <c r="D9" s="1">
        <v>3912.4802835950109</v>
      </c>
      <c r="E9" s="1">
        <v>424.24031923727068</v>
      </c>
      <c r="F9" s="1">
        <v>20339.448548901371</v>
      </c>
      <c r="G9" s="1">
        <v>12539.315563300581</v>
      </c>
      <c r="H9" s="1">
        <v>15743.3723858508</v>
      </c>
    </row>
    <row r="10" spans="1:8" ht="19" customHeight="1" x14ac:dyDescent="0.3">
      <c r="A10">
        <v>40</v>
      </c>
      <c r="B10" s="1">
        <v>4975.2675345207836</v>
      </c>
      <c r="C10" s="1">
        <v>0</v>
      </c>
      <c r="D10" s="1">
        <v>3921.4375055267319</v>
      </c>
      <c r="E10" s="1">
        <v>424.91969192641727</v>
      </c>
      <c r="F10" s="1">
        <v>20384.78909476116</v>
      </c>
      <c r="G10" s="1">
        <v>12560.7426107346</v>
      </c>
      <c r="H10" s="1">
        <v>15767.236851026561</v>
      </c>
    </row>
    <row r="11" spans="1:8" ht="19" customHeight="1" x14ac:dyDescent="0.3">
      <c r="A11">
        <v>50</v>
      </c>
      <c r="B11" s="1">
        <v>4969.6989874019191</v>
      </c>
      <c r="C11" s="1">
        <v>0</v>
      </c>
      <c r="D11" s="1">
        <v>3930.180903140697</v>
      </c>
      <c r="E11" s="1">
        <v>425.58271679700078</v>
      </c>
      <c r="F11" s="1">
        <v>20429.039786050049</v>
      </c>
      <c r="G11" s="1">
        <v>12581.65310866903</v>
      </c>
      <c r="H11" s="1">
        <v>15790.52801113102</v>
      </c>
    </row>
    <row r="12" spans="1:8" ht="19" customHeight="1" x14ac:dyDescent="0.3">
      <c r="A12">
        <v>60</v>
      </c>
      <c r="B12" s="1">
        <v>4964.2811664031124</v>
      </c>
      <c r="C12" s="1">
        <v>0</v>
      </c>
      <c r="D12" s="1">
        <v>3938.715860020578</v>
      </c>
      <c r="E12" s="1">
        <v>426.2298103492634</v>
      </c>
      <c r="F12" s="1">
        <v>20472.228389450891</v>
      </c>
      <c r="G12" s="1">
        <v>12602.060275383081</v>
      </c>
      <c r="H12" s="1">
        <v>15813.26041456782</v>
      </c>
    </row>
    <row r="13" spans="1:8" ht="19" customHeight="1" x14ac:dyDescent="0.3">
      <c r="A13">
        <v>70</v>
      </c>
      <c r="B13" s="1">
        <v>4959.0093293752998</v>
      </c>
      <c r="C13" s="1">
        <v>0</v>
      </c>
      <c r="D13" s="1">
        <v>3947.0476093765078</v>
      </c>
      <c r="E13" s="1">
        <v>426.86137724663229</v>
      </c>
      <c r="F13" s="1">
        <v>20514.381882525489</v>
      </c>
      <c r="G13" s="1">
        <v>12621.97694986498</v>
      </c>
      <c r="H13" s="1">
        <v>15835.448199910519</v>
      </c>
    </row>
    <row r="14" spans="1:8" ht="19" customHeight="1" x14ac:dyDescent="0.3">
      <c r="A14">
        <v>80</v>
      </c>
      <c r="B14" s="1">
        <v>4953.8789196471844</v>
      </c>
      <c r="C14" s="1">
        <v>0</v>
      </c>
      <c r="D14" s="1">
        <v>3955.1812390714781</v>
      </c>
      <c r="E14" s="1">
        <v>427.47781071878683</v>
      </c>
      <c r="F14" s="1">
        <v>20555.526480585791</v>
      </c>
      <c r="G14" s="1">
        <v>12641.41560495118</v>
      </c>
      <c r="H14" s="1">
        <v>15857.105109634609</v>
      </c>
    </row>
    <row r="15" spans="1:8" ht="19" customHeight="1" x14ac:dyDescent="0.3">
      <c r="A15">
        <v>90</v>
      </c>
      <c r="B15" s="1">
        <v>4948.8855568782892</v>
      </c>
      <c r="C15" s="1">
        <v>0</v>
      </c>
      <c r="D15" s="1">
        <v>3963.121696433901</v>
      </c>
      <c r="E15" s="1">
        <v>428.07949294738222</v>
      </c>
      <c r="F15" s="1">
        <v>20595.687662408811</v>
      </c>
      <c r="G15" s="1">
        <v>12660.38835988686</v>
      </c>
      <c r="H15" s="1">
        <v>15878.24450327195</v>
      </c>
    </row>
    <row r="16" spans="1:8" ht="19" customHeight="1" x14ac:dyDescent="0.3">
      <c r="A16">
        <v>100</v>
      </c>
      <c r="B16" s="1">
        <v>4944.024849065253</v>
      </c>
      <c r="C16" s="1">
        <v>0</v>
      </c>
      <c r="D16" s="1">
        <v>3257.0114024572131</v>
      </c>
      <c r="E16" s="1">
        <v>385.99592921707159</v>
      </c>
      <c r="F16" s="1">
        <v>17790.165780304771</v>
      </c>
      <c r="G16" s="1">
        <v>12628.334935864559</v>
      </c>
      <c r="H16" s="1">
        <v>13104.727011940209</v>
      </c>
    </row>
    <row r="17" spans="1:8" ht="19" customHeight="1" x14ac:dyDescent="0.3">
      <c r="A17">
        <v>110</v>
      </c>
      <c r="B17" s="1">
        <v>4932.73899936006</v>
      </c>
      <c r="C17" s="1">
        <v>0</v>
      </c>
      <c r="D17" s="1">
        <v>3271.853102031288</v>
      </c>
      <c r="E17" s="1">
        <v>387.18201129020059</v>
      </c>
      <c r="F17" s="1">
        <v>17869.28695176337</v>
      </c>
      <c r="G17" s="1">
        <v>12671.444728931099</v>
      </c>
      <c r="H17" s="1">
        <v>13140.68935708227</v>
      </c>
    </row>
    <row r="18" spans="1:8" ht="19" customHeight="1" x14ac:dyDescent="0.3">
      <c r="A18">
        <v>120</v>
      </c>
      <c r="B18" s="1">
        <v>4921.7646338412396</v>
      </c>
      <c r="C18" s="1">
        <v>0</v>
      </c>
      <c r="D18" s="1">
        <v>3286.3823304309321</v>
      </c>
      <c r="E18" s="1">
        <v>388.34275197386091</v>
      </c>
      <c r="F18" s="1">
        <v>17946.718697257391</v>
      </c>
      <c r="G18" s="1">
        <v>12713.62936656065</v>
      </c>
      <c r="H18" s="1">
        <v>13175.887431696739</v>
      </c>
    </row>
    <row r="19" spans="1:8" ht="19" customHeight="1" x14ac:dyDescent="0.3">
      <c r="A19">
        <v>130</v>
      </c>
      <c r="B19" s="1">
        <v>4911.0908502111324</v>
      </c>
      <c r="C19" s="1">
        <v>0</v>
      </c>
      <c r="D19" s="1">
        <v>3300.606547439158</v>
      </c>
      <c r="E19" s="1">
        <v>389.47876837738858</v>
      </c>
      <c r="F19" s="1">
        <v>18022.502157409239</v>
      </c>
      <c r="G19" s="1">
        <v>12754.91159746937</v>
      </c>
      <c r="H19" s="1">
        <v>13210.339627689869</v>
      </c>
    </row>
    <row r="20" spans="1:8" ht="19" customHeight="1" x14ac:dyDescent="0.3">
      <c r="A20">
        <v>140</v>
      </c>
      <c r="B20" s="1">
        <v>4900.7066119598403</v>
      </c>
      <c r="C20" s="1">
        <v>0</v>
      </c>
      <c r="D20" s="1">
        <v>3314.532993716994</v>
      </c>
      <c r="E20" s="1">
        <v>390.5906590880586</v>
      </c>
      <c r="F20" s="1">
        <v>18096.677238037239</v>
      </c>
      <c r="G20" s="1">
        <v>12795.313527861361</v>
      </c>
      <c r="H20" s="1">
        <v>13244.063744675879</v>
      </c>
    </row>
    <row r="21" spans="1:8" ht="19" customHeight="1" x14ac:dyDescent="0.3">
      <c r="A21">
        <v>150</v>
      </c>
      <c r="B21" s="1">
        <v>4890.601882075528</v>
      </c>
      <c r="C21" s="1">
        <v>0</v>
      </c>
      <c r="D21" s="1">
        <v>3328.1686922395152</v>
      </c>
      <c r="E21" s="1">
        <v>391.67900438114651</v>
      </c>
      <c r="F21" s="1">
        <v>18169.282624159761</v>
      </c>
      <c r="G21" s="1">
        <v>12834.856533966869</v>
      </c>
      <c r="H21" s="1">
        <v>13277.077091442899</v>
      </c>
    </row>
    <row r="22" spans="1:8" ht="19" customHeight="1" x14ac:dyDescent="0.3">
      <c r="A22">
        <v>160</v>
      </c>
      <c r="B22" s="1">
        <v>4880.7670787142479</v>
      </c>
      <c r="C22" s="1">
        <v>0</v>
      </c>
      <c r="D22" s="1">
        <v>3341.5204624456992</v>
      </c>
      <c r="E22" s="1">
        <v>392.74436737345923</v>
      </c>
      <c r="F22" s="1">
        <v>18240.35585689728</v>
      </c>
      <c r="G22" s="1">
        <v>12873.56134830619</v>
      </c>
      <c r="H22" s="1">
        <v>13309.39647659109</v>
      </c>
    </row>
    <row r="23" spans="1:8" ht="19" customHeight="1" x14ac:dyDescent="0.3">
      <c r="A23">
        <v>170</v>
      </c>
      <c r="B23" s="1">
        <v>4871.1930490010418</v>
      </c>
      <c r="C23" s="1">
        <v>0</v>
      </c>
      <c r="D23" s="1">
        <v>3354.5949280569562</v>
      </c>
      <c r="E23" s="1">
        <v>393.78729468975598</v>
      </c>
      <c r="F23" s="1">
        <v>18309.933377900401</v>
      </c>
      <c r="G23" s="1">
        <v>12911.4480853679</v>
      </c>
      <c r="H23" s="1">
        <v>13341.038227282501</v>
      </c>
    </row>
    <row r="24" spans="1:8" ht="19" customHeight="1" x14ac:dyDescent="0.3">
      <c r="A24">
        <v>180</v>
      </c>
      <c r="B24" s="1">
        <v>4861.8710446607083</v>
      </c>
      <c r="C24" s="1">
        <v>0</v>
      </c>
      <c r="D24" s="1">
        <v>3367.398524494442</v>
      </c>
      <c r="E24" s="1">
        <v>394.8083170949821</v>
      </c>
      <c r="F24" s="1">
        <v>18378.05057149881</v>
      </c>
      <c r="G24" s="1">
        <v>12948.53626592924</v>
      </c>
      <c r="H24" s="1">
        <v>13372.018207069559</v>
      </c>
    </row>
    <row r="25" spans="1:8" ht="19" customHeight="1" x14ac:dyDescent="0.3">
      <c r="A25">
        <v>190</v>
      </c>
      <c r="B25" s="1">
        <v>4852.7926993284591</v>
      </c>
      <c r="C25" s="1">
        <v>0</v>
      </c>
      <c r="D25" s="1">
        <v>3379.9375059213048</v>
      </c>
      <c r="E25" s="1">
        <v>395.80795009453209</v>
      </c>
      <c r="F25" s="1">
        <v>18444.741804718811</v>
      </c>
      <c r="G25" s="1">
        <v>12984.844840109419</v>
      </c>
      <c r="H25" s="1">
        <v>13402.35183285938</v>
      </c>
    </row>
    <row r="26" spans="1:8" ht="19" customHeight="1" x14ac:dyDescent="0.3">
      <c r="A26">
        <v>200</v>
      </c>
      <c r="B26" s="1">
        <v>4843.9500074039915</v>
      </c>
      <c r="C26" s="1">
        <v>0</v>
      </c>
      <c r="D26" s="1">
        <v>3392.217951934027</v>
      </c>
      <c r="E26" s="1">
        <v>396.78669450459108</v>
      </c>
      <c r="F26" s="1">
        <v>18510.04046530608</v>
      </c>
      <c r="G26" s="1">
        <v>13020.39220923939</v>
      </c>
      <c r="H26" s="1">
        <v>13432.05409106668</v>
      </c>
    </row>
    <row r="27" spans="1:8" ht="19" customHeight="1" x14ac:dyDescent="0.3">
      <c r="A27">
        <v>210</v>
      </c>
      <c r="B27" s="1">
        <v>4835.3353043279776</v>
      </c>
      <c r="C27" s="1">
        <v>0</v>
      </c>
      <c r="D27" s="1">
        <v>3404.245773925034</v>
      </c>
      <c r="E27" s="1">
        <v>397.74503699443511</v>
      </c>
      <c r="F27" s="1">
        <v>18573.97899787901</v>
      </c>
      <c r="G27" s="1">
        <v>13055.19624662464</v>
      </c>
      <c r="H27" s="1">
        <v>13461.139553004359</v>
      </c>
    </row>
    <row r="28" spans="1:8" ht="19" customHeight="1" x14ac:dyDescent="0.3">
      <c r="A28">
        <v>220</v>
      </c>
      <c r="B28" s="1">
        <v>4826.9412481664449</v>
      </c>
      <c r="C28" s="1">
        <v>0</v>
      </c>
      <c r="D28" s="1">
        <v>3416.0267211371952</v>
      </c>
      <c r="E28" s="1">
        <v>398.683450602439</v>
      </c>
      <c r="F28" s="1">
        <v>18636.588938329271</v>
      </c>
      <c r="G28" s="1">
        <v>13089.274317272149</v>
      </c>
      <c r="H28" s="1">
        <v>13489.62238955712</v>
      </c>
    </row>
    <row r="29" spans="1:8" ht="19" customHeight="1" x14ac:dyDescent="0.3">
      <c r="A29">
        <v>230</v>
      </c>
      <c r="B29" s="1">
        <v>4818.7608024038336</v>
      </c>
      <c r="C29" s="1">
        <v>0</v>
      </c>
      <c r="D29" s="1">
        <v>3427.5663864291541</v>
      </c>
      <c r="E29" s="1">
        <v>399.60239522740318</v>
      </c>
      <c r="F29" s="1">
        <v>18697.90094657688</v>
      </c>
      <c r="G29" s="1">
        <v>13122.64329664664</v>
      </c>
      <c r="H29" s="1">
        <v>13517.51638518025</v>
      </c>
    </row>
    <row r="30" spans="1:8" ht="19" customHeight="1" x14ac:dyDescent="0.3">
      <c r="A30">
        <v>240</v>
      </c>
      <c r="B30" s="1">
        <v>4810.7872198494733</v>
      </c>
      <c r="C30" s="1">
        <v>0</v>
      </c>
      <c r="D30" s="1">
        <v>3438.8702117691168</v>
      </c>
      <c r="E30" s="1">
        <v>400.50231809669401</v>
      </c>
      <c r="F30" s="1">
        <v>18757.9448377796</v>
      </c>
      <c r="G30" s="1">
        <v>13155.31958851673</v>
      </c>
      <c r="H30" s="1">
        <v>13544.83495126287</v>
      </c>
    </row>
    <row r="31" spans="1:8" ht="19" customHeight="1" x14ac:dyDescent="0.3">
      <c r="A31">
        <v>250</v>
      </c>
      <c r="B31" s="1">
        <v>4803.0140275755393</v>
      </c>
      <c r="C31" s="1">
        <v>0</v>
      </c>
      <c r="D31" s="1">
        <v>3449.9434934733572</v>
      </c>
      <c r="E31" s="1">
        <v>401.38365421257879</v>
      </c>
      <c r="F31" s="1">
        <v>18816.749612088581</v>
      </c>
      <c r="G31" s="1">
        <v>13187.319141946729</v>
      </c>
      <c r="H31" s="1">
        <v>13571.591138891859</v>
      </c>
    </row>
    <row r="32" spans="1:8" ht="19" customHeight="1" x14ac:dyDescent="0.3">
      <c r="A32">
        <v>260</v>
      </c>
      <c r="B32" s="1">
        <v>4795.4350128061214</v>
      </c>
      <c r="C32" s="1">
        <v>0</v>
      </c>
      <c r="D32" s="1">
        <v>3460.7913872045792</v>
      </c>
      <c r="E32" s="1">
        <v>402.24682677804668</v>
      </c>
      <c r="F32" s="1">
        <v>18874.343483036449</v>
      </c>
      <c r="G32" s="1">
        <v>13218.6574674859</v>
      </c>
      <c r="H32" s="1">
        <v>13597.79765105055</v>
      </c>
    </row>
    <row r="33" spans="1:8" ht="19" customHeight="1" x14ac:dyDescent="0.3">
      <c r="A33">
        <v>270</v>
      </c>
      <c r="B33" s="1">
        <v>4788.0442096900897</v>
      </c>
      <c r="C33" s="1">
        <v>0</v>
      </c>
      <c r="D33" s="1">
        <v>3471.41891274415</v>
      </c>
      <c r="E33" s="1">
        <v>403.0922476033025</v>
      </c>
      <c r="F33" s="1">
        <v>18930.753904636829</v>
      </c>
      <c r="G33" s="1">
        <v>13249.349652603159</v>
      </c>
      <c r="H33" s="1">
        <v>13623.46685428367</v>
      </c>
    </row>
    <row r="34" spans="1:8" ht="19" customHeight="1" x14ac:dyDescent="0.3">
      <c r="A34">
        <v>280</v>
      </c>
      <c r="B34" s="1">
        <v>4780.8358868900486</v>
      </c>
      <c r="C34" s="1">
        <v>0</v>
      </c>
      <c r="D34" s="1">
        <v>3481.830958551257</v>
      </c>
      <c r="E34" s="1">
        <v>403.92031749404629</v>
      </c>
      <c r="F34" s="1">
        <v>18986.007597269749</v>
      </c>
      <c r="G34" s="1">
        <v>13279.410376411721</v>
      </c>
      <c r="H34" s="1">
        <v>13648.610789858039</v>
      </c>
    </row>
    <row r="35" spans="1:8" ht="19" customHeight="1" x14ac:dyDescent="0.3">
      <c r="A35">
        <v>290</v>
      </c>
      <c r="B35" s="1">
        <v>4773.8045359302369</v>
      </c>
      <c r="C35" s="1">
        <v>0</v>
      </c>
      <c r="D35" s="1">
        <v>3492.032286121103</v>
      </c>
      <c r="E35" s="1">
        <v>404.73142662257129</v>
      </c>
      <c r="F35" s="1">
        <v>19040.130572421429</v>
      </c>
      <c r="G35" s="1">
        <v>13308.853923724981</v>
      </c>
      <c r="H35" s="1">
        <v>13673.24118444645</v>
      </c>
    </row>
    <row r="36" spans="1:8" ht="19" customHeight="1" x14ac:dyDescent="0.3">
      <c r="A36">
        <v>300</v>
      </c>
      <c r="B36" s="1">
        <v>4766.944860248238</v>
      </c>
      <c r="C36" s="1">
        <v>0</v>
      </c>
      <c r="D36" s="1">
        <v>3502.0275341534511</v>
      </c>
      <c r="E36" s="1">
        <v>405.52595488264097</v>
      </c>
      <c r="F36" s="1">
        <v>19093.148156342741</v>
      </c>
      <c r="G36" s="1">
        <v>13337.694198482201</v>
      </c>
      <c r="H36" s="1">
        <v>13697.369460360531</v>
      </c>
    </row>
    <row r="37" spans="1:8" ht="19" customHeight="1" x14ac:dyDescent="0.3">
      <c r="A37">
        <v>310</v>
      </c>
      <c r="B37" s="1">
        <v>4760.2517649004121</v>
      </c>
      <c r="C37" s="1">
        <v>0</v>
      </c>
      <c r="D37" s="1">
        <v>3511.8212225420139</v>
      </c>
      <c r="E37" s="1">
        <v>406.30427222904092</v>
      </c>
      <c r="F37" s="1">
        <v>19145.085012686061</v>
      </c>
      <c r="G37" s="1">
        <v>13365.94473657963</v>
      </c>
      <c r="H37" s="1">
        <v>13721.006745356421</v>
      </c>
    </row>
    <row r="38" spans="1:8" ht="19" customHeight="1" x14ac:dyDescent="0.3">
      <c r="A38">
        <v>320</v>
      </c>
      <c r="B38" s="1">
        <v>4753.7203468758644</v>
      </c>
      <c r="C38" s="1">
        <v>0</v>
      </c>
      <c r="D38" s="1">
        <v>3521.4177561945471</v>
      </c>
      <c r="E38" s="1">
        <v>407.06673900264451</v>
      </c>
      <c r="F38" s="1">
        <v>19195.965164176301</v>
      </c>
      <c r="G38" s="1">
        <v>13393.6187181404</v>
      </c>
      <c r="H38" s="1">
        <v>13744.1638820359</v>
      </c>
    </row>
    <row r="39" spans="1:8" ht="19" customHeight="1" x14ac:dyDescent="0.3">
      <c r="A39">
        <v>330</v>
      </c>
      <c r="B39" s="1">
        <v>4747.3458859756911</v>
      </c>
      <c r="C39" s="1">
        <v>0</v>
      </c>
      <c r="D39" s="1">
        <v>3530.8214286927641</v>
      </c>
      <c r="E39" s="1">
        <v>407.81370624177248</v>
      </c>
      <c r="F39" s="1">
        <v>19245.812013368159</v>
      </c>
      <c r="G39" s="1">
        <v>13420.7289792544</v>
      </c>
      <c r="H39" s="1">
        <v>13766.85143686377</v>
      </c>
    </row>
    <row r="40" spans="1:8" ht="19" customHeight="1" x14ac:dyDescent="0.3">
      <c r="A40">
        <v>340</v>
      </c>
      <c r="B40" s="1">
        <v>4741.1238362204813</v>
      </c>
      <c r="C40" s="1">
        <v>0</v>
      </c>
      <c r="D40" s="1">
        <v>3540.0364258006571</v>
      </c>
      <c r="E40" s="1">
        <v>408.54551598057549</v>
      </c>
      <c r="F40" s="1">
        <v>19294.64836253837</v>
      </c>
      <c r="G40" s="1">
        <v>13447.28802321683</v>
      </c>
      <c r="H40" s="1">
        <v>13789.07970882154</v>
      </c>
    </row>
    <row r="41" spans="1:8" ht="19" customHeight="1" x14ac:dyDescent="0.3">
      <c r="A41">
        <v>350</v>
      </c>
      <c r="B41" s="1">
        <v>4735.0498177483696</v>
      </c>
      <c r="C41" s="1">
        <v>0</v>
      </c>
      <c r="D41" s="1">
        <v>3549.0668288292318</v>
      </c>
      <c r="E41" s="1">
        <v>409.26250153512512</v>
      </c>
      <c r="F41" s="1">
        <v>19342.49643275834</v>
      </c>
      <c r="G41" s="1">
        <v>13473.30803129281</v>
      </c>
      <c r="H41" s="1">
        <v>13810.85873771554</v>
      </c>
    </row>
    <row r="42" spans="1:8" ht="19" customHeight="1" x14ac:dyDescent="0.3">
      <c r="A42">
        <v>360</v>
      </c>
      <c r="B42" s="1">
        <v>4729.1196091716974</v>
      </c>
      <c r="C42" s="1">
        <v>0</v>
      </c>
      <c r="D42" s="1">
        <v>3557.9166178651381</v>
      </c>
      <c r="E42" s="1">
        <v>409.96498777785058</v>
      </c>
      <c r="F42" s="1">
        <v>19389.377882190041</v>
      </c>
      <c r="G42" s="1">
        <v>13498.80087303308</v>
      </c>
      <c r="H42" s="1">
        <v>13832.198312156959</v>
      </c>
    </row>
    <row r="43" spans="1:8" ht="19" customHeight="1" x14ac:dyDescent="0.3">
      <c r="A43">
        <v>370</v>
      </c>
      <c r="B43" s="1">
        <v>4723.3291403617286</v>
      </c>
      <c r="C43" s="1">
        <v>0</v>
      </c>
      <c r="D43" s="1">
        <v>3566.5896748702098</v>
      </c>
      <c r="E43" s="1">
        <v>410.65329140092177</v>
      </c>
      <c r="F43" s="1">
        <v>19435.313823644781</v>
      </c>
      <c r="G43" s="1">
        <v>13523.778116164591</v>
      </c>
      <c r="H43" s="1">
        <v>13853.1079772302</v>
      </c>
    </row>
    <row r="44" spans="1:8" ht="19" customHeight="1" x14ac:dyDescent="0.3">
      <c r="A44">
        <v>380</v>
      </c>
      <c r="B44" s="1">
        <v>4717.6744872878153</v>
      </c>
      <c r="C44" s="1">
        <v>0</v>
      </c>
      <c r="D44" s="1">
        <v>3575.0897866587202</v>
      </c>
      <c r="E44" s="1">
        <v>411.32772116923729</v>
      </c>
      <c r="F44" s="1">
        <v>19480.324841449161</v>
      </c>
      <c r="G44" s="1">
        <v>13548.251035943271</v>
      </c>
      <c r="H44" s="1">
        <v>13873.597042005889</v>
      </c>
    </row>
    <row r="45" spans="1:8" ht="19" customHeight="1" x14ac:dyDescent="0.3">
      <c r="A45">
        <v>390</v>
      </c>
      <c r="B45" s="1">
        <v>4712.1520107641691</v>
      </c>
      <c r="C45" s="1">
        <v>0</v>
      </c>
      <c r="D45" s="1">
        <v>3583.4206477962762</v>
      </c>
      <c r="E45" s="1">
        <v>411.98857817344771</v>
      </c>
      <c r="F45" s="1">
        <v>19524.431008313179</v>
      </c>
      <c r="G45" s="1">
        <v>13572.2306124857</v>
      </c>
      <c r="H45" s="1">
        <v>13893.67459907748</v>
      </c>
    </row>
    <row r="46" spans="1:8" ht="19" customHeight="1" x14ac:dyDescent="0.3">
      <c r="A46">
        <v>400</v>
      </c>
      <c r="B46" s="1">
        <v>4706.7580398550854</v>
      </c>
      <c r="C46" s="1">
        <v>0</v>
      </c>
      <c r="D46" s="1">
        <v>3591.5858649812062</v>
      </c>
      <c r="E46" s="1">
        <v>412.63615617794932</v>
      </c>
      <c r="F46" s="1">
        <v>19567.651908529951</v>
      </c>
      <c r="G46" s="1">
        <v>13595.72756953452</v>
      </c>
      <c r="H46" s="1">
        <v>13913.34950899543</v>
      </c>
    </row>
    <row r="47" spans="1:8" ht="19" customHeight="1" x14ac:dyDescent="0.3">
      <c r="A47">
        <v>410</v>
      </c>
      <c r="B47" s="1">
        <v>4701.488806590718</v>
      </c>
      <c r="C47" s="1">
        <v>0</v>
      </c>
      <c r="D47" s="1">
        <v>3599.5889577959092</v>
      </c>
      <c r="E47" s="1">
        <v>413.27074169175802</v>
      </c>
      <c r="F47" s="1">
        <v>19610.00664270054</v>
      </c>
      <c r="G47" s="1">
        <v>13618.7523823669</v>
      </c>
      <c r="H47" s="1">
        <v>13932.630397083631</v>
      </c>
    </row>
    <row r="48" spans="1:8" ht="19" customHeight="1" x14ac:dyDescent="0.3">
      <c r="A48">
        <v>420</v>
      </c>
      <c r="B48" s="1">
        <v>4696.3409185787214</v>
      </c>
      <c r="C48" s="1">
        <v>0</v>
      </c>
      <c r="D48" s="1">
        <v>3607.4333587762289</v>
      </c>
      <c r="E48" s="1">
        <v>413.89261401117238</v>
      </c>
      <c r="F48" s="1">
        <v>19651.513830578158</v>
      </c>
      <c r="G48" s="1">
        <v>13641.315239750091</v>
      </c>
      <c r="H48" s="1">
        <v>13951.525694328069</v>
      </c>
    </row>
    <row r="49" spans="1:8" ht="19" customHeight="1" x14ac:dyDescent="0.3">
      <c r="A49">
        <v>430</v>
      </c>
      <c r="B49" s="1">
        <v>4691.3110972622426</v>
      </c>
      <c r="C49" s="1">
        <v>0</v>
      </c>
      <c r="D49" s="1">
        <v>3615.1224187643961</v>
      </c>
      <c r="E49" s="1">
        <v>414.50204564571709</v>
      </c>
      <c r="F49" s="1">
        <v>19692.191639464469</v>
      </c>
      <c r="G49" s="1">
        <v>13663.42608090561</v>
      </c>
      <c r="H49" s="1">
        <v>13970.04362880886</v>
      </c>
    </row>
    <row r="50" spans="1:8" ht="19" customHeight="1" x14ac:dyDescent="0.3">
      <c r="A50">
        <v>440</v>
      </c>
      <c r="B50" s="1">
        <v>4686.3961731475929</v>
      </c>
      <c r="C50" s="1">
        <v>0</v>
      </c>
      <c r="D50" s="1">
        <v>3622.6594092465002</v>
      </c>
      <c r="E50" s="1">
        <v>415.09930251636769</v>
      </c>
      <c r="F50" s="1">
        <v>19732.057797424521</v>
      </c>
      <c r="G50" s="1">
        <v>13685.09460289995</v>
      </c>
      <c r="H50" s="1">
        <v>13988.192231524559</v>
      </c>
    </row>
    <row r="51" spans="1:8" ht="19" customHeight="1" x14ac:dyDescent="0.3">
      <c r="A51">
        <v>450</v>
      </c>
      <c r="B51" s="1">
        <v>4681.5930812768847</v>
      </c>
      <c r="C51" s="1">
        <v>0</v>
      </c>
      <c r="D51" s="1">
        <v>3630.0475246053102</v>
      </c>
      <c r="E51" s="1">
        <v>415.68464414651072</v>
      </c>
      <c r="F51" s="1">
        <v>19771.129606017381</v>
      </c>
      <c r="G51" s="1">
        <v>13706.330267759</v>
      </c>
      <c r="H51" s="1">
        <v>14005.979342008381</v>
      </c>
    </row>
    <row r="52" spans="1:8" ht="19" customHeight="1" x14ac:dyDescent="0.3">
      <c r="A52">
        <v>460</v>
      </c>
      <c r="B52" s="1">
        <v>4676.898856930854</v>
      </c>
      <c r="C52" s="1">
        <v>0</v>
      </c>
      <c r="D52" s="1">
        <v>3637.2898842923182</v>
      </c>
      <c r="E52" s="1">
        <v>416.25832384597601</v>
      </c>
      <c r="F52" s="1">
        <v>19809.423952565059</v>
      </c>
      <c r="G52" s="1">
        <v>13727.14230931923</v>
      </c>
      <c r="H52" s="1">
        <v>14023.412613745841</v>
      </c>
    </row>
    <row r="53" spans="1:8" ht="19" customHeight="1" x14ac:dyDescent="0.3">
      <c r="A53">
        <v>470</v>
      </c>
      <c r="B53" s="1">
        <v>4672.3106315468249</v>
      </c>
      <c r="C53" s="1">
        <v>0</v>
      </c>
      <c r="D53" s="1">
        <v>3644.3895349227118</v>
      </c>
      <c r="E53" s="1">
        <v>416.82058888845631</v>
      </c>
      <c r="F53" s="1">
        <v>19846.957321980419</v>
      </c>
      <c r="G53" s="1">
        <v>13747.53973982794</v>
      </c>
      <c r="H53" s="1">
        <v>14040.49951940248</v>
      </c>
    </row>
    <row r="54" spans="1:8" ht="19" customHeight="1" x14ac:dyDescent="0.3">
      <c r="A54">
        <v>480</v>
      </c>
      <c r="B54" s="1">
        <v>4667.8256288400662</v>
      </c>
      <c r="C54" s="1">
        <v>0</v>
      </c>
      <c r="D54" s="1">
        <v>3651.3494522967221</v>
      </c>
      <c r="E54" s="1">
        <v>417.37168068261292</v>
      </c>
      <c r="F54" s="1">
        <v>19883.745808174201</v>
      </c>
      <c r="G54" s="1">
        <v>13767.531356304249</v>
      </c>
      <c r="H54" s="1">
        <v>14057.247355869949</v>
      </c>
    </row>
    <row r="55" spans="1:8" ht="19" customHeight="1" x14ac:dyDescent="0.3">
      <c r="A55">
        <v>490</v>
      </c>
      <c r="B55" s="1">
        <v>4663.4411611165669</v>
      </c>
      <c r="C55" s="1">
        <v>0</v>
      </c>
      <c r="D55" s="1">
        <v>3658.1725433506381</v>
      </c>
      <c r="E55" s="1">
        <v>417.91183493714669</v>
      </c>
      <c r="F55" s="1">
        <v>19919.805125059789</v>
      </c>
      <c r="G55" s="1">
        <v>13787.12574667148</v>
      </c>
      <c r="H55" s="1">
        <v>14073.66324913831</v>
      </c>
    </row>
    <row r="56" spans="1:8" ht="19" customHeight="1" x14ac:dyDescent="0.3">
      <c r="A56">
        <v>500</v>
      </c>
      <c r="B56" s="1">
        <v>4659.1546257657501</v>
      </c>
      <c r="C56" s="1">
        <v>0</v>
      </c>
      <c r="D56" s="1">
        <v>3664.8616480405981</v>
      </c>
      <c r="E56" s="1">
        <v>418.44128182010468</v>
      </c>
      <c r="F56" s="1">
        <v>19955.15061717364</v>
      </c>
      <c r="G56" s="1">
        <v>13806.33129567146</v>
      </c>
      <c r="H56" s="1">
        <v>14089.754159002179</v>
      </c>
    </row>
    <row r="57" spans="1:8" ht="19" customHeight="1" x14ac:dyDescent="0.3">
      <c r="A57">
        <v>510</v>
      </c>
      <c r="B57" s="1">
        <v>4654.963501922477</v>
      </c>
      <c r="C57" s="1">
        <v>0</v>
      </c>
      <c r="D57" s="1">
        <v>3671.4195411620708</v>
      </c>
      <c r="E57" s="1">
        <v>418.96024611267052</v>
      </c>
      <c r="F57" s="1">
        <v>19989.79726992804</v>
      </c>
      <c r="G57" s="1">
        <v>13825.15619057046</v>
      </c>
      <c r="H57" s="1">
        <v>14105.52688360757</v>
      </c>
    </row>
    <row r="58" spans="1:8" ht="19" customHeight="1" x14ac:dyDescent="0.3">
      <c r="A58">
        <v>520</v>
      </c>
      <c r="B58" s="1">
        <v>4650.8646975276306</v>
      </c>
      <c r="C58" s="1">
        <v>0</v>
      </c>
      <c r="D58" s="1">
        <v>4483.5859314171048</v>
      </c>
      <c r="E58" s="1">
        <v>467.32207226052509</v>
      </c>
      <c r="F58" s="1">
        <v>23213.96804636834</v>
      </c>
      <c r="G58" s="1">
        <v>13896.50447049817</v>
      </c>
      <c r="H58" s="1">
        <v>17258.300346870172</v>
      </c>
    </row>
    <row r="59" spans="1:8" ht="19" customHeight="1" x14ac:dyDescent="0.3">
      <c r="A59">
        <v>530</v>
      </c>
      <c r="B59" s="1">
        <v>4653.0417104040007</v>
      </c>
      <c r="C59" s="1">
        <v>0</v>
      </c>
      <c r="D59" s="1">
        <v>4479.4236615356222</v>
      </c>
      <c r="E59" s="1">
        <v>467.00898962266541</v>
      </c>
      <c r="F59" s="1">
        <v>23193.144903761029</v>
      </c>
      <c r="G59" s="1">
        <v>13886.65179108365</v>
      </c>
      <c r="H59" s="1">
        <v>17247.280850427371</v>
      </c>
    </row>
    <row r="60" spans="1:8" ht="19" customHeight="1" x14ac:dyDescent="0.3">
      <c r="A60">
        <v>540</v>
      </c>
      <c r="B60" s="1">
        <v>4655.1735800097213</v>
      </c>
      <c r="C60" s="1">
        <v>0</v>
      </c>
      <c r="D60" s="1">
        <v>4475.3535692534078</v>
      </c>
      <c r="E60" s="1">
        <v>466.70279579337449</v>
      </c>
      <c r="F60" s="1">
        <v>23172.781015058299</v>
      </c>
      <c r="G60" s="1">
        <v>13877.015821114161</v>
      </c>
      <c r="H60" s="1">
        <v>17236.503898444149</v>
      </c>
    </row>
    <row r="61" spans="1:8" ht="19" customHeight="1" x14ac:dyDescent="0.3">
      <c r="A61">
        <v>550</v>
      </c>
      <c r="B61" s="1">
        <v>4657.2645453607329</v>
      </c>
      <c r="C61" s="1">
        <v>0</v>
      </c>
      <c r="D61" s="1">
        <v>4471.3736611050099</v>
      </c>
      <c r="E61" s="1">
        <v>466.40334327436841</v>
      </c>
      <c r="F61" s="1">
        <v>23152.866547041231</v>
      </c>
      <c r="G61" s="1">
        <v>13867.591640737641</v>
      </c>
      <c r="H61" s="1">
        <v>17225.96457755359</v>
      </c>
    </row>
    <row r="62" spans="1:8" ht="19" customHeight="1" x14ac:dyDescent="0.3">
      <c r="A62">
        <v>560</v>
      </c>
      <c r="B62" s="1">
        <v>4659.3107231501199</v>
      </c>
      <c r="C62" s="1">
        <v>0</v>
      </c>
      <c r="D62" s="1">
        <v>4467.4820305497879</v>
      </c>
      <c r="E62" s="1">
        <v>466.11049054444987</v>
      </c>
      <c r="F62" s="1">
        <v>23133.392064963329</v>
      </c>
      <c r="G62" s="1">
        <v>13858.37519422144</v>
      </c>
      <c r="H62" s="1">
        <v>17215.65750874189</v>
      </c>
    </row>
    <row r="63" spans="1:8" ht="19" customHeight="1" x14ac:dyDescent="0.3">
      <c r="A63">
        <v>570</v>
      </c>
      <c r="B63" s="1">
        <v>0</v>
      </c>
      <c r="C63" s="1">
        <v>8468.7908938822402</v>
      </c>
      <c r="D63" s="1">
        <v>4461.4792262290448</v>
      </c>
      <c r="E63" s="1">
        <v>464.88230017360661</v>
      </c>
      <c r="F63" s="1">
        <v>23051.561740157111</v>
      </c>
      <c r="G63" s="1">
        <v>14918.161177732811</v>
      </c>
      <c r="H63" s="1">
        <v>16073.9921671743</v>
      </c>
    </row>
    <row r="64" spans="1:8" ht="19" customHeight="1" x14ac:dyDescent="0.3">
      <c r="A64">
        <v>580</v>
      </c>
      <c r="B64" s="1">
        <v>0</v>
      </c>
      <c r="C64" s="1">
        <v>23999.966571291588</v>
      </c>
      <c r="D64" s="1">
        <v>4272.8965301405669</v>
      </c>
      <c r="E64" s="1">
        <v>449.7554095341427</v>
      </c>
      <c r="F64" s="1">
        <v>22043.151397442842</v>
      </c>
      <c r="G64" s="1">
        <v>15749.78486764686</v>
      </c>
      <c r="H64" s="1">
        <v>14233.90910129598</v>
      </c>
    </row>
    <row r="65" spans="1:8" ht="19" customHeight="1" x14ac:dyDescent="0.3">
      <c r="A65">
        <v>590</v>
      </c>
      <c r="B65" s="1">
        <v>0</v>
      </c>
      <c r="C65" s="1">
        <v>23999.974153357001</v>
      </c>
      <c r="D65" s="1">
        <v>3874.4097257096669</v>
      </c>
      <c r="E65" s="1">
        <v>419.84229795329742</v>
      </c>
      <c r="F65" s="1">
        <v>20048.992991969819</v>
      </c>
      <c r="G65" s="1">
        <v>14825.74268464683</v>
      </c>
      <c r="H65" s="1">
        <v>13163.74384557299</v>
      </c>
    </row>
    <row r="66" spans="1:8" ht="19" customHeight="1" x14ac:dyDescent="0.3">
      <c r="A66">
        <v>600</v>
      </c>
      <c r="B66" s="1">
        <v>0</v>
      </c>
      <c r="C66" s="1">
        <v>23999.980633570951</v>
      </c>
      <c r="D66" s="1">
        <v>3481.1296458529109</v>
      </c>
      <c r="E66" s="1">
        <v>390.0604822444738</v>
      </c>
      <c r="F66" s="1">
        <v>18063.587644631589</v>
      </c>
      <c r="G66" s="1">
        <v>13906.998054264401</v>
      </c>
      <c r="H66" s="1">
        <v>12097.034095367189</v>
      </c>
    </row>
    <row r="67" spans="1:8" ht="19" customHeight="1" x14ac:dyDescent="0.3">
      <c r="A67">
        <v>610</v>
      </c>
      <c r="B67" s="1">
        <v>0</v>
      </c>
      <c r="C67" s="1">
        <v>23999.986100246639</v>
      </c>
      <c r="D67" s="1">
        <v>3093.1007054114439</v>
      </c>
      <c r="E67" s="1">
        <v>360.45514619676879</v>
      </c>
      <c r="F67" s="1">
        <v>16089.94760803459</v>
      </c>
      <c r="G67" s="1">
        <v>12994.746522986299</v>
      </c>
      <c r="H67" s="1">
        <v>11035.596556798289</v>
      </c>
    </row>
    <row r="68" spans="1:8" ht="19" customHeight="1" x14ac:dyDescent="0.3">
      <c r="A68">
        <v>620</v>
      </c>
      <c r="B68" s="1">
        <v>0</v>
      </c>
      <c r="C68" s="1">
        <v>23999.990641559762</v>
      </c>
      <c r="D68" s="1">
        <v>2710.342622586988</v>
      </c>
      <c r="E68" s="1">
        <v>331.0613296799329</v>
      </c>
      <c r="F68" s="1">
        <v>14130.408873495529</v>
      </c>
      <c r="G68" s="1">
        <v>12089.90994599551</v>
      </c>
      <c r="H68" s="1">
        <v>9980.8453660000196</v>
      </c>
    </row>
    <row r="69" spans="1:8" ht="19" customHeight="1" x14ac:dyDescent="0.3">
      <c r="A69">
        <v>630</v>
      </c>
      <c r="B69" s="1">
        <v>0</v>
      </c>
      <c r="C69" s="1">
        <v>23999.99434266278</v>
      </c>
      <c r="D69" s="1">
        <v>2332.8584474242689</v>
      </c>
      <c r="E69" s="1">
        <v>301.907198555923</v>
      </c>
      <c r="F69" s="1">
        <v>12186.849165144869</v>
      </c>
      <c r="G69" s="1">
        <v>11193.22473606866</v>
      </c>
      <c r="H69" s="1">
        <v>8933.921834326211</v>
      </c>
    </row>
    <row r="70" spans="1:8" ht="19" customHeight="1" x14ac:dyDescent="0.3">
      <c r="A70">
        <v>640</v>
      </c>
      <c r="B70" s="1">
        <v>0</v>
      </c>
      <c r="C70" s="1">
        <v>23999.997283435059</v>
      </c>
      <c r="D70" s="1">
        <v>1960.6400069466929</v>
      </c>
      <c r="E70" s="1">
        <v>273.01626283616338</v>
      </c>
      <c r="F70" s="1">
        <v>10260.835817077559</v>
      </c>
      <c r="G70" s="1">
        <v>10305.30172717039</v>
      </c>
      <c r="H70" s="1">
        <v>7895.7824619071744</v>
      </c>
    </row>
    <row r="71" spans="1:8" ht="19" customHeight="1" x14ac:dyDescent="0.3">
      <c r="A71">
        <v>650</v>
      </c>
      <c r="B71" s="1">
        <v>1822.138013040241</v>
      </c>
      <c r="C71" s="1">
        <v>0</v>
      </c>
      <c r="D71" s="1">
        <v>1594.8398310797941</v>
      </c>
      <c r="E71" s="1">
        <v>251.7983205246405</v>
      </c>
      <c r="F71" s="1">
        <v>8369.2041152698075</v>
      </c>
      <c r="G71" s="1">
        <v>7495.6783934765581</v>
      </c>
      <c r="H71" s="1">
        <v>9290.8763081661418</v>
      </c>
    </row>
    <row r="72" spans="1:8" ht="19" customHeight="1" x14ac:dyDescent="0.3">
      <c r="A72">
        <v>660</v>
      </c>
      <c r="B72" s="1">
        <v>1821.5817797380651</v>
      </c>
      <c r="C72" s="1">
        <v>0</v>
      </c>
      <c r="D72" s="1">
        <v>1594.4966331586029</v>
      </c>
      <c r="E72" s="1">
        <v>251.76924322850519</v>
      </c>
      <c r="F72" s="1">
        <v>8367.4207596351989</v>
      </c>
      <c r="G72" s="1">
        <v>7494.8337262200621</v>
      </c>
      <c r="H72" s="1">
        <v>9289.7824890136162</v>
      </c>
    </row>
    <row r="73" spans="1:8" ht="19" customHeight="1" x14ac:dyDescent="0.3">
      <c r="A73">
        <v>670</v>
      </c>
      <c r="B73" s="1">
        <v>1821.0258539533229</v>
      </c>
      <c r="C73" s="1">
        <v>0</v>
      </c>
      <c r="D73" s="1">
        <v>1594.1508561550579</v>
      </c>
      <c r="E73" s="1">
        <v>251.7399532064953</v>
      </c>
      <c r="F73" s="1">
        <v>8365.6239961425581</v>
      </c>
      <c r="G73" s="1">
        <v>7493.9825116265347</v>
      </c>
      <c r="H73" s="1">
        <v>9288.6810354731515</v>
      </c>
    </row>
    <row r="74" spans="1:8" ht="19" customHeight="1" x14ac:dyDescent="0.3">
      <c r="A74">
        <v>680</v>
      </c>
      <c r="B74" s="1">
        <v>1820.467245666516</v>
      </c>
      <c r="C74" s="1">
        <v>0</v>
      </c>
      <c r="D74" s="1">
        <v>1593.802543328351</v>
      </c>
      <c r="E74" s="1">
        <v>251.71045398100159</v>
      </c>
      <c r="F74" s="1">
        <v>8363.8140465643028</v>
      </c>
      <c r="G74" s="1">
        <v>7493.1251070555372</v>
      </c>
      <c r="H74" s="1">
        <v>9287.5718250112313</v>
      </c>
    </row>
    <row r="75" spans="1:8" ht="19" customHeight="1" x14ac:dyDescent="0.3">
      <c r="A75">
        <v>690</v>
      </c>
      <c r="B75" s="1">
        <v>1819.912027584684</v>
      </c>
      <c r="C75" s="1">
        <v>0</v>
      </c>
      <c r="D75" s="1">
        <v>1593.451695754718</v>
      </c>
      <c r="E75" s="1">
        <v>251.68074571938749</v>
      </c>
      <c r="F75" s="1">
        <v>8361.9909217900531</v>
      </c>
      <c r="G75" s="1">
        <v>7492.2610112128168</v>
      </c>
      <c r="H75" s="1">
        <v>9286.4553700796823</v>
      </c>
    </row>
    <row r="76" spans="1:8" ht="19" customHeight="1" x14ac:dyDescent="0.3">
      <c r="A76">
        <v>700</v>
      </c>
      <c r="B76" s="1">
        <v>1819.354219649674</v>
      </c>
      <c r="C76" s="1">
        <v>0</v>
      </c>
      <c r="D76" s="1">
        <v>1593.0983990858449</v>
      </c>
      <c r="E76" s="1">
        <v>251.65083539832781</v>
      </c>
      <c r="F76" s="1">
        <v>8360.1550611013226</v>
      </c>
      <c r="G76" s="1">
        <v>7491.3909367204906</v>
      </c>
      <c r="H76" s="1">
        <v>9285.3314231680288</v>
      </c>
    </row>
    <row r="77" spans="1:8" ht="19" customHeight="1" x14ac:dyDescent="0.3">
      <c r="A77">
        <v>710</v>
      </c>
      <c r="B77" s="1">
        <v>1818.7968581249429</v>
      </c>
      <c r="C77" s="1">
        <v>0</v>
      </c>
      <c r="D77" s="1">
        <v>1592.742654263445</v>
      </c>
      <c r="E77" s="1">
        <v>251.62072313322309</v>
      </c>
      <c r="F77" s="1">
        <v>8358.3064719288395</v>
      </c>
      <c r="G77" s="1">
        <v>7490.5146339162911</v>
      </c>
      <c r="H77" s="1">
        <v>9284.2002416319119</v>
      </c>
    </row>
    <row r="78" spans="1:8" ht="19" customHeight="1" x14ac:dyDescent="0.3">
      <c r="A78">
        <v>720</v>
      </c>
      <c r="B78" s="1">
        <v>1818.241506203545</v>
      </c>
      <c r="C78" s="1">
        <v>0</v>
      </c>
      <c r="D78" s="1">
        <v>1592.384504687888</v>
      </c>
      <c r="E78" s="1">
        <v>251.5904125195992</v>
      </c>
      <c r="F78" s="1">
        <v>8356.4453809328043</v>
      </c>
      <c r="G78" s="1">
        <v>7489.6320826849078</v>
      </c>
      <c r="H78" s="1">
        <v>9283.0620852883676</v>
      </c>
    </row>
    <row r="79" spans="1:8" ht="19" customHeight="1" x14ac:dyDescent="0.3">
      <c r="A79">
        <v>730</v>
      </c>
      <c r="B79" s="1">
        <v>1817.682163563049</v>
      </c>
      <c r="C79" s="1">
        <v>0</v>
      </c>
      <c r="D79" s="1">
        <v>1592.0240147040311</v>
      </c>
      <c r="E79" s="1">
        <v>251.55990877773939</v>
      </c>
      <c r="F79" s="1">
        <v>8354.5721167071442</v>
      </c>
      <c r="G79" s="1">
        <v>7488.7439434869921</v>
      </c>
      <c r="H79" s="1">
        <v>9281.9166416956341</v>
      </c>
    </row>
    <row r="80" spans="1:8" ht="19" customHeight="1" x14ac:dyDescent="0.3">
      <c r="A80">
        <v>740</v>
      </c>
      <c r="B80" s="1">
        <v>1817.126393836013</v>
      </c>
      <c r="C80" s="1">
        <v>0</v>
      </c>
      <c r="D80" s="1">
        <v>1591.661164160761</v>
      </c>
      <c r="E80" s="1">
        <v>251.52921034525599</v>
      </c>
      <c r="F80" s="1">
        <v>8352.6865812233864</v>
      </c>
      <c r="G80" s="1">
        <v>7487.8495376585397</v>
      </c>
      <c r="H80" s="1">
        <v>9280.7644853585261</v>
      </c>
    </row>
    <row r="81" spans="1:8" ht="19" customHeight="1" x14ac:dyDescent="0.3">
      <c r="A81">
        <v>750</v>
      </c>
      <c r="B81" s="1">
        <v>1816.569737132528</v>
      </c>
      <c r="C81" s="1">
        <v>0</v>
      </c>
      <c r="D81" s="1">
        <v>1591.296038693037</v>
      </c>
      <c r="E81" s="1">
        <v>251.4983242183072</v>
      </c>
      <c r="F81" s="1">
        <v>8350.789215086781</v>
      </c>
      <c r="G81" s="1">
        <v>7486.9494516427812</v>
      </c>
      <c r="H81" s="1">
        <v>9279.6054962443632</v>
      </c>
    </row>
    <row r="82" spans="1:8" ht="19" customHeight="1" x14ac:dyDescent="0.3">
      <c r="A82">
        <v>760</v>
      </c>
      <c r="B82" s="1">
        <v>1816.010700370927</v>
      </c>
      <c r="C82" s="1">
        <v>0</v>
      </c>
      <c r="D82" s="1">
        <v>1590.9286602813061</v>
      </c>
      <c r="E82" s="1">
        <v>251.4672521857641</v>
      </c>
      <c r="F82" s="1">
        <v>8348.8801309173905</v>
      </c>
      <c r="G82" s="1">
        <v>7486.0438648111258</v>
      </c>
      <c r="H82" s="1">
        <v>9278.4396142398164</v>
      </c>
    </row>
    <row r="83" spans="1:8" ht="19" customHeight="1" x14ac:dyDescent="0.3">
      <c r="A83">
        <v>770</v>
      </c>
      <c r="B83" s="1">
        <v>1815.4553502582989</v>
      </c>
      <c r="C83" s="1">
        <v>0</v>
      </c>
      <c r="D83" s="1">
        <v>1590.5590299526571</v>
      </c>
      <c r="E83" s="1">
        <v>251.435994410886</v>
      </c>
      <c r="F83" s="1">
        <v>8346.9593393474497</v>
      </c>
      <c r="G83" s="1">
        <v>7485.132276243995</v>
      </c>
      <c r="H83" s="1">
        <v>9277.2673511484063</v>
      </c>
    </row>
    <row r="84" spans="1:8" ht="19" customHeight="1" x14ac:dyDescent="0.3">
      <c r="A84">
        <v>780</v>
      </c>
      <c r="B84" s="1">
        <v>1814.8977122600741</v>
      </c>
      <c r="C84" s="1">
        <v>0</v>
      </c>
      <c r="D84" s="1">
        <v>1590.187233232476</v>
      </c>
      <c r="E84" s="1">
        <v>251.40455786068739</v>
      </c>
      <c r="F84" s="1">
        <v>8345.0272790557356</v>
      </c>
      <c r="G84" s="1">
        <v>7484.215397804317</v>
      </c>
      <c r="H84" s="1">
        <v>9276.0884595748448</v>
      </c>
    </row>
    <row r="85" spans="1:8" ht="19" customHeight="1" x14ac:dyDescent="0.3">
      <c r="A85">
        <v>790</v>
      </c>
      <c r="B85" s="1">
        <v>1814.342335530431</v>
      </c>
      <c r="C85" s="1">
        <v>0</v>
      </c>
      <c r="D85" s="1">
        <v>1589.813271068703</v>
      </c>
      <c r="E85" s="1">
        <v>251.37294267154431</v>
      </c>
      <c r="F85" s="1">
        <v>8343.0839588887902</v>
      </c>
      <c r="G85" s="1">
        <v>7483.2928543048338</v>
      </c>
      <c r="H85" s="1">
        <v>9274.9033237981203</v>
      </c>
    </row>
    <row r="86" spans="1:8" ht="19" customHeight="1" x14ac:dyDescent="0.3">
      <c r="A86">
        <v>800</v>
      </c>
      <c r="B86" s="1">
        <v>1813.783224711719</v>
      </c>
      <c r="C86" s="1">
        <v>0</v>
      </c>
      <c r="D86" s="1">
        <v>1589.437207710213</v>
      </c>
      <c r="E86" s="1">
        <v>251.3411540564345</v>
      </c>
      <c r="F86" s="1">
        <v>8341.1297069849097</v>
      </c>
      <c r="G86" s="1">
        <v>7482.3653055662562</v>
      </c>
      <c r="H86" s="1">
        <v>9273.7116315293752</v>
      </c>
    </row>
    <row r="87" spans="1:8" ht="19" customHeight="1" x14ac:dyDescent="0.3">
      <c r="A87">
        <v>810</v>
      </c>
      <c r="B87" s="1">
        <v>1813.2279367863789</v>
      </c>
      <c r="C87" s="1">
        <v>0</v>
      </c>
      <c r="D87" s="1">
        <v>1589.0590229753441</v>
      </c>
      <c r="E87" s="1">
        <v>251.3091904502968</v>
      </c>
      <c r="F87" s="1">
        <v>8339.1644251474681</v>
      </c>
      <c r="G87" s="1">
        <v>7481.4320733976792</v>
      </c>
      <c r="H87" s="1">
        <v>9272.513956622106</v>
      </c>
    </row>
    <row r="88" spans="1:8" ht="19" customHeight="1" x14ac:dyDescent="0.3">
      <c r="A88">
        <v>820</v>
      </c>
      <c r="B88" s="1">
        <v>1812.672015517855</v>
      </c>
      <c r="C88" s="1">
        <v>0</v>
      </c>
      <c r="D88" s="1">
        <v>1588.678802382261</v>
      </c>
      <c r="E88" s="1">
        <v>251.27705884029339</v>
      </c>
      <c r="F88" s="1">
        <v>8337.1885534199064</v>
      </c>
      <c r="G88" s="1">
        <v>7480.4937436598584</v>
      </c>
      <c r="H88" s="1">
        <v>9271.3101790263718</v>
      </c>
    </row>
    <row r="89" spans="1:8" ht="19" customHeight="1" x14ac:dyDescent="0.3">
      <c r="A89">
        <v>830</v>
      </c>
      <c r="B89" s="1">
        <v>1812.113968983708</v>
      </c>
      <c r="C89" s="1">
        <v>0</v>
      </c>
      <c r="D89" s="1">
        <v>1588.2965678441631</v>
      </c>
      <c r="E89" s="1">
        <v>251.24476101008119</v>
      </c>
      <c r="F89" s="1">
        <v>8335.2022040966749</v>
      </c>
      <c r="G89" s="1">
        <v>7479.5504954666048</v>
      </c>
      <c r="H89" s="1">
        <v>9270.1002385388074</v>
      </c>
    </row>
    <row r="90" spans="1:8" ht="19" customHeight="1" x14ac:dyDescent="0.3">
      <c r="A90">
        <v>840</v>
      </c>
      <c r="B90" s="1">
        <v>1811.558343382424</v>
      </c>
      <c r="C90" s="1">
        <v>0</v>
      </c>
      <c r="D90" s="1">
        <v>1587.9123202773931</v>
      </c>
      <c r="E90" s="1">
        <v>251.2122970934374</v>
      </c>
      <c r="F90" s="1">
        <v>8333.2053858613781</v>
      </c>
      <c r="G90" s="1">
        <v>7478.6019537974589</v>
      </c>
      <c r="H90" s="1">
        <v>9268.8845190983684</v>
      </c>
    </row>
    <row r="91" spans="1:8" ht="19" customHeight="1" x14ac:dyDescent="0.3">
      <c r="A91">
        <v>850</v>
      </c>
      <c r="B91" s="1">
        <v>1811.0036915691301</v>
      </c>
      <c r="C91" s="1">
        <v>0</v>
      </c>
      <c r="D91" s="1">
        <v>1587.5261240379691</v>
      </c>
      <c r="E91" s="1">
        <v>251.17967237358931</v>
      </c>
      <c r="F91" s="1">
        <v>8331.1984315582213</v>
      </c>
      <c r="G91" s="1">
        <v>7477.6484013269983</v>
      </c>
      <c r="H91" s="1">
        <v>9267.6630902456182</v>
      </c>
    </row>
    <row r="92" spans="1:8" ht="19" customHeight="1" x14ac:dyDescent="0.3">
      <c r="A92">
        <v>860</v>
      </c>
      <c r="B92" s="1">
        <v>1838.286456483984</v>
      </c>
      <c r="C92" s="1">
        <v>0</v>
      </c>
      <c r="D92" s="1">
        <v>1587.139103627451</v>
      </c>
      <c r="E92" s="1">
        <v>251.14735285653319</v>
      </c>
      <c r="F92" s="1">
        <v>8329.2123952687962</v>
      </c>
      <c r="G92" s="1">
        <v>7474.3827041583727</v>
      </c>
      <c r="H92" s="1">
        <v>9268.7741529438445</v>
      </c>
    </row>
    <row r="93" spans="1:8" ht="19" customHeight="1" x14ac:dyDescent="0.3">
      <c r="A93">
        <v>870</v>
      </c>
      <c r="B93" s="1">
        <v>7830.643148620562</v>
      </c>
      <c r="C93" s="1">
        <v>0</v>
      </c>
      <c r="D93" s="1">
        <v>1587.3595148390209</v>
      </c>
      <c r="E93" s="1">
        <v>244.38415154251479</v>
      </c>
      <c r="F93" s="1">
        <v>8353.1561622509817</v>
      </c>
      <c r="G93" s="1">
        <v>6771.1363048879612</v>
      </c>
      <c r="H93" s="1">
        <v>9521.1404646130195</v>
      </c>
    </row>
    <row r="94" spans="1:8" ht="19" customHeight="1" x14ac:dyDescent="0.3">
      <c r="A94">
        <v>880</v>
      </c>
      <c r="B94" s="1">
        <v>7630.9557700753248</v>
      </c>
      <c r="C94" s="1">
        <v>0</v>
      </c>
      <c r="D94" s="1">
        <v>1671.398168701355</v>
      </c>
      <c r="E94" s="1">
        <v>250.9736110601709</v>
      </c>
      <c r="F94" s="1">
        <v>8792.502496678062</v>
      </c>
      <c r="G94" s="1">
        <v>6989.983489592265</v>
      </c>
      <c r="H94" s="1">
        <v>9741.5905810857967</v>
      </c>
    </row>
    <row r="95" spans="1:8" ht="19" customHeight="1" x14ac:dyDescent="0.3">
      <c r="A95">
        <v>890</v>
      </c>
      <c r="B95" s="1">
        <v>7454.4562881114016</v>
      </c>
      <c r="C95" s="1">
        <v>0</v>
      </c>
      <c r="D95" s="1">
        <v>1751.35590328794</v>
      </c>
      <c r="E95" s="1">
        <v>257.23801532290793</v>
      </c>
      <c r="F95" s="1">
        <v>9210.1784807771965</v>
      </c>
      <c r="G95" s="1">
        <v>7196.9466673405241</v>
      </c>
      <c r="H95" s="1">
        <v>9952.2543541866671</v>
      </c>
    </row>
    <row r="96" spans="1:8" ht="19" customHeight="1" x14ac:dyDescent="0.3">
      <c r="A96">
        <v>900</v>
      </c>
      <c r="B96" s="1">
        <v>7297.0082048662243</v>
      </c>
      <c r="C96" s="1">
        <v>0</v>
      </c>
      <c r="D96" s="1">
        <v>1827.6208303398259</v>
      </c>
      <c r="E96" s="1">
        <v>263.20835777612632</v>
      </c>
      <c r="F96" s="1">
        <v>9608.2503442417528</v>
      </c>
      <c r="G96" s="1">
        <v>7393.3190636750696</v>
      </c>
      <c r="H96" s="1">
        <v>10153.90478806668</v>
      </c>
    </row>
    <row r="97" spans="1:8" ht="19" customHeight="1" x14ac:dyDescent="0.3">
      <c r="A97">
        <v>910</v>
      </c>
      <c r="B97" s="1">
        <v>7155.4525125602631</v>
      </c>
      <c r="C97" s="1">
        <v>0</v>
      </c>
      <c r="D97" s="1">
        <v>1900.517030191801</v>
      </c>
      <c r="E97" s="1">
        <v>268.91053431665421</v>
      </c>
      <c r="F97" s="1">
        <v>9988.4444801936115</v>
      </c>
      <c r="G97" s="1">
        <v>7580.1563711478366</v>
      </c>
      <c r="H97" s="1">
        <v>10347.21258329577</v>
      </c>
    </row>
    <row r="98" spans="1:8" ht="19" customHeight="1" x14ac:dyDescent="0.3">
      <c r="A98">
        <v>920</v>
      </c>
      <c r="B98" s="1">
        <v>7027.3269481919961</v>
      </c>
      <c r="C98" s="1">
        <v>0</v>
      </c>
      <c r="D98" s="1">
        <v>1970.3192566012531</v>
      </c>
      <c r="E98" s="1">
        <v>274.36651181243752</v>
      </c>
      <c r="F98" s="1">
        <v>10352.22534649583</v>
      </c>
      <c r="G98" s="1">
        <v>7758.3359318353323</v>
      </c>
      <c r="H98" s="1">
        <v>10532.7648556605</v>
      </c>
    </row>
    <row r="99" spans="1:8" ht="19" customHeight="1" x14ac:dyDescent="0.3">
      <c r="A99">
        <v>930</v>
      </c>
      <c r="B99" s="1">
        <v>6910.6784581210941</v>
      </c>
      <c r="C99" s="1">
        <v>0</v>
      </c>
      <c r="D99" s="1">
        <v>2037.2634747688351</v>
      </c>
      <c r="E99" s="1">
        <v>279.59516573565668</v>
      </c>
      <c r="F99" s="1">
        <v>10700.851307960451</v>
      </c>
      <c r="G99" s="1">
        <v>7928.5980175990544</v>
      </c>
      <c r="H99" s="1">
        <v>10711.0796981114</v>
      </c>
    </row>
    <row r="100" spans="1:8" ht="19" customHeight="1" x14ac:dyDescent="0.3">
      <c r="A100">
        <v>940</v>
      </c>
      <c r="B100" s="1">
        <v>6803.9342221019724</v>
      </c>
      <c r="C100" s="1">
        <v>0</v>
      </c>
      <c r="D100" s="1">
        <v>2101.5546050272128</v>
      </c>
      <c r="E100" s="1">
        <v>284.61289586502841</v>
      </c>
      <c r="F100" s="1">
        <v>11035.41568316856</v>
      </c>
      <c r="G100" s="1">
        <v>8091.5754329944111</v>
      </c>
      <c r="H100" s="1">
        <v>10882.617624674151</v>
      </c>
    </row>
    <row r="101" spans="1:8" ht="19" customHeight="1" x14ac:dyDescent="0.3">
      <c r="A101">
        <v>950</v>
      </c>
      <c r="B101" s="1">
        <v>6705.8107010987096</v>
      </c>
      <c r="C101" s="1">
        <v>0</v>
      </c>
      <c r="D101" s="1">
        <v>2163.3723371580718</v>
      </c>
      <c r="E101" s="1">
        <v>289.43408873058212</v>
      </c>
      <c r="F101" s="1">
        <v>11356.87757412214</v>
      </c>
      <c r="G101" s="1">
        <v>8247.8152555963006</v>
      </c>
      <c r="H101" s="1">
        <v>11047.790659775839</v>
      </c>
    </row>
    <row r="102" spans="1:8" ht="19" customHeight="1" x14ac:dyDescent="0.3">
      <c r="A102">
        <v>960</v>
      </c>
      <c r="B102" s="1">
        <v>6615.2480819532893</v>
      </c>
      <c r="C102" s="1">
        <v>0</v>
      </c>
      <c r="D102" s="1">
        <v>2222.8755787284158</v>
      </c>
      <c r="E102" s="1">
        <v>294.07147153568508</v>
      </c>
      <c r="F102" s="1">
        <v>11666.085461045681</v>
      </c>
      <c r="G102" s="1">
        <v>8397.795136190678</v>
      </c>
      <c r="H102" s="1">
        <v>11206.969632855</v>
      </c>
    </row>
    <row r="103" spans="1:8" ht="19" customHeight="1" x14ac:dyDescent="0.3">
      <c r="A103">
        <v>970</v>
      </c>
      <c r="B103" s="1">
        <v>6531.3621094534083</v>
      </c>
      <c r="C103" s="1">
        <v>0</v>
      </c>
      <c r="D103" s="1">
        <v>2280.2059149274351</v>
      </c>
      <c r="E103" s="1">
        <v>298.53638753241739</v>
      </c>
      <c r="F103" s="1">
        <v>11963.7955607445</v>
      </c>
      <c r="G103" s="1">
        <v>8541.935744426959</v>
      </c>
      <c r="H103" s="1">
        <v>11360.490091067541</v>
      </c>
    </row>
    <row r="104" spans="1:8" ht="19" customHeight="1" x14ac:dyDescent="0.3">
      <c r="A104">
        <v>980</v>
      </c>
      <c r="B104" s="1">
        <v>6453.4080847088426</v>
      </c>
      <c r="C104" s="1">
        <v>0</v>
      </c>
      <c r="D104" s="1">
        <v>2335.49033915273</v>
      </c>
      <c r="E104" s="1">
        <v>302.83901343962208</v>
      </c>
      <c r="F104" s="1">
        <v>12250.68632114148</v>
      </c>
      <c r="G104" s="1">
        <v>8680.6104256443159</v>
      </c>
      <c r="H104" s="1">
        <v>11508.657136997161</v>
      </c>
    </row>
    <row r="105" spans="1:8" ht="19" customHeight="1" x14ac:dyDescent="0.3">
      <c r="A105">
        <v>990</v>
      </c>
      <c r="B105" s="1">
        <v>6380.7535432262557</v>
      </c>
      <c r="C105" s="1">
        <v>0</v>
      </c>
      <c r="D105" s="1">
        <v>2388.8434363217339</v>
      </c>
      <c r="E105" s="1">
        <v>306.98853335757963</v>
      </c>
      <c r="F105" s="1">
        <v>12527.37001558864</v>
      </c>
      <c r="G105" s="1">
        <v>8814.1528021198319</v>
      </c>
      <c r="H105" s="1">
        <v>11651.74942171881</v>
      </c>
    </row>
    <row r="106" spans="1:8" ht="19" customHeight="1" x14ac:dyDescent="0.3">
      <c r="A106">
        <v>1000</v>
      </c>
      <c r="B106" s="1">
        <v>6312.8572337160422</v>
      </c>
      <c r="C106" s="1">
        <v>0</v>
      </c>
      <c r="D106" s="1">
        <v>2440.369149146673</v>
      </c>
      <c r="E106" s="1">
        <v>310.99327952502267</v>
      </c>
      <c r="F106" s="1">
        <v>12794.402126668179</v>
      </c>
      <c r="G106" s="1">
        <v>8942.8628338501494</v>
      </c>
      <c r="H106" s="1">
        <v>11790.022467818029</v>
      </c>
    </row>
    <row r="107" spans="1:8" ht="19" customHeight="1" x14ac:dyDescent="0.3">
      <c r="A107">
        <v>1010</v>
      </c>
      <c r="B107" s="1">
        <v>6249.2527427983478</v>
      </c>
      <c r="C107" s="1">
        <v>0</v>
      </c>
      <c r="D107" s="1">
        <v>2490.1622222174092</v>
      </c>
      <c r="E107" s="1">
        <v>314.86084745351837</v>
      </c>
      <c r="F107" s="1">
        <v>13052.289021817891</v>
      </c>
      <c r="G107" s="1">
        <v>9067.0117075450235</v>
      </c>
      <c r="H107" s="1">
        <v>11923.711456022869</v>
      </c>
    </row>
    <row r="108" spans="1:8" ht="19" customHeight="1" x14ac:dyDescent="0.3">
      <c r="A108">
        <v>1020</v>
      </c>
      <c r="B108" s="1">
        <v>6189.5355942709393</v>
      </c>
      <c r="C108" s="1">
        <v>0</v>
      </c>
      <c r="D108" s="1">
        <v>2538.309394051179</v>
      </c>
      <c r="E108" s="1">
        <v>318.59819101377929</v>
      </c>
      <c r="F108" s="1">
        <v>13301.49429241862</v>
      </c>
      <c r="G108" s="1">
        <v>9186.8458221735618</v>
      </c>
      <c r="H108" s="1">
        <v>12053.03357874506</v>
      </c>
    </row>
    <row r="109" spans="1:8" ht="19" customHeight="1" x14ac:dyDescent="0.3">
      <c r="A109">
        <v>1030</v>
      </c>
      <c r="B109" s="1">
        <v>6133.3529806341849</v>
      </c>
      <c r="C109" s="1">
        <v>0</v>
      </c>
      <c r="D109" s="1">
        <v>2584.8903897490859</v>
      </c>
      <c r="E109" s="1">
        <v>322.21170165701437</v>
      </c>
      <c r="F109" s="1">
        <v>13542.44403521763</v>
      </c>
      <c r="G109" s="1">
        <v>9302.5900693667536</v>
      </c>
      <c r="H109" s="1">
        <v>12178.19004110087</v>
      </c>
    </row>
    <row r="110" spans="1:8" ht="19" customHeight="1" x14ac:dyDescent="0.3">
      <c r="A110">
        <v>1040</v>
      </c>
      <c r="B110" s="1">
        <v>6080.3955123919441</v>
      </c>
      <c r="C110" s="1">
        <v>0</v>
      </c>
      <c r="D110" s="1">
        <v>2629.9787542678232</v>
      </c>
      <c r="E110" s="1">
        <v>325.70727495109298</v>
      </c>
      <c r="F110" s="1">
        <v>13775.531288072871</v>
      </c>
      <c r="G110" s="1">
        <v>9414.4505572644994</v>
      </c>
      <c r="H110" s="1">
        <v>12299.367772808369</v>
      </c>
    </row>
    <row r="111" spans="1:8" ht="19" customHeight="1" x14ac:dyDescent="0.3">
      <c r="A111">
        <v>1050</v>
      </c>
      <c r="B111" s="1">
        <v>6030.3905309091333</v>
      </c>
      <c r="C111" s="1">
        <v>0</v>
      </c>
      <c r="D111" s="1">
        <v>2673.64255707559</v>
      </c>
      <c r="E111" s="1">
        <v>329.0903668773322</v>
      </c>
      <c r="F111" s="1">
        <v>14001.11978307215</v>
      </c>
      <c r="G111" s="1">
        <v>9522.6168905606664</v>
      </c>
      <c r="H111" s="1">
        <v>12416.740901261481</v>
      </c>
    </row>
    <row r="112" spans="1:8" ht="19" customHeight="1" x14ac:dyDescent="0.3">
      <c r="A112">
        <v>1060</v>
      </c>
      <c r="B112" s="1">
        <v>5983.0966449761072</v>
      </c>
      <c r="C112" s="1">
        <v>0</v>
      </c>
      <c r="D112" s="1">
        <v>2715.9449921132382</v>
      </c>
      <c r="E112" s="1">
        <v>332.36604178966883</v>
      </c>
      <c r="F112" s="1">
        <v>14219.547143811251</v>
      </c>
      <c r="G112" s="1">
        <v>9627.2640933064304</v>
      </c>
      <c r="H112" s="1">
        <v>12530.47202600482</v>
      </c>
    </row>
    <row r="113" spans="1:8" ht="19" customHeight="1" x14ac:dyDescent="0.3">
      <c r="A113">
        <v>1070</v>
      </c>
      <c r="B113" s="1">
        <v>5938.2992339546654</v>
      </c>
      <c r="C113" s="1">
        <v>0</v>
      </c>
      <c r="D113" s="1">
        <v>2756.9448918441808</v>
      </c>
      <c r="E113" s="1">
        <v>335.53901352979233</v>
      </c>
      <c r="F113" s="1">
        <v>14431.12762640282</v>
      </c>
      <c r="G113" s="1">
        <v>9728.5542416369444</v>
      </c>
      <c r="H113" s="1">
        <v>12640.713327015879</v>
      </c>
    </row>
    <row r="114" spans="1:8" ht="19" customHeight="1" x14ac:dyDescent="0.3">
      <c r="A114">
        <v>1080</v>
      </c>
      <c r="B114" s="1">
        <v>5895.8067209453657</v>
      </c>
      <c r="C114" s="1">
        <v>0</v>
      </c>
      <c r="D114" s="1">
        <v>2796.6971702792112</v>
      </c>
      <c r="E114" s="1">
        <v>338.6136808821239</v>
      </c>
      <c r="F114" s="1">
        <v>14636.154483141599</v>
      </c>
      <c r="G114" s="1">
        <v>9826.6378590546847</v>
      </c>
      <c r="H114" s="1">
        <v>12747.60753308691</v>
      </c>
    </row>
    <row r="115" spans="1:8" ht="19" customHeight="1" x14ac:dyDescent="0.3">
      <c r="A115">
        <v>1090</v>
      </c>
      <c r="B115" s="1">
        <v>5855.4474642697969</v>
      </c>
      <c r="C115" s="1">
        <v>0</v>
      </c>
      <c r="D115" s="1">
        <v>2835.2532068749192</v>
      </c>
      <c r="E115" s="1">
        <v>341.5941583151116</v>
      </c>
      <c r="F115" s="1">
        <v>14834.902011924099</v>
      </c>
      <c r="G115" s="1">
        <v>9921.655115894042</v>
      </c>
      <c r="H115" s="1">
        <v>12851.28877178007</v>
      </c>
    </row>
    <row r="116" spans="1:8" ht="19" customHeight="1" x14ac:dyDescent="0.3">
      <c r="A116">
        <v>1100</v>
      </c>
      <c r="B116" s="1">
        <v>5817.0671491331659</v>
      </c>
      <c r="C116" s="1">
        <v>0</v>
      </c>
      <c r="D116" s="1">
        <v>2872.6611808923931</v>
      </c>
      <c r="E116" s="1">
        <v>344.48430277156501</v>
      </c>
      <c r="F116" s="1">
        <v>15027.627342271</v>
      </c>
      <c r="G116" s="1">
        <v>10013.736866166721</v>
      </c>
      <c r="H116" s="1">
        <v>12951.883318604279</v>
      </c>
    </row>
    <row r="117" spans="1:8" ht="19" customHeight="1" x14ac:dyDescent="0.3">
      <c r="A117">
        <v>1110</v>
      </c>
      <c r="B117" s="1">
        <v>5780.5265867049247</v>
      </c>
      <c r="C117" s="1">
        <v>0</v>
      </c>
      <c r="D117" s="1">
        <v>2908.9663639976302</v>
      </c>
      <c r="E117" s="1">
        <v>347.28773712725479</v>
      </c>
      <c r="F117" s="1">
        <v>15214.57199923366</v>
      </c>
      <c r="G117" s="1">
        <v>10103.005548478501</v>
      </c>
      <c r="H117" s="1">
        <v>13049.51026000516</v>
      </c>
    </row>
    <row r="118" spans="1:8" ht="19" customHeight="1" x14ac:dyDescent="0.3">
      <c r="A118">
        <v>1120</v>
      </c>
      <c r="B118" s="1">
        <v>5745.6998472100204</v>
      </c>
      <c r="C118" s="1">
        <v>0</v>
      </c>
      <c r="D118" s="1">
        <v>2944.21137746361</v>
      </c>
      <c r="E118" s="1">
        <v>350.00787082400012</v>
      </c>
      <c r="F118" s="1">
        <v>15395.963278933339</v>
      </c>
      <c r="G118" s="1">
        <v>10189.5759726346</v>
      </c>
      <c r="H118" s="1">
        <v>13144.28208229874</v>
      </c>
    </row>
    <row r="119" spans="1:8" ht="19" customHeight="1" x14ac:dyDescent="0.3">
      <c r="A119">
        <v>1130</v>
      </c>
      <c r="B119" s="1">
        <v>5712.4726685181804</v>
      </c>
      <c r="C119" s="1">
        <v>0</v>
      </c>
      <c r="D119" s="1">
        <v>2978.4364192060498</v>
      </c>
      <c r="E119" s="1">
        <v>352.64791809379147</v>
      </c>
      <c r="F119" s="1">
        <v>15572.01546350277</v>
      </c>
      <c r="G119" s="1">
        <v>10273.556009563261</v>
      </c>
      <c r="H119" s="1">
        <v>13236.30519668952</v>
      </c>
    </row>
    <row r="120" spans="1:8" ht="19" customHeight="1" x14ac:dyDescent="0.3">
      <c r="A120">
        <v>1140</v>
      </c>
      <c r="B120" s="1">
        <v>5680.7410932652056</v>
      </c>
      <c r="C120" s="1">
        <v>0</v>
      </c>
      <c r="D120" s="1">
        <v>3011.67946498326</v>
      </c>
      <c r="E120" s="1">
        <v>355.21091411880542</v>
      </c>
      <c r="F120" s="1">
        <v>15742.93089842036</v>
      </c>
      <c r="G120" s="1">
        <v>10355.047199029519</v>
      </c>
      <c r="H120" s="1">
        <v>13325.680408890839</v>
      </c>
    </row>
    <row r="121" spans="1:8" ht="19" customHeight="1" x14ac:dyDescent="0.3">
      <c r="A121">
        <v>1150</v>
      </c>
      <c r="B121" s="1">
        <v>5650.4102965705952</v>
      </c>
      <c r="C121" s="1">
        <v>0</v>
      </c>
      <c r="D121" s="1">
        <v>3043.976447364872</v>
      </c>
      <c r="E121" s="1">
        <v>357.69972941445042</v>
      </c>
      <c r="F121" s="1">
        <v>15908.90095138003</v>
      </c>
      <c r="G121" s="1">
        <v>10434.145287091589</v>
      </c>
      <c r="H121" s="1">
        <v>13412.50334053844</v>
      </c>
    </row>
    <row r="122" spans="1:8" ht="19" customHeight="1" x14ac:dyDescent="0.3">
      <c r="A122">
        <v>1160</v>
      </c>
      <c r="B122" s="1">
        <v>5621.3935735202804</v>
      </c>
      <c r="C122" s="1">
        <v>0</v>
      </c>
      <c r="D122" s="1">
        <v>3075.361415486379</v>
      </c>
      <c r="E122" s="1">
        <v>360.11708267583981</v>
      </c>
      <c r="F122" s="1">
        <v>16070.106868722651</v>
      </c>
      <c r="G122" s="1">
        <v>10510.94070322808</v>
      </c>
      <c r="H122" s="1">
        <v>13496.864808494571</v>
      </c>
    </row>
    <row r="123" spans="1:8" ht="19" customHeight="1" x14ac:dyDescent="0.3">
      <c r="A123">
        <v>1170</v>
      </c>
      <c r="B123" s="1">
        <v>5593.611461213035</v>
      </c>
      <c r="C123" s="1">
        <v>0</v>
      </c>
      <c r="D123" s="1">
        <v>3105.866678127411</v>
      </c>
      <c r="E123" s="1">
        <v>362.46555228996777</v>
      </c>
      <c r="F123" s="1">
        <v>16226.72054291452</v>
      </c>
      <c r="G123" s="1">
        <v>10585.51898542886</v>
      </c>
      <c r="H123" s="1">
        <v>13578.85116723566</v>
      </c>
    </row>
    <row r="124" spans="1:8" ht="19" customHeight="1" x14ac:dyDescent="0.3">
      <c r="A124">
        <v>1180</v>
      </c>
      <c r="B124" s="1">
        <v>5566.9909746610138</v>
      </c>
      <c r="C124" s="1">
        <v>0</v>
      </c>
      <c r="D124" s="1">
        <v>3135.522932258958</v>
      </c>
      <c r="E124" s="1">
        <v>364.74758668462772</v>
      </c>
      <c r="F124" s="1">
        <v>16378.90520247518</v>
      </c>
      <c r="G124" s="1">
        <v>10657.961160210591</v>
      </c>
      <c r="H124" s="1">
        <v>13658.54461876459</v>
      </c>
    </row>
    <row r="125" spans="1:8" ht="19" customHeight="1" x14ac:dyDescent="0.3">
      <c r="A125">
        <v>1190</v>
      </c>
      <c r="B125" s="1">
        <v>5541.4649394366816</v>
      </c>
      <c r="C125" s="1">
        <v>0</v>
      </c>
      <c r="D125" s="1">
        <v>3164.3593788811609</v>
      </c>
      <c r="E125" s="1">
        <v>366.96551365935449</v>
      </c>
      <c r="F125" s="1">
        <v>16526.816034040301</v>
      </c>
      <c r="G125" s="1">
        <v>10728.34408342996</v>
      </c>
      <c r="H125" s="1">
        <v>13736.02349386035</v>
      </c>
    </row>
    <row r="126" spans="1:8" ht="19" customHeight="1" x14ac:dyDescent="0.3">
      <c r="A126">
        <v>1200</v>
      </c>
      <c r="B126" s="1">
        <v>5516.971406865634</v>
      </c>
      <c r="C126" s="1">
        <v>0</v>
      </c>
      <c r="D126" s="1">
        <v>3192.40382770518</v>
      </c>
      <c r="E126" s="1">
        <v>369.12154882233671</v>
      </c>
      <c r="F126" s="1">
        <v>16670.600744822452</v>
      </c>
      <c r="G126" s="1">
        <v>10796.74074687135</v>
      </c>
      <c r="H126" s="1">
        <v>13811.3625079511</v>
      </c>
    </row>
    <row r="127" spans="1:8" ht="19" customHeight="1" x14ac:dyDescent="0.3">
      <c r="A127">
        <v>1210</v>
      </c>
      <c r="B127" s="1">
        <v>5493.4531442509597</v>
      </c>
      <c r="C127" s="1">
        <v>0</v>
      </c>
      <c r="D127" s="1">
        <v>3219.6827920099081</v>
      </c>
      <c r="E127" s="1">
        <v>371.21780323964867</v>
      </c>
      <c r="F127" s="1">
        <v>16810.400072559922</v>
      </c>
      <c r="G127" s="1">
        <v>10863.22055448989</v>
      </c>
      <c r="H127" s="1">
        <v>13884.63299482002</v>
      </c>
    </row>
    <row r="128" spans="1:8" ht="19" customHeight="1" x14ac:dyDescent="0.3">
      <c r="A128">
        <v>1220</v>
      </c>
      <c r="B128" s="1">
        <v>5470.8578453961973</v>
      </c>
      <c r="C128" s="1">
        <v>0</v>
      </c>
      <c r="D128" s="1">
        <v>3246.2215749398101</v>
      </c>
      <c r="E128" s="1">
        <v>373.2562904194329</v>
      </c>
      <c r="F128" s="1">
        <v>16946.34825112886</v>
      </c>
      <c r="G128" s="1">
        <v>10927.84951819349</v>
      </c>
      <c r="H128" s="1">
        <v>13955.903176435369</v>
      </c>
    </row>
    <row r="129" spans="1:8" ht="19" customHeight="1" x14ac:dyDescent="0.3">
      <c r="A129">
        <v>1230</v>
      </c>
      <c r="B129" s="1">
        <v>5449.1369306340785</v>
      </c>
      <c r="C129" s="1">
        <v>0</v>
      </c>
      <c r="D129" s="1">
        <v>3272.0443572289619</v>
      </c>
      <c r="E129" s="1">
        <v>375.23893333115382</v>
      </c>
      <c r="F129" s="1">
        <v>17078.573478493581</v>
      </c>
      <c r="G129" s="1">
        <v>10990.69057259394</v>
      </c>
      <c r="H129" s="1">
        <v>14025.23831614964</v>
      </c>
    </row>
    <row r="130" spans="1:8" ht="19" customHeight="1" x14ac:dyDescent="0.3">
      <c r="A130">
        <v>1240</v>
      </c>
      <c r="B130" s="1">
        <v>5428.2426337674642</v>
      </c>
      <c r="C130" s="1">
        <v>0</v>
      </c>
      <c r="D130" s="1">
        <v>3297.1742666204032</v>
      </c>
      <c r="E130" s="1">
        <v>377.167569931412</v>
      </c>
      <c r="F130" s="1">
        <v>17207.198285094131</v>
      </c>
      <c r="G130" s="1">
        <v>11051.803986952909</v>
      </c>
      <c r="H130" s="1">
        <v>14092.700675141219</v>
      </c>
    </row>
    <row r="131" spans="1:8" ht="19" customHeight="1" x14ac:dyDescent="0.3">
      <c r="A131">
        <v>1250</v>
      </c>
      <c r="B131" s="1">
        <v>5408.1327375897563</v>
      </c>
      <c r="C131" s="1">
        <v>0</v>
      </c>
      <c r="D131" s="1">
        <v>3321.6334062862238</v>
      </c>
      <c r="E131" s="1">
        <v>379.04395577829018</v>
      </c>
      <c r="F131" s="1">
        <v>17332.33970813602</v>
      </c>
      <c r="G131" s="1">
        <v>11111.24704901342</v>
      </c>
      <c r="H131" s="1">
        <v>14158.350002872599</v>
      </c>
    </row>
    <row r="132" spans="1:8" ht="19" customHeight="1" x14ac:dyDescent="0.3">
      <c r="A132">
        <v>1260</v>
      </c>
      <c r="B132" s="1">
        <v>5388.7678946801443</v>
      </c>
      <c r="C132" s="1">
        <v>0</v>
      </c>
      <c r="D132" s="1">
        <v>3345.442948107881</v>
      </c>
      <c r="E132" s="1">
        <v>380.86977136033181</v>
      </c>
      <c r="F132" s="1">
        <v>17454.109780188781</v>
      </c>
      <c r="G132" s="1">
        <v>11169.07451310173</v>
      </c>
      <c r="H132" s="1">
        <v>14222.243577587051</v>
      </c>
    </row>
    <row r="133" spans="1:8" ht="19" customHeight="1" x14ac:dyDescent="0.3">
      <c r="A133">
        <v>1270</v>
      </c>
      <c r="B133" s="1">
        <v>5370.1113961371047</v>
      </c>
      <c r="C133" s="1">
        <v>0</v>
      </c>
      <c r="D133" s="1">
        <v>3368.6231873552451</v>
      </c>
      <c r="E133" s="1">
        <v>382.64662652020922</v>
      </c>
      <c r="F133" s="1">
        <v>17572.61582409728</v>
      </c>
      <c r="G133" s="1">
        <v>11225.33875452362</v>
      </c>
      <c r="H133" s="1">
        <v>14284.436346823661</v>
      </c>
    </row>
    <row r="134" spans="1:8" ht="19" customHeight="1" x14ac:dyDescent="0.3">
      <c r="A134">
        <v>1280</v>
      </c>
      <c r="B134" s="1">
        <v>0</v>
      </c>
      <c r="C134" s="1">
        <v>915.98544046965617</v>
      </c>
      <c r="D134" s="1">
        <v>3390.5391231384192</v>
      </c>
      <c r="E134" s="1">
        <v>384.09557734797289</v>
      </c>
      <c r="F134" s="1">
        <v>17669.261579198199</v>
      </c>
      <c r="G134" s="1">
        <v>11794.875207151479</v>
      </c>
      <c r="H134" s="1">
        <v>13811.496616046719</v>
      </c>
    </row>
    <row r="135" spans="1:8" ht="19" customHeight="1" x14ac:dyDescent="0.3">
      <c r="A135">
        <v>1290</v>
      </c>
      <c r="B135" s="1">
        <v>0</v>
      </c>
      <c r="C135" s="1">
        <v>24000.030634370451</v>
      </c>
      <c r="D135" s="1">
        <v>3322.4479372163842</v>
      </c>
      <c r="E135" s="1">
        <v>377.92760783227828</v>
      </c>
      <c r="F135" s="1">
        <v>17258.112644735222</v>
      </c>
      <c r="G135" s="1">
        <v>13533.064299966371</v>
      </c>
      <c r="H135" s="1">
        <v>11662.109555518849</v>
      </c>
    </row>
    <row r="136" spans="1:8" ht="19" customHeight="1" x14ac:dyDescent="0.3">
      <c r="A136">
        <v>1300</v>
      </c>
      <c r="B136" s="1">
        <v>0</v>
      </c>
      <c r="C136" s="1">
        <v>24000.033213275801</v>
      </c>
      <c r="D136" s="1">
        <v>2936.40123674495</v>
      </c>
      <c r="E136" s="1">
        <v>348.39220293837673</v>
      </c>
      <c r="F136" s="1">
        <v>15289.13468505844</v>
      </c>
      <c r="G136" s="1">
        <v>12623.35009587141</v>
      </c>
      <c r="H136" s="1">
        <v>10602.796766687041</v>
      </c>
    </row>
    <row r="137" spans="1:8" ht="19" customHeight="1" x14ac:dyDescent="0.3">
      <c r="A137">
        <v>1310</v>
      </c>
      <c r="B137" s="1">
        <v>0</v>
      </c>
      <c r="C137" s="1">
        <v>24000.034990438649</v>
      </c>
      <c r="D137" s="1">
        <v>2555.6327855564382</v>
      </c>
      <c r="E137" s="1">
        <v>319.08066287607318</v>
      </c>
      <c r="F137" s="1">
        <v>13335.08104748822</v>
      </c>
      <c r="G137" s="1">
        <v>11721.37580285795</v>
      </c>
      <c r="H137" s="1">
        <v>9550.6683888802672</v>
      </c>
    </row>
    <row r="138" spans="1:8" ht="19" customHeight="1" x14ac:dyDescent="0.3">
      <c r="A138">
        <v>1320</v>
      </c>
      <c r="B138" s="1">
        <v>0</v>
      </c>
      <c r="C138" s="1">
        <v>24000.036049859151</v>
      </c>
      <c r="D138" s="1">
        <v>2180.140528438315</v>
      </c>
      <c r="E138" s="1">
        <v>290.01907455091219</v>
      </c>
      <c r="F138" s="1">
        <v>11397.690859060811</v>
      </c>
      <c r="G138" s="1">
        <v>10827.82172592887</v>
      </c>
      <c r="H138" s="1">
        <v>8506.783244131946</v>
      </c>
    </row>
    <row r="139" spans="1:8" ht="19" customHeight="1" x14ac:dyDescent="0.3">
      <c r="A139">
        <v>1330</v>
      </c>
      <c r="B139" s="1">
        <v>0</v>
      </c>
      <c r="C139" s="1">
        <v>24000.03646845655</v>
      </c>
      <c r="D139" s="1">
        <v>1809.9127909302331</v>
      </c>
      <c r="E139" s="1">
        <v>261.22952116094439</v>
      </c>
      <c r="F139" s="1">
        <v>9478.4363329796233</v>
      </c>
      <c r="G139" s="1">
        <v>9943.2601922445592</v>
      </c>
      <c r="H139" s="1">
        <v>7472.0412184850666</v>
      </c>
    </row>
    <row r="140" spans="1:8" ht="19" customHeight="1" x14ac:dyDescent="0.3">
      <c r="A140">
        <v>1340</v>
      </c>
      <c r="B140" s="1">
        <v>0</v>
      </c>
      <c r="C140" s="1">
        <v>23015.47336846582</v>
      </c>
      <c r="D140" s="1">
        <v>1444.975823893127</v>
      </c>
      <c r="E140" s="1">
        <v>232.75039156520961</v>
      </c>
      <c r="F140" s="1">
        <v>7579.8767265139741</v>
      </c>
      <c r="G140" s="1">
        <v>8986.6559195155933</v>
      </c>
      <c r="H140" s="1">
        <v>6530.036851498382</v>
      </c>
    </row>
    <row r="141" spans="1:8" ht="19" customHeight="1" x14ac:dyDescent="0.3">
      <c r="A141">
        <v>1350</v>
      </c>
      <c r="B141" s="1">
        <v>0</v>
      </c>
      <c r="C141" s="1">
        <v>20589.799199278561</v>
      </c>
      <c r="D141" s="1">
        <v>1099.0821669131719</v>
      </c>
      <c r="E141" s="1">
        <v>205.67211388601689</v>
      </c>
      <c r="F141" s="1">
        <v>5774.7072478177906</v>
      </c>
      <c r="G141" s="1">
        <v>7953.3696475015859</v>
      </c>
      <c r="H141" s="1">
        <v>5758.1046115662066</v>
      </c>
    </row>
    <row r="142" spans="1:8" ht="19" customHeight="1" x14ac:dyDescent="0.3">
      <c r="A142">
        <v>1360</v>
      </c>
      <c r="B142" s="1">
        <v>0</v>
      </c>
      <c r="C142" s="1">
        <v>18403.429459088529</v>
      </c>
      <c r="D142" s="1">
        <v>792.15344232720986</v>
      </c>
      <c r="E142" s="1">
        <v>181.5615860772526</v>
      </c>
      <c r="F142" s="1">
        <v>4167.387760483507</v>
      </c>
      <c r="G142" s="1">
        <v>7031.496903911504</v>
      </c>
      <c r="H142" s="1">
        <v>5072.6088345720036</v>
      </c>
    </row>
    <row r="143" spans="1:8" ht="19" customHeight="1" x14ac:dyDescent="0.3">
      <c r="A143">
        <v>1370</v>
      </c>
      <c r="B143" s="1">
        <v>678.14333409996971</v>
      </c>
      <c r="C143" s="1">
        <v>0</v>
      </c>
      <c r="D143" s="1">
        <v>520.56248825090813</v>
      </c>
      <c r="E143" s="1">
        <v>157.9796281188043</v>
      </c>
      <c r="F143" s="1">
        <v>2743.9876996453149</v>
      </c>
      <c r="G143" s="1">
        <v>4719.1923153776243</v>
      </c>
      <c r="H143" s="1">
        <v>5812.7828925426602</v>
      </c>
    </row>
    <row r="144" spans="1:8" ht="19" customHeight="1" x14ac:dyDescent="0.3">
      <c r="A144">
        <v>1380</v>
      </c>
      <c r="B144" s="1">
        <v>678.13313367194121</v>
      </c>
      <c r="C144" s="1">
        <v>0</v>
      </c>
      <c r="D144" s="1">
        <v>520.55689002367683</v>
      </c>
      <c r="E144" s="1">
        <v>157.97848893188149</v>
      </c>
      <c r="F144" s="1">
        <v>2743.9582734443702</v>
      </c>
      <c r="G144" s="1">
        <v>4719.1586434937999</v>
      </c>
      <c r="H144" s="1">
        <v>5812.740618631633</v>
      </c>
    </row>
    <row r="145" spans="1:8" ht="19" customHeight="1" x14ac:dyDescent="0.3">
      <c r="A145">
        <v>1390</v>
      </c>
      <c r="B145" s="1">
        <v>678.12201415662332</v>
      </c>
      <c r="C145" s="1">
        <v>0</v>
      </c>
      <c r="D145" s="1">
        <v>520.55124313750639</v>
      </c>
      <c r="E145" s="1">
        <v>157.97734611282601</v>
      </c>
      <c r="F145" s="1">
        <v>2743.92859125936</v>
      </c>
      <c r="G145" s="1">
        <v>4719.1249367617702</v>
      </c>
      <c r="H145" s="1">
        <v>5812.6981374266297</v>
      </c>
    </row>
    <row r="146" spans="1:8" ht="19" customHeight="1" x14ac:dyDescent="0.3">
      <c r="A146">
        <v>1400</v>
      </c>
      <c r="B146" s="1">
        <v>678.11082941217978</v>
      </c>
      <c r="C146" s="1">
        <v>0</v>
      </c>
      <c r="D146" s="1">
        <v>520.54553543287784</v>
      </c>
      <c r="E146" s="1">
        <v>157.97619875827121</v>
      </c>
      <c r="F146" s="1">
        <v>2743.8985893988229</v>
      </c>
      <c r="G146" s="1">
        <v>4719.0910962910957</v>
      </c>
      <c r="H146" s="1">
        <v>5812.6554875936499</v>
      </c>
    </row>
    <row r="147" spans="1:8" ht="19" customHeight="1" x14ac:dyDescent="0.3">
      <c r="A147">
        <v>1410</v>
      </c>
      <c r="B147" s="1">
        <v>678.09957944045448</v>
      </c>
      <c r="C147" s="1">
        <v>0</v>
      </c>
      <c r="D147" s="1">
        <v>520.5397669107906</v>
      </c>
      <c r="E147" s="1">
        <v>157.9750468682856</v>
      </c>
      <c r="F147" s="1">
        <v>2743.8682678679361</v>
      </c>
      <c r="G147" s="1">
        <v>4719.0571220837328</v>
      </c>
      <c r="H147" s="1">
        <v>5812.6126691353056</v>
      </c>
    </row>
    <row r="148" spans="1:8" ht="19" customHeight="1" x14ac:dyDescent="0.3">
      <c r="A148">
        <v>1420</v>
      </c>
      <c r="B148" s="1">
        <v>678.08913112168818</v>
      </c>
      <c r="C148" s="1">
        <v>0</v>
      </c>
      <c r="D148" s="1">
        <v>520.53393758175616</v>
      </c>
      <c r="E148" s="1">
        <v>157.9738904470066</v>
      </c>
      <c r="F148" s="1">
        <v>2743.837626943136</v>
      </c>
      <c r="G148" s="1">
        <v>4719.0229420114047</v>
      </c>
      <c r="H148" s="1">
        <v>5812.5697544557024</v>
      </c>
    </row>
    <row r="149" spans="1:8" ht="19" customHeight="1" x14ac:dyDescent="0.3">
      <c r="A149">
        <v>1430</v>
      </c>
      <c r="B149" s="1">
        <v>678.0786306308521</v>
      </c>
      <c r="C149" s="1">
        <v>0</v>
      </c>
      <c r="D149" s="1">
        <v>520.52805960690159</v>
      </c>
      <c r="E149" s="1">
        <v>157.97273039791139</v>
      </c>
      <c r="F149" s="1">
        <v>2743.8067303242251</v>
      </c>
      <c r="G149" s="1">
        <v>4718.9886549651928</v>
      </c>
      <c r="H149" s="1">
        <v>5812.5267048955684</v>
      </c>
    </row>
    <row r="150" spans="1:8" ht="19" customHeight="1" x14ac:dyDescent="0.3">
      <c r="A150">
        <v>1440</v>
      </c>
      <c r="B150" s="1">
        <v>678.06721111151865</v>
      </c>
      <c r="C150" s="1">
        <v>0</v>
      </c>
      <c r="D150" s="1">
        <v>520.52213297755111</v>
      </c>
      <c r="E150" s="1">
        <v>157.9715667169886</v>
      </c>
      <c r="F150" s="1">
        <v>2743.775577744269</v>
      </c>
      <c r="G150" s="1">
        <v>4718.9543330752613</v>
      </c>
      <c r="H150" s="1">
        <v>5812.4834480573136</v>
      </c>
    </row>
    <row r="151" spans="1:8" ht="19" customHeight="1" x14ac:dyDescent="0.3">
      <c r="A151">
        <v>1450</v>
      </c>
      <c r="B151" s="1">
        <v>678.05572637171417</v>
      </c>
      <c r="C151" s="1">
        <v>0</v>
      </c>
      <c r="D151" s="1">
        <v>520.51614553456727</v>
      </c>
      <c r="E151" s="1">
        <v>157.97039850089769</v>
      </c>
      <c r="F151" s="1">
        <v>2743.7441055137642</v>
      </c>
      <c r="G151" s="1">
        <v>4718.9198774561537</v>
      </c>
      <c r="H151" s="1">
        <v>5812.4400226036933</v>
      </c>
    </row>
    <row r="152" spans="1:8" ht="19" customHeight="1" x14ac:dyDescent="0.3">
      <c r="A152">
        <v>1460</v>
      </c>
      <c r="B152" s="1">
        <v>678.04504325027597</v>
      </c>
      <c r="C152" s="1">
        <v>0</v>
      </c>
      <c r="D152" s="1">
        <v>520.51009728849851</v>
      </c>
      <c r="E152" s="1">
        <v>157.9692257537786</v>
      </c>
      <c r="F152" s="1">
        <v>2743.712313909326</v>
      </c>
      <c r="G152" s="1">
        <v>4718.8852159831258</v>
      </c>
      <c r="H152" s="1">
        <v>5812.396500935447</v>
      </c>
    </row>
    <row r="153" spans="1:8" ht="19" customHeight="1" x14ac:dyDescent="0.3">
      <c r="A153">
        <v>1470</v>
      </c>
      <c r="B153" s="1">
        <v>678.03344113634091</v>
      </c>
      <c r="C153" s="1">
        <v>0</v>
      </c>
      <c r="D153" s="1">
        <v>520.50400039073156</v>
      </c>
      <c r="E153" s="1">
        <v>157.96804937502449</v>
      </c>
      <c r="F153" s="1">
        <v>2743.680266358338</v>
      </c>
      <c r="G153" s="1">
        <v>4718.850519669305</v>
      </c>
      <c r="H153" s="1">
        <v>5812.3527719989943</v>
      </c>
    </row>
    <row r="154" spans="1:8" ht="19" customHeight="1" x14ac:dyDescent="0.3">
      <c r="A154">
        <v>1480</v>
      </c>
      <c r="B154" s="1">
        <v>678.02264062324195</v>
      </c>
      <c r="C154" s="1">
        <v>0</v>
      </c>
      <c r="D154" s="1">
        <v>520.497842691865</v>
      </c>
      <c r="E154" s="1">
        <v>157.9668684653787</v>
      </c>
      <c r="F154" s="1">
        <v>2743.647899443687</v>
      </c>
      <c r="G154" s="1">
        <v>4718.8156175072236</v>
      </c>
      <c r="H154" s="1">
        <v>5812.308946851359</v>
      </c>
    </row>
    <row r="155" spans="1:8" ht="19" customHeight="1" x14ac:dyDescent="0.3">
      <c r="A155">
        <v>1490</v>
      </c>
      <c r="B155" s="1">
        <v>678.01178794721397</v>
      </c>
      <c r="C155" s="1">
        <v>0</v>
      </c>
      <c r="D155" s="1">
        <v>520.49163635265984</v>
      </c>
      <c r="E155" s="1">
        <v>157.96568392829391</v>
      </c>
      <c r="F155" s="1">
        <v>2743.6152768632978</v>
      </c>
      <c r="G155" s="1">
        <v>4718.7806083820997</v>
      </c>
      <c r="H155" s="1">
        <v>5812.2649868374938</v>
      </c>
    </row>
    <row r="156" spans="1:8" ht="19" customHeight="1" x14ac:dyDescent="0.3">
      <c r="A156">
        <v>1500</v>
      </c>
      <c r="B156" s="1">
        <v>678.00001631488965</v>
      </c>
      <c r="C156" s="1">
        <v>0</v>
      </c>
      <c r="D156" s="1">
        <v>520.48538136448735</v>
      </c>
      <c r="E156" s="1">
        <v>157.9644957597624</v>
      </c>
      <c r="F156" s="1">
        <v>2743.5823983505088</v>
      </c>
      <c r="G156" s="1">
        <v>4718.7455644189577</v>
      </c>
      <c r="H156" s="1">
        <v>5812.220819565202</v>
      </c>
    </row>
    <row r="157" spans="1:8" ht="19" customHeight="1" x14ac:dyDescent="0.3">
      <c r="A157">
        <v>1510</v>
      </c>
      <c r="B157" s="1">
        <v>677.98817947260966</v>
      </c>
      <c r="C157" s="1">
        <v>0</v>
      </c>
      <c r="D157" s="1">
        <v>520.47906556868793</v>
      </c>
      <c r="E157" s="1">
        <v>157.96330305647641</v>
      </c>
      <c r="F157" s="1">
        <v>2743.5492002182618</v>
      </c>
      <c r="G157" s="1">
        <v>4718.7103867384913</v>
      </c>
      <c r="H157" s="1">
        <v>5812.1764836932716</v>
      </c>
    </row>
    <row r="158" spans="1:8" ht="19" customHeight="1" x14ac:dyDescent="0.3">
      <c r="A158">
        <v>1520</v>
      </c>
      <c r="B158" s="1">
        <v>677.97714419571071</v>
      </c>
      <c r="C158" s="1">
        <v>0</v>
      </c>
      <c r="D158" s="1">
        <v>520.47268897586662</v>
      </c>
      <c r="E158" s="1">
        <v>157.96210582257979</v>
      </c>
      <c r="F158" s="1">
        <v>2743.5156827434439</v>
      </c>
      <c r="G158" s="1">
        <v>4718.6750032213658</v>
      </c>
      <c r="H158" s="1">
        <v>5812.1320516172891</v>
      </c>
    </row>
    <row r="159" spans="1:8" ht="19" customHeight="1" x14ac:dyDescent="0.3">
      <c r="A159">
        <v>1530</v>
      </c>
      <c r="B159" s="1">
        <v>677.9660567621379</v>
      </c>
      <c r="C159" s="1">
        <v>0</v>
      </c>
      <c r="D159" s="1">
        <v>520.46626374652726</v>
      </c>
      <c r="E159" s="1">
        <v>157.96090496150771</v>
      </c>
      <c r="F159" s="1">
        <v>2743.4819096226652</v>
      </c>
      <c r="G159" s="1">
        <v>4718.6395127487831</v>
      </c>
      <c r="H159" s="1">
        <v>5812.0874846850647</v>
      </c>
    </row>
    <row r="160" spans="1:8" ht="19" customHeight="1" x14ac:dyDescent="0.3">
      <c r="A160">
        <v>1540</v>
      </c>
      <c r="B160" s="1">
        <v>677.95405042149753</v>
      </c>
      <c r="C160" s="1">
        <v>0</v>
      </c>
      <c r="D160" s="1">
        <v>520.45978987207207</v>
      </c>
      <c r="E160" s="1">
        <v>157.9597004692551</v>
      </c>
      <c r="F160" s="1">
        <v>2743.447880589441</v>
      </c>
      <c r="G160" s="1">
        <v>4718.6039874422686</v>
      </c>
      <c r="H160" s="1">
        <v>5812.0427105080717</v>
      </c>
    </row>
    <row r="161" spans="1:8" ht="19" customHeight="1" x14ac:dyDescent="0.3">
      <c r="A161">
        <v>1550</v>
      </c>
      <c r="B161" s="1">
        <v>677.94371236012671</v>
      </c>
      <c r="C161" s="1">
        <v>0</v>
      </c>
      <c r="D161" s="1">
        <v>520.45325521316886</v>
      </c>
      <c r="E161" s="1">
        <v>157.9584914506712</v>
      </c>
      <c r="F161" s="1">
        <v>2743.4135325006951</v>
      </c>
      <c r="G161" s="1">
        <v>4718.5681841890546</v>
      </c>
      <c r="H161" s="1">
        <v>5811.9979125223581</v>
      </c>
    </row>
    <row r="162" spans="1:8" ht="19" customHeight="1" x14ac:dyDescent="0.3">
      <c r="A162">
        <v>1560</v>
      </c>
      <c r="B162" s="1">
        <v>678.403971167397</v>
      </c>
      <c r="C162" s="1">
        <v>0</v>
      </c>
      <c r="D162" s="1">
        <v>520.44668924648386</v>
      </c>
      <c r="E162" s="1">
        <v>157.95728192091309</v>
      </c>
      <c r="F162" s="1">
        <v>2743.3791399678748</v>
      </c>
      <c r="G162" s="1">
        <v>4718.4931405831021</v>
      </c>
      <c r="H162" s="1">
        <v>5811.9923208111077</v>
      </c>
    </row>
    <row r="163" spans="1:8" ht="19" customHeight="1" x14ac:dyDescent="0.3">
      <c r="A163">
        <v>1570</v>
      </c>
      <c r="B163" s="1">
        <v>10198.8994934364</v>
      </c>
      <c r="C163" s="1">
        <v>0</v>
      </c>
      <c r="D163" s="1">
        <v>520.54385208009376</v>
      </c>
      <c r="E163" s="1">
        <v>160.2618892364718</v>
      </c>
      <c r="F163" s="1">
        <v>2748.4376693481208</v>
      </c>
      <c r="G163" s="1">
        <v>3994.301249511941</v>
      </c>
      <c r="H163" s="1">
        <v>6689.82469958618</v>
      </c>
    </row>
    <row r="164" spans="1:8" ht="19" customHeight="1" x14ac:dyDescent="0.3">
      <c r="A164">
        <v>1580</v>
      </c>
      <c r="B164" s="1">
        <v>10793.927500435821</v>
      </c>
      <c r="C164" s="1">
        <v>0</v>
      </c>
      <c r="D164" s="1">
        <v>654.19952729032661</v>
      </c>
      <c r="E164" s="1">
        <v>170.83290698147451</v>
      </c>
      <c r="F164" s="1">
        <v>3453.2212189316351</v>
      </c>
      <c r="G164" s="1">
        <v>4268.6862285942407</v>
      </c>
      <c r="H164" s="1">
        <v>7120.1742368373943</v>
      </c>
    </row>
    <row r="165" spans="1:8" ht="19" customHeight="1" x14ac:dyDescent="0.3">
      <c r="A165">
        <v>1590</v>
      </c>
      <c r="B165" s="1">
        <v>11074.313471224399</v>
      </c>
      <c r="C165" s="1">
        <v>0</v>
      </c>
      <c r="D165" s="1">
        <v>794.16023348206022</v>
      </c>
      <c r="E165" s="1">
        <v>181.89350877086929</v>
      </c>
      <c r="F165" s="1">
        <v>4190.6437048079551</v>
      </c>
      <c r="G165" s="1">
        <v>4584.3371019369333</v>
      </c>
      <c r="H165" s="1">
        <v>7541.8968161210214</v>
      </c>
    </row>
    <row r="166" spans="1:8" ht="19" customHeight="1" x14ac:dyDescent="0.3">
      <c r="A166">
        <v>1600</v>
      </c>
      <c r="B166" s="1">
        <v>10200.846610346611</v>
      </c>
      <c r="C166" s="1">
        <v>0</v>
      </c>
      <c r="D166" s="1">
        <v>935.89084657567525</v>
      </c>
      <c r="E166" s="1">
        <v>193.07748567908669</v>
      </c>
      <c r="F166" s="1">
        <v>4936.2911986057834</v>
      </c>
      <c r="G166" s="1">
        <v>4999.9989185025106</v>
      </c>
      <c r="H166" s="1">
        <v>7871.8334601032739</v>
      </c>
    </row>
    <row r="167" spans="1:8" ht="19" customHeight="1" x14ac:dyDescent="0.3">
      <c r="A167">
        <v>1610</v>
      </c>
      <c r="B167" s="1">
        <v>9570.2372843463618</v>
      </c>
      <c r="C167" s="1">
        <v>0</v>
      </c>
      <c r="D167" s="1">
        <v>1063.189247190445</v>
      </c>
      <c r="E167" s="1">
        <v>203.11289710294071</v>
      </c>
      <c r="F167" s="1">
        <v>5605.3676601127081</v>
      </c>
      <c r="G167" s="1">
        <v>5360.2543766969302</v>
      </c>
      <c r="H167" s="1">
        <v>8180.6054301657778</v>
      </c>
    </row>
    <row r="168" spans="1:8" ht="19" customHeight="1" x14ac:dyDescent="0.3">
      <c r="A168">
        <v>1620</v>
      </c>
      <c r="B168" s="1">
        <v>9084.9950572433354</v>
      </c>
      <c r="C168" s="1">
        <v>0</v>
      </c>
      <c r="D168" s="1">
        <v>1179.6881635259399</v>
      </c>
      <c r="E168" s="1">
        <v>212.2883930100466</v>
      </c>
      <c r="F168" s="1">
        <v>6217.1164205031073</v>
      </c>
      <c r="G168" s="1">
        <v>5682.0679831829557</v>
      </c>
      <c r="H168" s="1">
        <v>8470.491550820152</v>
      </c>
    </row>
    <row r="169" spans="1:8" ht="19" customHeight="1" x14ac:dyDescent="0.3">
      <c r="A169">
        <v>1630</v>
      </c>
      <c r="B169" s="1">
        <v>8695.6071997577583</v>
      </c>
      <c r="C169" s="1">
        <v>0</v>
      </c>
      <c r="D169" s="1">
        <v>1287.5951710266099</v>
      </c>
      <c r="E169" s="1">
        <v>220.77950549307189</v>
      </c>
      <c r="F169" s="1">
        <v>6783.2396192881242</v>
      </c>
      <c r="G169" s="1">
        <v>5974.9411591565404</v>
      </c>
      <c r="H169" s="1">
        <v>8743.692540381584</v>
      </c>
    </row>
    <row r="170" spans="1:8" ht="19" customHeight="1" x14ac:dyDescent="0.3">
      <c r="A170">
        <v>1640</v>
      </c>
      <c r="B170" s="1">
        <v>8373.6758272699299</v>
      </c>
      <c r="C170" s="1">
        <v>0</v>
      </c>
      <c r="D170" s="1">
        <v>1388.388494160446</v>
      </c>
      <c r="E170" s="1">
        <v>228.70385729881309</v>
      </c>
      <c r="F170" s="1">
        <v>7311.5787729208751</v>
      </c>
      <c r="G170" s="1">
        <v>6244.8420049149327</v>
      </c>
      <c r="H170" s="1">
        <v>9002.0818150059404</v>
      </c>
    </row>
    <row r="171" spans="1:8" ht="19" customHeight="1" x14ac:dyDescent="0.3">
      <c r="A171">
        <v>1650</v>
      </c>
      <c r="B171" s="1">
        <v>8101.5018297742272</v>
      </c>
      <c r="C171" s="1">
        <v>0</v>
      </c>
      <c r="D171" s="1">
        <v>1216.196448470517</v>
      </c>
      <c r="E171" s="1">
        <v>219.8446751903696</v>
      </c>
      <c r="F171" s="1">
        <v>6721.0156656079762</v>
      </c>
      <c r="G171" s="1">
        <v>6472.6946361938672</v>
      </c>
      <c r="H171" s="1">
        <v>8183.6170431641094</v>
      </c>
    </row>
    <row r="172" spans="1:8" ht="19" customHeight="1" x14ac:dyDescent="0.3">
      <c r="A172">
        <v>1660</v>
      </c>
      <c r="B172" s="1">
        <v>7857.4360453342606</v>
      </c>
      <c r="C172" s="1">
        <v>0</v>
      </c>
      <c r="D172" s="1">
        <v>1292.826508076706</v>
      </c>
      <c r="E172" s="1">
        <v>226.16081843336039</v>
      </c>
      <c r="F172" s="1">
        <v>7142.1409150573627</v>
      </c>
      <c r="G172" s="1">
        <v>6716.6755832188001</v>
      </c>
      <c r="H172" s="1">
        <v>8360.7123123385627</v>
      </c>
    </row>
    <row r="173" spans="1:8" ht="19" customHeight="1" x14ac:dyDescent="0.3">
      <c r="A173">
        <v>1670</v>
      </c>
      <c r="B173" s="1">
        <v>7644.6891836922541</v>
      </c>
      <c r="C173" s="1">
        <v>0</v>
      </c>
      <c r="D173" s="1">
        <v>1365.68456781133</v>
      </c>
      <c r="E173" s="1">
        <v>232.16134525799899</v>
      </c>
      <c r="F173" s="1">
        <v>7542.2250699499382</v>
      </c>
      <c r="G173" s="1">
        <v>6946.8930800601429</v>
      </c>
      <c r="H173" s="1">
        <v>8530.5299371397941</v>
      </c>
    </row>
    <row r="174" spans="1:8" ht="19" customHeight="1" x14ac:dyDescent="0.3">
      <c r="A174">
        <v>1680</v>
      </c>
      <c r="B174" s="1">
        <v>7457.0399310218436</v>
      </c>
      <c r="C174" s="1">
        <v>0</v>
      </c>
      <c r="D174" s="1">
        <v>1435.1790582983549</v>
      </c>
      <c r="E174" s="1">
        <v>237.88043692734129</v>
      </c>
      <c r="F174" s="1">
        <v>7923.5468811560904</v>
      </c>
      <c r="G174" s="1">
        <v>7165.0734687458889</v>
      </c>
      <c r="H174" s="1">
        <v>8693.6223264101991</v>
      </c>
    </row>
    <row r="175" spans="1:8" ht="19" customHeight="1" x14ac:dyDescent="0.3">
      <c r="A175">
        <v>1690</v>
      </c>
      <c r="B175" s="1">
        <v>7289.8943563963803</v>
      </c>
      <c r="C175" s="1">
        <v>0</v>
      </c>
      <c r="D175" s="1">
        <v>1501.6415858013311</v>
      </c>
      <c r="E175" s="1">
        <v>243.34586290625111</v>
      </c>
      <c r="F175" s="1">
        <v>8287.957646333407</v>
      </c>
      <c r="G175" s="1">
        <v>7372.5808156001312</v>
      </c>
      <c r="H175" s="1">
        <v>8850.4767114832757</v>
      </c>
    </row>
    <row r="176" spans="1:8" ht="19" customHeight="1" x14ac:dyDescent="0.3">
      <c r="A176">
        <v>1700</v>
      </c>
      <c r="B176" s="1">
        <v>7139.7718586533247</v>
      </c>
      <c r="C176" s="1">
        <v>0</v>
      </c>
      <c r="D176" s="1">
        <v>1565.3466477490981</v>
      </c>
      <c r="E176" s="1">
        <v>248.58062440571209</v>
      </c>
      <c r="F176" s="1">
        <v>8636.9907795474755</v>
      </c>
      <c r="G176" s="1">
        <v>7570.5178579439653</v>
      </c>
      <c r="H176" s="1">
        <v>9001.5237691035109</v>
      </c>
    </row>
    <row r="177" spans="1:8" ht="19" customHeight="1" x14ac:dyDescent="0.3">
      <c r="A177">
        <v>1710</v>
      </c>
      <c r="B177" s="1">
        <v>7003.9776963720324</v>
      </c>
      <c r="C177" s="1">
        <v>0</v>
      </c>
      <c r="D177" s="1">
        <v>1626.5251780283661</v>
      </c>
      <c r="E177" s="1">
        <v>253.60408378076511</v>
      </c>
      <c r="F177" s="1">
        <v>8971.93710446767</v>
      </c>
      <c r="G177" s="1">
        <v>7759.7932230945171</v>
      </c>
      <c r="H177" s="1">
        <v>9147.1456956231541</v>
      </c>
    </row>
    <row r="178" spans="1:8" ht="19" customHeight="1" x14ac:dyDescent="0.3">
      <c r="A178">
        <v>1720</v>
      </c>
      <c r="B178" s="1">
        <v>6880.3866966237474</v>
      </c>
      <c r="C178" s="1">
        <v>0</v>
      </c>
      <c r="D178" s="1">
        <v>1685.3741492035799</v>
      </c>
      <c r="E178" s="1">
        <v>258.43276532450881</v>
      </c>
      <c r="F178" s="1">
        <v>9293.8982406339164</v>
      </c>
      <c r="G178" s="1">
        <v>7941.1677639209793</v>
      </c>
      <c r="H178" s="1">
        <v>9287.6832577129353</v>
      </c>
    </row>
    <row r="179" spans="1:8" ht="19" customHeight="1" x14ac:dyDescent="0.3">
      <c r="A179">
        <v>1730</v>
      </c>
      <c r="B179" s="1">
        <v>6767.2959465003796</v>
      </c>
      <c r="C179" s="1">
        <v>0</v>
      </c>
      <c r="D179" s="1">
        <v>1742.0635621103229</v>
      </c>
      <c r="E179" s="1">
        <v>263.08093830673579</v>
      </c>
      <c r="F179" s="1">
        <v>9603.8254726990544</v>
      </c>
      <c r="G179" s="1">
        <v>8115.2874467184793</v>
      </c>
      <c r="H179" s="1">
        <v>9423.4417737305757</v>
      </c>
    </row>
    <row r="180" spans="1:8" ht="19" customHeight="1" x14ac:dyDescent="0.3">
      <c r="A180">
        <v>1740</v>
      </c>
      <c r="B180" s="1">
        <v>6663.3217859660444</v>
      </c>
      <c r="C180" s="1">
        <v>0</v>
      </c>
      <c r="D180" s="1">
        <v>1796.7416504112059</v>
      </c>
      <c r="E180" s="1">
        <v>267.56105121571818</v>
      </c>
      <c r="F180" s="1">
        <v>9902.5486998812157</v>
      </c>
      <c r="G180" s="1">
        <v>8282.7072864211477</v>
      </c>
      <c r="H180" s="1">
        <v>9554.6961279600691</v>
      </c>
    </row>
    <row r="181" spans="1:8" ht="19" customHeight="1" x14ac:dyDescent="0.3">
      <c r="A181">
        <v>1750</v>
      </c>
      <c r="B181" s="1">
        <v>6567.326109001955</v>
      </c>
      <c r="C181" s="1">
        <v>0</v>
      </c>
      <c r="D181" s="1">
        <v>1849.538832948127</v>
      </c>
      <c r="E181" s="1">
        <v>271.88406160542638</v>
      </c>
      <c r="F181" s="1">
        <v>10190.79842577843</v>
      </c>
      <c r="G181" s="1">
        <v>8443.9091485294921</v>
      </c>
      <c r="H181" s="1">
        <v>9681.6949584989379</v>
      </c>
    </row>
    <row r="182" spans="1:8" ht="19" customHeight="1" x14ac:dyDescent="0.3">
      <c r="A182">
        <v>1760</v>
      </c>
      <c r="B182" s="1">
        <v>6478.3625626693083</v>
      </c>
      <c r="C182" s="1">
        <v>0</v>
      </c>
      <c r="D182" s="1">
        <v>1900.5707672935309</v>
      </c>
      <c r="E182" s="1">
        <v>276.05969100077112</v>
      </c>
      <c r="F182" s="1">
        <v>10469.222752051401</v>
      </c>
      <c r="G182" s="1">
        <v>8599.3152433089181</v>
      </c>
      <c r="H182" s="1">
        <v>9804.6641567424886</v>
      </c>
    </row>
    <row r="183" spans="1:8" ht="19" customHeight="1" x14ac:dyDescent="0.3">
      <c r="A183">
        <v>1770</v>
      </c>
      <c r="B183" s="1">
        <v>6395.6365664657842</v>
      </c>
      <c r="C183" s="1">
        <v>0</v>
      </c>
      <c r="D183" s="1">
        <v>1949.9407450445319</v>
      </c>
      <c r="E183" s="1">
        <v>280.09662490966468</v>
      </c>
      <c r="F183" s="1">
        <v>10738.400712560981</v>
      </c>
      <c r="G183" s="1">
        <v>8749.2985275874253</v>
      </c>
      <c r="H183" s="1">
        <v>9923.8097997235564</v>
      </c>
    </row>
    <row r="184" spans="1:8" ht="19" customHeight="1" x14ac:dyDescent="0.3">
      <c r="A184">
        <v>1780</v>
      </c>
      <c r="B184" s="1">
        <v>6318.4751266180992</v>
      </c>
      <c r="C184" s="1">
        <v>0</v>
      </c>
      <c r="D184" s="1">
        <v>1997.741596359898</v>
      </c>
      <c r="E184" s="1">
        <v>284.00267190397</v>
      </c>
      <c r="F184" s="1">
        <v>10998.85287876467</v>
      </c>
      <c r="G184" s="1">
        <v>8894.1908432456148</v>
      </c>
      <c r="H184" s="1">
        <v>10039.32061701905</v>
      </c>
    </row>
    <row r="185" spans="1:8" ht="19" customHeight="1" x14ac:dyDescent="0.3">
      <c r="A185">
        <v>1790</v>
      </c>
      <c r="B185" s="1">
        <v>6246.3037188266026</v>
      </c>
      <c r="C185" s="1">
        <v>0</v>
      </c>
      <c r="D185" s="1">
        <v>2044.057222758174</v>
      </c>
      <c r="E185" s="1">
        <v>287.78489169112038</v>
      </c>
      <c r="F185" s="1">
        <v>11251.049897824691</v>
      </c>
      <c r="G185" s="1">
        <v>9034.2893703990121</v>
      </c>
      <c r="H185" s="1">
        <v>10151.370075675681</v>
      </c>
    </row>
    <row r="186" spans="1:8" ht="19" customHeight="1" x14ac:dyDescent="0.3">
      <c r="A186">
        <v>1800</v>
      </c>
      <c r="B186" s="1">
        <v>6178.6283553480844</v>
      </c>
      <c r="C186" s="1">
        <v>0</v>
      </c>
      <c r="D186" s="1">
        <v>2088.9638442872638</v>
      </c>
      <c r="E186" s="1">
        <v>291.44969935557242</v>
      </c>
      <c r="F186" s="1">
        <v>11495.419442038159</v>
      </c>
      <c r="G186" s="1">
        <v>9169.8618061042234</v>
      </c>
      <c r="H186" s="1">
        <v>10260.11815093394</v>
      </c>
    </row>
    <row r="187" spans="1:8" ht="19" customHeight="1" x14ac:dyDescent="0.3">
      <c r="A187">
        <v>1810</v>
      </c>
      <c r="B187" s="1">
        <v>6115.0215106960704</v>
      </c>
      <c r="C187" s="1">
        <v>0</v>
      </c>
      <c r="D187" s="1">
        <v>2132.531024386315</v>
      </c>
      <c r="E187" s="1">
        <v>295.00295104977812</v>
      </c>
      <c r="F187" s="1">
        <v>11732.351921568539</v>
      </c>
      <c r="G187" s="1">
        <v>9301.150565728678</v>
      </c>
      <c r="H187" s="1">
        <v>10365.712837589859</v>
      </c>
    </row>
    <row r="188" spans="1:8" ht="19" customHeight="1" x14ac:dyDescent="0.3">
      <c r="A188">
        <v>1820</v>
      </c>
      <c r="B188" s="1">
        <v>6055.1109577670904</v>
      </c>
      <c r="C188" s="1">
        <v>0</v>
      </c>
      <c r="D188" s="1">
        <v>2174.822519691048</v>
      </c>
      <c r="E188" s="1">
        <v>298.45001507487552</v>
      </c>
      <c r="F188" s="1">
        <v>11962.20522315836</v>
      </c>
      <c r="G188" s="1">
        <v>9428.3762253035784</v>
      </c>
      <c r="H188" s="1">
        <v>10468.29144635479</v>
      </c>
    </row>
    <row r="189" spans="1:8" ht="19" customHeight="1" x14ac:dyDescent="0.3">
      <c r="A189">
        <v>1830</v>
      </c>
      <c r="B189" s="1">
        <v>5998.5708260644014</v>
      </c>
      <c r="C189" s="1">
        <v>0</v>
      </c>
      <c r="D189" s="1">
        <v>2215.8969905154891</v>
      </c>
      <c r="E189" s="1">
        <v>301.79583133112942</v>
      </c>
      <c r="F189" s="1">
        <v>12185.30867349196</v>
      </c>
      <c r="G189" s="1">
        <v>9551.7403675767764</v>
      </c>
      <c r="H189" s="1">
        <v>10567.98172116519</v>
      </c>
    </row>
    <row r="190" spans="1:8" ht="19" customHeight="1" x14ac:dyDescent="0.3">
      <c r="A190">
        <v>1840</v>
      </c>
      <c r="B190" s="1">
        <v>5945.1143754922668</v>
      </c>
      <c r="C190" s="1">
        <v>0</v>
      </c>
      <c r="D190" s="1">
        <v>2255.80859936354</v>
      </c>
      <c r="E190" s="1">
        <v>305.04496141957043</v>
      </c>
      <c r="F190" s="1">
        <v>12401.9663793047</v>
      </c>
      <c r="G190" s="1">
        <v>9671.4279546333019</v>
      </c>
      <c r="H190" s="1">
        <v>10664.9028066714</v>
      </c>
    </row>
    <row r="191" spans="1:8" ht="19" customHeight="1" x14ac:dyDescent="0.3">
      <c r="A191">
        <v>1850</v>
      </c>
      <c r="B191" s="1">
        <v>5894.4881083030941</v>
      </c>
      <c r="C191" s="1">
        <v>0</v>
      </c>
      <c r="D191" s="1">
        <v>2294.6075186441599</v>
      </c>
      <c r="E191" s="1">
        <v>308.20163116106181</v>
      </c>
      <c r="F191" s="1">
        <v>12612.460061987451</v>
      </c>
      <c r="G191" s="1">
        <v>9787.6093209765168</v>
      </c>
      <c r="H191" s="1">
        <v>10759.16608976094</v>
      </c>
    </row>
    <row r="192" spans="1:8" ht="19" customHeight="1" x14ac:dyDescent="0.3">
      <c r="A192">
        <v>1860</v>
      </c>
      <c r="B192" s="1">
        <v>5846.4669347338258</v>
      </c>
      <c r="C192" s="1">
        <v>0</v>
      </c>
      <c r="D192" s="1">
        <v>2332.3403641495038</v>
      </c>
      <c r="E192" s="1">
        <v>311.26976691426819</v>
      </c>
      <c r="F192" s="1">
        <v>12817.05147878455</v>
      </c>
      <c r="G192" s="1">
        <v>9900.4418596136002</v>
      </c>
      <c r="H192" s="1">
        <v>10850.87593467095</v>
      </c>
    </row>
    <row r="193" spans="1:8" ht="19" customHeight="1" x14ac:dyDescent="0.3">
      <c r="A193">
        <v>1870</v>
      </c>
      <c r="B193" s="1">
        <v>5800.850175636132</v>
      </c>
      <c r="C193" s="1">
        <v>0</v>
      </c>
      <c r="D193" s="1">
        <v>2369.0505673697539</v>
      </c>
      <c r="E193" s="1">
        <v>314.25302678334953</v>
      </c>
      <c r="F193" s="1">
        <v>13015.98450330663</v>
      </c>
      <c r="G193" s="1">
        <v>10010.071457766029</v>
      </c>
      <c r="H193" s="1">
        <v>10940.130327790601</v>
      </c>
    </row>
    <row r="194" spans="1:8" ht="19" customHeight="1" x14ac:dyDescent="0.3">
      <c r="A194">
        <v>1880</v>
      </c>
      <c r="B194" s="1">
        <v>5757.4582354024651</v>
      </c>
      <c r="C194" s="1">
        <v>0</v>
      </c>
      <c r="D194" s="1">
        <v>2404.778697057488</v>
      </c>
      <c r="E194" s="1">
        <v>317.15482758429641</v>
      </c>
      <c r="F194" s="1">
        <v>13209.486923286429</v>
      </c>
      <c r="G194" s="1">
        <v>10116.6337268138</v>
      </c>
      <c r="H194" s="1">
        <v>11027.021445472619</v>
      </c>
    </row>
    <row r="195" spans="1:8" ht="19" customHeight="1" x14ac:dyDescent="0.3">
      <c r="A195">
        <v>1890</v>
      </c>
      <c r="B195" s="1">
        <v>5716.1298157696656</v>
      </c>
      <c r="C195" s="1">
        <v>0</v>
      </c>
      <c r="D195" s="1">
        <v>2439.5627384028921</v>
      </c>
      <c r="E195" s="1">
        <v>319.9783682677313</v>
      </c>
      <c r="F195" s="1">
        <v>13397.77200209876</v>
      </c>
      <c r="G195" s="1">
        <v>10220.255061926789</v>
      </c>
      <c r="H195" s="1">
        <v>11111.636155921969</v>
      </c>
    </row>
    <row r="196" spans="1:8" ht="19" customHeight="1" x14ac:dyDescent="0.3">
      <c r="A196">
        <v>1900</v>
      </c>
      <c r="B196" s="1">
        <v>5676.7195691675934</v>
      </c>
      <c r="C196" s="1">
        <v>0</v>
      </c>
      <c r="D196" s="1">
        <v>2473.4383365849649</v>
      </c>
      <c r="E196" s="1">
        <v>322.72665036286168</v>
      </c>
      <c r="F196" s="1">
        <v>13581.039841690779</v>
      </c>
      <c r="G196" s="1">
        <v>10321.05355978929</v>
      </c>
      <c r="H196" s="1">
        <v>11194.05646440149</v>
      </c>
    </row>
    <row r="197" spans="1:8" ht="19" customHeight="1" x14ac:dyDescent="0.3">
      <c r="A197">
        <v>1910</v>
      </c>
      <c r="B197" s="1">
        <v>5639.0961116346289</v>
      </c>
      <c r="C197" s="1">
        <v>0</v>
      </c>
      <c r="D197" s="1">
        <v>2506.4390102113039</v>
      </c>
      <c r="E197" s="1">
        <v>325.40249590279308</v>
      </c>
      <c r="F197" s="1">
        <v>13759.47857760288</v>
      </c>
      <c r="G197" s="1">
        <v>10419.13981735068</v>
      </c>
      <c r="H197" s="1">
        <v>11274.359909502189</v>
      </c>
    </row>
    <row r="198" spans="1:8" ht="19" customHeight="1" x14ac:dyDescent="0.3">
      <c r="A198">
        <v>1920</v>
      </c>
      <c r="B198" s="1">
        <v>5603.1403317050936</v>
      </c>
      <c r="C198" s="1">
        <v>0</v>
      </c>
      <c r="D198" s="1">
        <v>2538.5963391682881</v>
      </c>
      <c r="E198" s="1">
        <v>328.00856320875931</v>
      </c>
      <c r="F198" s="1">
        <v>13933.26543125062</v>
      </c>
      <c r="G198" s="1">
        <v>10514.61763024774</v>
      </c>
      <c r="H198" s="1">
        <v>11352.619917002879</v>
      </c>
    </row>
    <row r="199" spans="1:8" ht="19" customHeight="1" x14ac:dyDescent="0.3">
      <c r="A199">
        <v>1930</v>
      </c>
      <c r="B199" s="1">
        <v>5568.7439443467501</v>
      </c>
      <c r="C199" s="1">
        <v>0</v>
      </c>
      <c r="D199" s="1">
        <v>2569.9401306139289</v>
      </c>
      <c r="E199" s="1">
        <v>330.54736084494863</v>
      </c>
      <c r="F199" s="1">
        <v>14102.567640246571</v>
      </c>
      <c r="G199" s="1">
        <v>10607.584606159409</v>
      </c>
      <c r="H199" s="1">
        <v>11428.90611683717</v>
      </c>
    </row>
    <row r="200" spans="1:8" ht="19" customHeight="1" x14ac:dyDescent="0.3">
      <c r="A200">
        <v>1940</v>
      </c>
      <c r="B200" s="1">
        <v>5535.8082489013223</v>
      </c>
      <c r="C200" s="1">
        <v>0</v>
      </c>
      <c r="D200" s="1">
        <v>2600.4985662120198</v>
      </c>
      <c r="E200" s="1">
        <v>333.02126000274473</v>
      </c>
      <c r="F200" s="1">
        <v>14267.54328401631</v>
      </c>
      <c r="G200" s="1">
        <v>10698.13270566298</v>
      </c>
      <c r="H200" s="1">
        <v>11503.28462785334</v>
      </c>
    </row>
    <row r="201" spans="1:8" ht="19" customHeight="1" x14ac:dyDescent="0.3">
      <c r="A201">
        <v>1950</v>
      </c>
      <c r="B201" s="1">
        <v>5504.2430577407849</v>
      </c>
      <c r="C201" s="1">
        <v>0</v>
      </c>
      <c r="D201" s="1">
        <v>2630.2983331943119</v>
      </c>
      <c r="E201" s="1">
        <v>335.43250553047523</v>
      </c>
      <c r="F201" s="1">
        <v>14428.342019115011</v>
      </c>
      <c r="G201" s="1">
        <v>10786.34872100376</v>
      </c>
      <c r="H201" s="1">
        <v>11575.81831436125</v>
      </c>
    </row>
    <row r="202" spans="1:8" ht="19" customHeight="1" x14ac:dyDescent="0.3">
      <c r="A202">
        <v>1960</v>
      </c>
      <c r="B202" s="1">
        <v>5473.965768481039</v>
      </c>
      <c r="C202" s="1">
        <v>0</v>
      </c>
      <c r="D202" s="1">
        <v>2659.3647414214352</v>
      </c>
      <c r="E202" s="1">
        <v>337.78322579005032</v>
      </c>
      <c r="F202" s="1">
        <v>14585.10573633668</v>
      </c>
      <c r="G202" s="1">
        <v>10872.314701452329</v>
      </c>
      <c r="H202" s="1">
        <v>11646.56701788435</v>
      </c>
    </row>
    <row r="203" spans="1:8" ht="19" customHeight="1" x14ac:dyDescent="0.3">
      <c r="A203">
        <v>1970</v>
      </c>
      <c r="B203" s="1">
        <v>5444.9005574765943</v>
      </c>
      <c r="C203" s="1">
        <v>0</v>
      </c>
      <c r="D203" s="1">
        <v>2687.7218282730132</v>
      </c>
      <c r="E203" s="1">
        <v>340.07544149346961</v>
      </c>
      <c r="F203" s="1">
        <v>14737.96914981464</v>
      </c>
      <c r="G203" s="1">
        <v>10956.108332512729</v>
      </c>
      <c r="H203" s="1">
        <v>11715.587767051909</v>
      </c>
    </row>
    <row r="204" spans="1:8" ht="19" customHeight="1" x14ac:dyDescent="0.3">
      <c r="A204">
        <v>1980</v>
      </c>
      <c r="B204" s="1">
        <v>5416.97767622629</v>
      </c>
      <c r="C204" s="1">
        <v>0</v>
      </c>
      <c r="D204" s="1">
        <v>2715.3924529177912</v>
      </c>
      <c r="E204" s="1">
        <v>342.31107364883428</v>
      </c>
      <c r="F204" s="1">
        <v>14887.06032675562</v>
      </c>
      <c r="G204" s="1">
        <v>11037.80327509416</v>
      </c>
      <c r="H204" s="1">
        <v>11782.934968161449</v>
      </c>
    </row>
    <row r="205" spans="1:8" ht="19" customHeight="1" x14ac:dyDescent="0.3">
      <c r="A205">
        <v>1990</v>
      </c>
      <c r="B205" s="1">
        <v>5390.1328354659654</v>
      </c>
      <c r="C205" s="1">
        <v>0</v>
      </c>
      <c r="D205" s="1">
        <v>2742.3983812833922</v>
      </c>
      <c r="E205" s="1">
        <v>344.49195072620148</v>
      </c>
      <c r="F205" s="1">
        <v>15032.50116516344</v>
      </c>
      <c r="G205" s="1">
        <v>11117.46946981453</v>
      </c>
      <c r="H205" s="1">
        <v>11848.6605785989</v>
      </c>
    </row>
    <row r="206" spans="1:8" ht="19" customHeight="1" x14ac:dyDescent="0.3">
      <c r="A206">
        <v>2000</v>
      </c>
      <c r="B206" s="1">
        <v>5364.3066642720614</v>
      </c>
      <c r="C206" s="1">
        <v>0</v>
      </c>
      <c r="D206" s="1">
        <v>2768.7603628533311</v>
      </c>
      <c r="E206" s="1">
        <v>346.61981513758627</v>
      </c>
      <c r="F206" s="1">
        <v>15174.40782583908</v>
      </c>
      <c r="G206" s="1">
        <v>11195.173410824849</v>
      </c>
      <c r="H206" s="1">
        <v>11912.814265014231</v>
      </c>
    </row>
    <row r="207" spans="1:8" ht="19" customHeight="1" x14ac:dyDescent="0.3">
      <c r="A207">
        <v>2010</v>
      </c>
      <c r="B207" s="1">
        <v>5339.4442335758195</v>
      </c>
      <c r="C207" s="1">
        <v>0</v>
      </c>
      <c r="D207" s="1">
        <v>2794.4982002586698</v>
      </c>
      <c r="E207" s="1">
        <v>348.69632911203507</v>
      </c>
      <c r="F207" s="1">
        <v>15312.891124052339</v>
      </c>
      <c r="G207" s="1">
        <v>11270.97839289794</v>
      </c>
      <c r="H207" s="1">
        <v>11975.4435479044</v>
      </c>
    </row>
    <row r="208" spans="1:8" ht="19" customHeight="1" x14ac:dyDescent="0.3">
      <c r="A208">
        <v>2020</v>
      </c>
      <c r="B208" s="1">
        <v>5315.4946668894954</v>
      </c>
      <c r="C208" s="1">
        <v>0</v>
      </c>
      <c r="D208" s="1">
        <v>3437.8821764786749</v>
      </c>
      <c r="E208" s="1">
        <v>387.8986011139549</v>
      </c>
      <c r="F208" s="1">
        <v>17926.424957430321</v>
      </c>
      <c r="G208" s="1">
        <v>11391.655238250019</v>
      </c>
      <c r="H208" s="1">
        <v>14468.251502680299</v>
      </c>
    </row>
    <row r="209" spans="1:8" ht="19" customHeight="1" x14ac:dyDescent="0.3">
      <c r="A209">
        <v>2030</v>
      </c>
      <c r="B209" s="1">
        <v>5299.4317947485879</v>
      </c>
      <c r="C209" s="1">
        <v>0</v>
      </c>
      <c r="D209" s="1">
        <v>3458.6567168427309</v>
      </c>
      <c r="E209" s="1">
        <v>389.48856025176912</v>
      </c>
      <c r="F209" s="1">
        <v>18032.471266534601</v>
      </c>
      <c r="G209" s="1">
        <v>11441.96015667221</v>
      </c>
      <c r="H209" s="1">
        <v>14523.943860112389</v>
      </c>
    </row>
    <row r="210" spans="1:8" ht="19" customHeight="1" x14ac:dyDescent="0.3">
      <c r="A210">
        <v>2040</v>
      </c>
      <c r="B210" s="1">
        <v>5283.9226613967949</v>
      </c>
      <c r="C210" s="1">
        <v>0</v>
      </c>
      <c r="D210" s="1">
        <v>3478.893977949594</v>
      </c>
      <c r="E210" s="1">
        <v>391.03684438650799</v>
      </c>
      <c r="F210" s="1">
        <v>18135.739242100532</v>
      </c>
      <c r="G210" s="1">
        <v>11490.937982409079</v>
      </c>
      <c r="H210" s="1">
        <v>14578.184976691449</v>
      </c>
    </row>
    <row r="211" spans="1:8" ht="19" customHeight="1" x14ac:dyDescent="0.3">
      <c r="A211">
        <v>2050</v>
      </c>
      <c r="B211" s="1">
        <v>5268.94200466446</v>
      </c>
      <c r="C211" s="1">
        <v>0</v>
      </c>
      <c r="D211" s="1">
        <v>3498.6098584110919</v>
      </c>
      <c r="E211" s="1">
        <v>392.54470932884823</v>
      </c>
      <c r="F211" s="1">
        <v>18236.312604839881</v>
      </c>
      <c r="G211" s="1">
        <v>11538.62931531389</v>
      </c>
      <c r="H211" s="1">
        <v>14631.01797327599</v>
      </c>
    </row>
    <row r="212" spans="1:8" ht="19" customHeight="1" x14ac:dyDescent="0.3">
      <c r="A212">
        <v>2060</v>
      </c>
      <c r="B212" s="1">
        <v>5254.4665596005007</v>
      </c>
      <c r="C212" s="1">
        <v>0</v>
      </c>
      <c r="D212" s="1">
        <v>3517.8196592482009</v>
      </c>
      <c r="E212" s="1">
        <v>394.01336289368538</v>
      </c>
      <c r="F212" s="1">
        <v>18334.27187574569</v>
      </c>
      <c r="G212" s="1">
        <v>11585.073121183559</v>
      </c>
      <c r="H212" s="1">
        <v>14682.48440506214</v>
      </c>
    </row>
    <row r="213" spans="1:8" ht="19" customHeight="1" x14ac:dyDescent="0.3">
      <c r="A213">
        <v>2070</v>
      </c>
      <c r="B213" s="1">
        <v>5240.4744058589249</v>
      </c>
      <c r="C213" s="1">
        <v>0</v>
      </c>
      <c r="D213" s="1">
        <v>3536.5381210531109</v>
      </c>
      <c r="E213" s="1">
        <v>395.44396785860721</v>
      </c>
      <c r="F213" s="1">
        <v>18429.69457332381</v>
      </c>
      <c r="G213" s="1">
        <v>11630.306876724921</v>
      </c>
      <c r="H213" s="1">
        <v>14732.62431384889</v>
      </c>
    </row>
    <row r="214" spans="1:8" ht="19" customHeight="1" x14ac:dyDescent="0.3">
      <c r="A214">
        <v>2080</v>
      </c>
      <c r="B214" s="1">
        <v>5226.9449763851881</v>
      </c>
      <c r="C214" s="1">
        <v>0</v>
      </c>
      <c r="D214" s="1">
        <v>3554.7794515343789</v>
      </c>
      <c r="E214" s="1">
        <v>396.8376442010117</v>
      </c>
      <c r="F214" s="1">
        <v>18522.65536273412</v>
      </c>
      <c r="G214" s="1">
        <v>11674.366637126819</v>
      </c>
      <c r="H214" s="1">
        <v>14781.476309607289</v>
      </c>
    </row>
    <row r="215" spans="1:8" ht="19" customHeight="1" x14ac:dyDescent="0.3">
      <c r="A215">
        <v>2090</v>
      </c>
      <c r="B215" s="1">
        <v>5213.860078439091</v>
      </c>
      <c r="C215" s="1">
        <v>0</v>
      </c>
      <c r="D215" s="1">
        <v>3572.5573528559039</v>
      </c>
      <c r="E215" s="1">
        <v>398.1954713501317</v>
      </c>
      <c r="F215" s="1">
        <v>18613.226205925439</v>
      </c>
      <c r="G215" s="1">
        <v>11717.28701958584</v>
      </c>
      <c r="H215" s="1">
        <v>14829.077737089599</v>
      </c>
    </row>
    <row r="216" spans="1:8" ht="19" customHeight="1" x14ac:dyDescent="0.3">
      <c r="A216">
        <v>2100</v>
      </c>
      <c r="B216" s="1">
        <v>5201.1991780263543</v>
      </c>
      <c r="C216" s="1">
        <v>0</v>
      </c>
      <c r="D216" s="1">
        <v>3589.8850621477218</v>
      </c>
      <c r="E216" s="1">
        <v>399.51849121689679</v>
      </c>
      <c r="F216" s="1">
        <v>18701.47656362646</v>
      </c>
      <c r="G216" s="1">
        <v>11759.10168991862</v>
      </c>
      <c r="H216" s="1">
        <v>14875.46439120783</v>
      </c>
    </row>
    <row r="217" spans="1:8" ht="19" customHeight="1" x14ac:dyDescent="0.3">
      <c r="A217">
        <v>2110</v>
      </c>
      <c r="B217" s="1">
        <v>5188.9449635403926</v>
      </c>
      <c r="C217" s="1">
        <v>0</v>
      </c>
      <c r="D217" s="1">
        <v>3606.7753267718549</v>
      </c>
      <c r="E217" s="1">
        <v>400.80770662381582</v>
      </c>
      <c r="F217" s="1">
        <v>18787.473290671049</v>
      </c>
      <c r="G217" s="1">
        <v>11799.842849051631</v>
      </c>
      <c r="H217" s="1">
        <v>14920.670925869421</v>
      </c>
    </row>
    <row r="218" spans="1:8" ht="19" customHeight="1" x14ac:dyDescent="0.3">
      <c r="A218">
        <v>2120</v>
      </c>
      <c r="B218" s="1">
        <v>5177.0810236439374</v>
      </c>
      <c r="C218" s="1">
        <v>0</v>
      </c>
      <c r="D218" s="1">
        <v>3623.316887078794</v>
      </c>
      <c r="E218" s="1">
        <v>400.87166492933972</v>
      </c>
      <c r="F218" s="1">
        <v>18791.786210955979</v>
      </c>
      <c r="G218" s="1">
        <v>11804.114243327311</v>
      </c>
      <c r="H218" s="1">
        <v>14920.66341862867</v>
      </c>
    </row>
    <row r="219" spans="1:8" ht="19" customHeight="1" x14ac:dyDescent="0.3">
      <c r="A219">
        <v>2130</v>
      </c>
      <c r="B219" s="1">
        <v>5165.5789325555252</v>
      </c>
      <c r="C219" s="1">
        <v>0</v>
      </c>
      <c r="D219" s="1">
        <v>3639.3859185884571</v>
      </c>
      <c r="E219" s="1">
        <v>402.08223700836902</v>
      </c>
      <c r="F219" s="1">
        <v>18872.540049474599</v>
      </c>
      <c r="G219" s="1">
        <v>11842.388566918051</v>
      </c>
      <c r="H219" s="1">
        <v>14963.09390030655</v>
      </c>
    </row>
    <row r="220" spans="1:8" ht="19" customHeight="1" x14ac:dyDescent="0.3">
      <c r="A220">
        <v>2140</v>
      </c>
      <c r="B220" s="1">
        <v>5154.43784333449</v>
      </c>
      <c r="C220" s="1">
        <v>0</v>
      </c>
      <c r="D220" s="1">
        <v>3655.052958795874</v>
      </c>
      <c r="E220" s="1">
        <v>403.26205701982877</v>
      </c>
      <c r="F220" s="1">
        <v>18951.243750155259</v>
      </c>
      <c r="G220" s="1">
        <v>11879.686566139009</v>
      </c>
      <c r="H220" s="1">
        <v>15004.450568516249</v>
      </c>
    </row>
    <row r="221" spans="1:8" ht="19" customHeight="1" x14ac:dyDescent="0.3">
      <c r="A221">
        <v>2150</v>
      </c>
      <c r="B221" s="1">
        <v>5143.6435933412204</v>
      </c>
      <c r="C221" s="1">
        <v>0</v>
      </c>
      <c r="D221" s="1">
        <v>3670.3291317398798</v>
      </c>
      <c r="E221" s="1">
        <v>404.41199539968471</v>
      </c>
      <c r="F221" s="1">
        <v>19027.955342062309</v>
      </c>
      <c r="G221" s="1">
        <v>11916.03613321125</v>
      </c>
      <c r="H221" s="1">
        <v>15044.763560101061</v>
      </c>
    </row>
    <row r="222" spans="1:8" ht="19" customHeight="1" x14ac:dyDescent="0.3">
      <c r="A222">
        <v>2160</v>
      </c>
      <c r="B222" s="1">
        <v>5133.1831779871691</v>
      </c>
      <c r="C222" s="1">
        <v>0</v>
      </c>
      <c r="D222" s="1">
        <v>3685.225193394002</v>
      </c>
      <c r="E222" s="1">
        <v>405.53289303346691</v>
      </c>
      <c r="F222" s="1">
        <v>19102.730884231129</v>
      </c>
      <c r="G222" s="1">
        <v>11951.46415967004</v>
      </c>
      <c r="H222" s="1">
        <v>15084.06204256109</v>
      </c>
    </row>
    <row r="223" spans="1:8" ht="19" customHeight="1" x14ac:dyDescent="0.3">
      <c r="A223">
        <v>2170</v>
      </c>
      <c r="B223" s="1">
        <v>5123.043277211098</v>
      </c>
      <c r="C223" s="1">
        <v>0</v>
      </c>
      <c r="D223" s="1">
        <v>3699.7515533845558</v>
      </c>
      <c r="E223" s="1">
        <v>406.62556293715068</v>
      </c>
      <c r="F223" s="1">
        <v>19175.624577726721</v>
      </c>
      <c r="G223" s="1">
        <v>11985.99671086454</v>
      </c>
      <c r="H223" s="1">
        <v>15122.374151612181</v>
      </c>
    </row>
    <row r="224" spans="1:8" ht="19" customHeight="1" x14ac:dyDescent="0.3">
      <c r="A224">
        <v>2180</v>
      </c>
      <c r="B224" s="1">
        <v>5113.2116509086463</v>
      </c>
      <c r="C224" s="1">
        <v>0</v>
      </c>
      <c r="D224" s="1">
        <v>3713.9182761606189</v>
      </c>
      <c r="E224" s="1">
        <v>407.69079049896612</v>
      </c>
      <c r="F224" s="1">
        <v>19246.688781764409</v>
      </c>
      <c r="G224" s="1">
        <v>12019.65891649798</v>
      </c>
      <c r="H224" s="1">
        <v>15159.727116766429</v>
      </c>
    </row>
    <row r="225" spans="1:8" ht="19" customHeight="1" x14ac:dyDescent="0.3">
      <c r="A225">
        <v>2190</v>
      </c>
      <c r="B225" s="1">
        <v>5103.6767807377983</v>
      </c>
      <c r="C225" s="1">
        <v>0</v>
      </c>
      <c r="D225" s="1">
        <v>3727.7351013834232</v>
      </c>
      <c r="E225" s="1">
        <v>408.72933509386928</v>
      </c>
      <c r="F225" s="1">
        <v>19315.974121341289</v>
      </c>
      <c r="G225" s="1">
        <v>12052.47504996655</v>
      </c>
      <c r="H225" s="1">
        <v>15196.147289624731</v>
      </c>
    </row>
    <row r="226" spans="1:8" ht="19" customHeight="1" x14ac:dyDescent="0.3">
      <c r="A226">
        <v>2200</v>
      </c>
      <c r="B226" s="1">
        <v>5094.427697122379</v>
      </c>
      <c r="C226" s="1">
        <v>0</v>
      </c>
      <c r="D226" s="1">
        <v>3741.2114590256838</v>
      </c>
      <c r="E226" s="1">
        <v>409.741931300815</v>
      </c>
      <c r="F226" s="1">
        <v>19383.529568387668</v>
      </c>
      <c r="G226" s="1">
        <v>12084.468580008999</v>
      </c>
      <c r="H226" s="1">
        <v>15231.66017337867</v>
      </c>
    </row>
    <row r="227" spans="1:8" ht="19" customHeight="1" x14ac:dyDescent="0.3">
      <c r="A227">
        <v>2210</v>
      </c>
      <c r="B227" s="1">
        <v>5085.4539463459887</v>
      </c>
      <c r="C227" s="1">
        <v>0</v>
      </c>
      <c r="D227" s="1">
        <v>3754.3564818384029</v>
      </c>
      <c r="E227" s="1">
        <v>410.72928992229191</v>
      </c>
      <c r="F227" s="1">
        <v>19449.40250973613</v>
      </c>
      <c r="G227" s="1">
        <v>12115.66220457893</v>
      </c>
      <c r="H227" s="1">
        <v>15266.2904569072</v>
      </c>
    </row>
    <row r="228" spans="1:8" ht="19" customHeight="1" x14ac:dyDescent="0.3">
      <c r="A228">
        <v>2220</v>
      </c>
      <c r="B228" s="1">
        <v>5076.7455600390149</v>
      </c>
      <c r="C228" s="1">
        <v>0</v>
      </c>
      <c r="D228" s="1">
        <v>3767.1790171621001</v>
      </c>
      <c r="E228" s="1">
        <v>411.6920989498837</v>
      </c>
      <c r="F228" s="1">
        <v>19513.638811492241</v>
      </c>
      <c r="G228" s="1">
        <v>12146.07788287097</v>
      </c>
      <c r="H228" s="1">
        <v>15300.062047121281</v>
      </c>
    </row>
    <row r="229" spans="1:8" ht="19" customHeight="1" x14ac:dyDescent="0.3">
      <c r="A229">
        <v>2230</v>
      </c>
      <c r="B229" s="1">
        <v>5068.2930268508862</v>
      </c>
      <c r="C229" s="1">
        <v>0</v>
      </c>
      <c r="D229" s="1">
        <v>3779.6876381262582</v>
      </c>
      <c r="E229" s="1">
        <v>412.63102447944692</v>
      </c>
      <c r="F229" s="1">
        <v>19576.282880046459</v>
      </c>
      <c r="G229" s="1">
        <v>12175.736865627579</v>
      </c>
      <c r="H229" s="1">
        <v>15332.998099668879</v>
      </c>
    </row>
    <row r="230" spans="1:8" ht="19" customHeight="1" x14ac:dyDescent="0.3">
      <c r="A230">
        <v>2240</v>
      </c>
      <c r="B230" s="1">
        <v>5060.0872661385456</v>
      </c>
      <c r="C230" s="1">
        <v>0</v>
      </c>
      <c r="D230" s="1">
        <v>3791.8906542772329</v>
      </c>
      <c r="E230" s="1">
        <v>413.54671157919938</v>
      </c>
      <c r="F230" s="1">
        <v>19637.377719946631</v>
      </c>
      <c r="G230" s="1">
        <v>12204.65972384134</v>
      </c>
      <c r="H230" s="1">
        <v>15365.121048105289</v>
      </c>
    </row>
    <row r="231" spans="1:8" ht="19" customHeight="1" x14ac:dyDescent="0.3">
      <c r="A231">
        <v>2250</v>
      </c>
      <c r="B231" s="1">
        <v>5052.1196034840332</v>
      </c>
      <c r="C231" s="1">
        <v>0</v>
      </c>
      <c r="D231" s="1">
        <v>3803.7961216717972</v>
      </c>
      <c r="E231" s="1">
        <v>414.43978511377298</v>
      </c>
      <c r="F231" s="1">
        <v>19696.964988834861</v>
      </c>
      <c r="G231" s="1">
        <v>12232.86637596135</v>
      </c>
      <c r="H231" s="1">
        <v>15396.45263162351</v>
      </c>
    </row>
    <row r="232" spans="1:8" ht="19" customHeight="1" x14ac:dyDescent="0.3">
      <c r="A232">
        <v>2260</v>
      </c>
      <c r="B232" s="1">
        <v>5044.3817479068985</v>
      </c>
      <c r="C232" s="1">
        <v>0</v>
      </c>
      <c r="D232" s="1">
        <v>3815.4118524703549</v>
      </c>
      <c r="E232" s="1">
        <v>415.31085052702127</v>
      </c>
      <c r="F232" s="1">
        <v>19755.085049634759</v>
      </c>
      <c r="G232" s="1">
        <v>12260.37611370022</v>
      </c>
      <c r="H232" s="1">
        <v>15427.013921434531</v>
      </c>
    </row>
    <row r="233" spans="1:8" ht="19" customHeight="1" x14ac:dyDescent="0.3">
      <c r="A233">
        <v>2270</v>
      </c>
      <c r="B233" s="1">
        <v>5036.865770624001</v>
      </c>
      <c r="C233" s="1">
        <v>0</v>
      </c>
      <c r="D233" s="1">
        <v>3826.7454240614129</v>
      </c>
      <c r="E233" s="1">
        <v>416.1604945861796</v>
      </c>
      <c r="F233" s="1">
        <v>19811.777020161971</v>
      </c>
      <c r="G233" s="1">
        <v>12287.20762653306</v>
      </c>
      <c r="H233" s="1">
        <v>15456.82534587891</v>
      </c>
    </row>
    <row r="234" spans="1:8" ht="19" customHeight="1" x14ac:dyDescent="0.3">
      <c r="A234">
        <v>2280</v>
      </c>
      <c r="B234" s="1">
        <v>5029.5640852443566</v>
      </c>
      <c r="C234" s="1">
        <v>0</v>
      </c>
      <c r="D234" s="1">
        <v>3837.8041877463352</v>
      </c>
      <c r="E234" s="1">
        <v>416.98928608976217</v>
      </c>
      <c r="F234" s="1">
        <v>19867.078820317482</v>
      </c>
      <c r="G234" s="1">
        <v>12313.379024970771</v>
      </c>
      <c r="H234" s="1">
        <v>15485.906714346709</v>
      </c>
    </row>
    <row r="235" spans="1:8" ht="19" customHeight="1" x14ac:dyDescent="0.3">
      <c r="A235">
        <v>2290</v>
      </c>
      <c r="B235" s="1">
        <v>5022.4694292688346</v>
      </c>
      <c r="C235" s="1">
        <v>0</v>
      </c>
      <c r="D235" s="1">
        <v>3848.5952770113922</v>
      </c>
      <c r="E235" s="1">
        <v>417.79777654141981</v>
      </c>
      <c r="F235" s="1">
        <v>19921.02721701132</v>
      </c>
      <c r="G235" s="1">
        <v>12338.907862686139</v>
      </c>
      <c r="H235" s="1">
        <v>15514.27724007518</v>
      </c>
    </row>
    <row r="236" spans="1:8" ht="19" customHeight="1" x14ac:dyDescent="0.3">
      <c r="A236">
        <v>2300</v>
      </c>
      <c r="B236" s="1">
        <v>5015.5748468123884</v>
      </c>
      <c r="C236" s="1">
        <v>0</v>
      </c>
      <c r="D236" s="1">
        <v>3859.12561541185</v>
      </c>
      <c r="E236" s="1">
        <v>418.5865007917933</v>
      </c>
      <c r="F236" s="1">
        <v>19973.657866952879</v>
      </c>
      <c r="G236" s="1">
        <v>12363.81115756192</v>
      </c>
      <c r="H236" s="1">
        <v>15541.95556189096</v>
      </c>
    </row>
    <row r="237" spans="1:8" ht="19" customHeight="1" x14ac:dyDescent="0.3">
      <c r="A237">
        <v>2310</v>
      </c>
      <c r="B237" s="1">
        <v>5008.8736724412029</v>
      </c>
      <c r="C237" s="1">
        <v>0</v>
      </c>
      <c r="D237" s="1">
        <v>3869.4019240913149</v>
      </c>
      <c r="E237" s="1">
        <v>419.3559776502787</v>
      </c>
      <c r="F237" s="1">
        <v>20025.005357435239</v>
      </c>
      <c r="G237" s="1">
        <v>12388.105411728069</v>
      </c>
      <c r="H237" s="1">
        <v>15568.959764957181</v>
      </c>
    </row>
    <row r="238" spans="1:8" ht="19" customHeight="1" x14ac:dyDescent="0.3">
      <c r="A238">
        <v>2320</v>
      </c>
      <c r="B238" s="1">
        <v>5002.3595189875487</v>
      </c>
      <c r="C238" s="1">
        <v>0</v>
      </c>
      <c r="D238" s="1">
        <v>3879.4307289580388</v>
      </c>
      <c r="E238" s="1">
        <v>420.10671046861489</v>
      </c>
      <c r="F238" s="1">
        <v>20075.103245240989</v>
      </c>
      <c r="G238" s="1">
        <v>12411.80663040746</v>
      </c>
      <c r="H238" s="1">
        <v>15595.30740083353</v>
      </c>
    </row>
    <row r="239" spans="1:8" ht="19" customHeight="1" x14ac:dyDescent="0.3">
      <c r="A239">
        <v>2330</v>
      </c>
      <c r="B239" s="1">
        <v>4469.7949560442994</v>
      </c>
      <c r="C239" s="1">
        <v>0</v>
      </c>
      <c r="D239" s="1">
        <v>3889.1528767077662</v>
      </c>
      <c r="E239" s="1">
        <v>420.8112592205336</v>
      </c>
      <c r="F239" s="1">
        <v>20122.12219528557</v>
      </c>
      <c r="G239" s="1">
        <v>12478.03040473116</v>
      </c>
      <c r="H239" s="1">
        <v>15576.053543304421</v>
      </c>
    </row>
    <row r="240" spans="1:8" ht="19" customHeight="1" x14ac:dyDescent="0.3">
      <c r="A240">
        <v>2340</v>
      </c>
      <c r="B240" s="1">
        <v>3804.637203163541</v>
      </c>
      <c r="C240" s="1">
        <v>0</v>
      </c>
      <c r="D240" s="1">
        <v>3891.295440182836</v>
      </c>
      <c r="E240" s="1">
        <v>420.94174317001767</v>
      </c>
      <c r="F240" s="1">
        <v>20130.87015850118</v>
      </c>
      <c r="G240" s="1">
        <v>12537.62454516079</v>
      </c>
      <c r="H240" s="1">
        <v>15525.15833284039</v>
      </c>
    </row>
    <row r="241" spans="1:8" ht="19" customHeight="1" x14ac:dyDescent="0.3">
      <c r="A241">
        <v>2350</v>
      </c>
      <c r="B241" s="1">
        <v>4304.7270248446312</v>
      </c>
      <c r="C241" s="1">
        <v>0</v>
      </c>
      <c r="D241" s="1">
        <v>3884.2889098742448</v>
      </c>
      <c r="E241" s="1">
        <v>420.43811497038593</v>
      </c>
      <c r="F241" s="1">
        <v>20097.34397844239</v>
      </c>
      <c r="G241" s="1">
        <v>12480.3110739315</v>
      </c>
      <c r="H241" s="1">
        <v>15548.896590760891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5DDE5"/>
    <pageSetUpPr fitToPage="1"/>
  </sheetPr>
  <dimension ref="A2:AE24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5" ht="19" customHeight="1" x14ac:dyDescent="0.35">
      <c r="A2" s="3" t="s">
        <v>16</v>
      </c>
    </row>
    <row r="3" spans="1:5" ht="19" customHeight="1" x14ac:dyDescent="0.3">
      <c r="A3" s="4" t="s">
        <v>1</v>
      </c>
    </row>
    <row r="5" spans="1:5" ht="34.049999999999997" customHeight="1" x14ac:dyDescent="0.3">
      <c r="A5" s="5" t="s">
        <v>142</v>
      </c>
      <c r="B5" s="5" t="s">
        <v>154</v>
      </c>
      <c r="C5" s="5" t="s">
        <v>155</v>
      </c>
      <c r="D5" s="5" t="s">
        <v>156</v>
      </c>
      <c r="E5" s="5" t="s">
        <v>157</v>
      </c>
    </row>
    <row r="6" spans="1:5" ht="19" customHeight="1" x14ac:dyDescent="0.3">
      <c r="A6">
        <v>0</v>
      </c>
      <c r="B6" s="1">
        <v>0</v>
      </c>
      <c r="C6" s="1">
        <v>85</v>
      </c>
      <c r="D6" s="1">
        <v>1.448374797857106</v>
      </c>
      <c r="E6" s="1">
        <v>7834.0938338132264</v>
      </c>
    </row>
    <row r="7" spans="1:5" ht="19" customHeight="1" x14ac:dyDescent="0.3">
      <c r="A7">
        <v>10</v>
      </c>
      <c r="B7" s="1">
        <v>8.6752531077067752E-5</v>
      </c>
      <c r="C7" s="1">
        <v>85.127707920346481</v>
      </c>
      <c r="D7" s="1">
        <v>1.448457184324577</v>
      </c>
      <c r="E7" s="1">
        <v>7846.9316054107521</v>
      </c>
    </row>
    <row r="8" spans="1:5" ht="19" customHeight="1" x14ac:dyDescent="0.3">
      <c r="A8">
        <v>20</v>
      </c>
      <c r="B8" s="1">
        <v>1.7365221647900001E-4</v>
      </c>
      <c r="C8" s="1">
        <v>85.255235705225829</v>
      </c>
      <c r="D8" s="1">
        <v>1.4485333726249621</v>
      </c>
      <c r="E8" s="1">
        <v>7859.4598215138549</v>
      </c>
    </row>
    <row r="9" spans="1:5" ht="19" customHeight="1" x14ac:dyDescent="0.3">
      <c r="A9">
        <v>30</v>
      </c>
      <c r="B9" s="1">
        <v>2.6069540166979998E-4</v>
      </c>
      <c r="C9" s="1">
        <v>85.382577873336942</v>
      </c>
      <c r="D9" s="1">
        <v>1.44860322765502</v>
      </c>
      <c r="E9" s="1">
        <v>7871.6861929254019</v>
      </c>
    </row>
    <row r="10" spans="1:5" ht="19" customHeight="1" x14ac:dyDescent="0.3">
      <c r="A10">
        <v>40</v>
      </c>
      <c r="B10" s="1">
        <v>3.4787861014670002E-4</v>
      </c>
      <c r="C10" s="1">
        <v>85.509729257847042</v>
      </c>
      <c r="D10" s="1">
        <v>1.448666624867591</v>
      </c>
      <c r="E10" s="1">
        <v>7883.6184255132812</v>
      </c>
    </row>
    <row r="11" spans="1:5" ht="19" customHeight="1" x14ac:dyDescent="0.3">
      <c r="A11">
        <v>50</v>
      </c>
      <c r="B11" s="1">
        <v>4.3519845624670001E-4</v>
      </c>
      <c r="C11" s="1">
        <v>85.636684860265404</v>
      </c>
      <c r="D11" s="1">
        <v>1.4487234473720429</v>
      </c>
      <c r="E11" s="1">
        <v>7895.2640055655093</v>
      </c>
    </row>
    <row r="12" spans="1:5" ht="19" customHeight="1" x14ac:dyDescent="0.3">
      <c r="A12">
        <v>60</v>
      </c>
      <c r="B12" s="1">
        <v>5.2265164242460002E-4</v>
      </c>
      <c r="C12" s="1">
        <v>85.763439845353503</v>
      </c>
      <c r="D12" s="1">
        <v>1.4487735856184989</v>
      </c>
      <c r="E12" s="1">
        <v>7906.6302072839089</v>
      </c>
    </row>
    <row r="13" spans="1:5" ht="19" customHeight="1" x14ac:dyDescent="0.3">
      <c r="A13">
        <v>70</v>
      </c>
      <c r="B13" s="1">
        <v>6.1023495663120001E-4</v>
      </c>
      <c r="C13" s="1">
        <v>85.889989536219531</v>
      </c>
      <c r="D13" s="1">
        <v>1.448816937096902</v>
      </c>
      <c r="E13" s="1">
        <v>7917.7240999552578</v>
      </c>
    </row>
    <row r="14" spans="1:5" ht="19" customHeight="1" x14ac:dyDescent="0.3">
      <c r="A14">
        <v>80</v>
      </c>
      <c r="B14" s="1">
        <v>6.9794526978729998E-4</v>
      </c>
      <c r="C14" s="1">
        <v>86.016329409588764</v>
      </c>
      <c r="D14" s="1">
        <v>1.448853406050032</v>
      </c>
      <c r="E14" s="1">
        <v>7928.5525548173064</v>
      </c>
    </row>
    <row r="15" spans="1:5" ht="19" customHeight="1" x14ac:dyDescent="0.3">
      <c r="A15">
        <v>90</v>
      </c>
      <c r="B15" s="1">
        <v>7.8577953334979999E-4</v>
      </c>
      <c r="C15" s="1">
        <v>86.142455091241828</v>
      </c>
      <c r="D15" s="1">
        <v>1.448882903199689</v>
      </c>
      <c r="E15" s="1">
        <v>7939.1222516359767</v>
      </c>
    </row>
    <row r="16" spans="1:5" ht="19" customHeight="1" x14ac:dyDescent="0.3">
      <c r="A16">
        <v>100</v>
      </c>
      <c r="B16" s="1">
        <v>8.7373477696400001E-4</v>
      </c>
      <c r="C16" s="1">
        <v>86.268362351613376</v>
      </c>
      <c r="D16" s="1">
        <v>1.4633851576101451</v>
      </c>
      <c r="E16" s="1">
        <v>6552.3635059701046</v>
      </c>
    </row>
    <row r="17" spans="1:5" ht="19" customHeight="1" x14ac:dyDescent="0.3">
      <c r="A17">
        <v>110</v>
      </c>
      <c r="B17" s="1">
        <v>9.5288631772499997E-4</v>
      </c>
      <c r="C17" s="1">
        <v>86.379202209317313</v>
      </c>
      <c r="D17" s="1">
        <v>1.463148162271027</v>
      </c>
      <c r="E17" s="1">
        <v>6570.3446785411352</v>
      </c>
    </row>
    <row r="18" spans="1:5" ht="19" customHeight="1" x14ac:dyDescent="0.3">
      <c r="A18">
        <v>120</v>
      </c>
      <c r="B18" s="1">
        <v>1.0322789502482999E-3</v>
      </c>
      <c r="C18" s="1">
        <v>86.49007436657017</v>
      </c>
      <c r="D18" s="1">
        <v>1.462912207283394</v>
      </c>
      <c r="E18" s="1">
        <v>6587.9437158483706</v>
      </c>
    </row>
    <row r="19" spans="1:5" ht="19" customHeight="1" x14ac:dyDescent="0.3">
      <c r="A19">
        <v>130</v>
      </c>
      <c r="B19" s="1">
        <v>1.1119074893817E-3</v>
      </c>
      <c r="C19" s="1">
        <v>86.600970088353137</v>
      </c>
      <c r="D19" s="1">
        <v>1.462676980580061</v>
      </c>
      <c r="E19" s="1">
        <v>6605.1698138449356</v>
      </c>
    </row>
    <row r="20" spans="1:5" ht="19" customHeight="1" x14ac:dyDescent="0.3">
      <c r="A20">
        <v>140</v>
      </c>
      <c r="B20" s="1">
        <v>1.1917668763284E-3</v>
      </c>
      <c r="C20" s="1">
        <v>86.711880878957061</v>
      </c>
      <c r="D20" s="1">
        <v>1.4624421844882081</v>
      </c>
      <c r="E20" s="1">
        <v>6622.0318723379414</v>
      </c>
    </row>
    <row r="21" spans="1:5" ht="19" customHeight="1" x14ac:dyDescent="0.3">
      <c r="A21">
        <v>150</v>
      </c>
      <c r="B21" s="1">
        <v>1.2718521799062999E-3</v>
      </c>
      <c r="C21" s="1">
        <v>86.822798483281645</v>
      </c>
      <c r="D21" s="1">
        <v>1.46220753523682</v>
      </c>
      <c r="E21" s="1">
        <v>6638.5385457214497</v>
      </c>
    </row>
    <row r="22" spans="1:5" ht="19" customHeight="1" x14ac:dyDescent="0.3">
      <c r="A22">
        <v>160</v>
      </c>
      <c r="B22" s="1">
        <v>1.3521585885482999E-3</v>
      </c>
      <c r="C22" s="1">
        <v>86.933714872724551</v>
      </c>
      <c r="D22" s="1">
        <v>1.4619727621705489</v>
      </c>
      <c r="E22" s="1">
        <v>6654.6982382955457</v>
      </c>
    </row>
    <row r="23" spans="1:5" ht="19" customHeight="1" x14ac:dyDescent="0.3">
      <c r="A23">
        <v>170</v>
      </c>
      <c r="B23" s="1">
        <v>1.4326814067669E-3</v>
      </c>
      <c r="C23" s="1">
        <v>87.044622238544861</v>
      </c>
      <c r="D23" s="1">
        <v>1.4617376071567381</v>
      </c>
      <c r="E23" s="1">
        <v>6670.5191136412514</v>
      </c>
    </row>
    <row r="24" spans="1:5" ht="19" customHeight="1" x14ac:dyDescent="0.3">
      <c r="A24">
        <v>180</v>
      </c>
      <c r="B24" s="1">
        <v>1.5134160517536999E-3</v>
      </c>
      <c r="C24" s="1">
        <v>87.155512985472896</v>
      </c>
      <c r="D24" s="1">
        <v>1.461501824025641</v>
      </c>
      <c r="E24" s="1">
        <v>6686.0091035347814</v>
      </c>
    </row>
    <row r="25" spans="1:5" ht="19" customHeight="1" x14ac:dyDescent="0.3">
      <c r="A25">
        <v>190</v>
      </c>
      <c r="B25" s="1">
        <v>1.5943580501062999E-3</v>
      </c>
      <c r="C25" s="1">
        <v>87.266379725554458</v>
      </c>
      <c r="D25" s="1">
        <v>1.461265178041484</v>
      </c>
      <c r="E25" s="1">
        <v>6701.1759164296927</v>
      </c>
    </row>
    <row r="26" spans="1:5" ht="19" customHeight="1" x14ac:dyDescent="0.3">
      <c r="A26">
        <v>200</v>
      </c>
      <c r="B26" s="1">
        <v>1.6755030346776E-3</v>
      </c>
      <c r="C26" s="1">
        <v>87.377215272218237</v>
      </c>
      <c r="D26" s="1">
        <v>1.461027445402284</v>
      </c>
      <c r="E26" s="1">
        <v>6716.0270455333402</v>
      </c>
    </row>
    <row r="27" spans="1:5" ht="19" customHeight="1" x14ac:dyDescent="0.3">
      <c r="A27">
        <v>210</v>
      </c>
      <c r="B27" s="1">
        <v>1.7568467415411001E-3</v>
      </c>
      <c r="C27" s="1">
        <v>87.488012634555929</v>
      </c>
      <c r="D27" s="1">
        <v>1.4607884127664641</v>
      </c>
      <c r="E27" s="1">
        <v>6730.5697765021823</v>
      </c>
    </row>
    <row r="28" spans="1:5" ht="19" customHeight="1" x14ac:dyDescent="0.3">
      <c r="A28">
        <v>220</v>
      </c>
      <c r="B28" s="1">
        <v>1.8383850070661E-3</v>
      </c>
      <c r="C28" s="1">
        <v>87.598765011805156</v>
      </c>
      <c r="D28" s="1">
        <v>1.4605478768044799</v>
      </c>
      <c r="E28" s="1">
        <v>6744.8111947785583</v>
      </c>
    </row>
    <row r="29" spans="1:5" ht="19" customHeight="1" x14ac:dyDescent="0.3">
      <c r="A29">
        <v>230</v>
      </c>
      <c r="B29" s="1">
        <v>1.9201137650988001E-3</v>
      </c>
      <c r="C29" s="1">
        <v>87.709465788025909</v>
      </c>
      <c r="D29" s="1">
        <v>1.460305643773816</v>
      </c>
      <c r="E29" s="1">
        <v>6758.758192590125</v>
      </c>
    </row>
    <row r="30" spans="1:5" ht="19" customHeight="1" x14ac:dyDescent="0.3">
      <c r="A30">
        <v>240</v>
      </c>
      <c r="B30" s="1">
        <v>2.0020290442434E-3</v>
      </c>
      <c r="C30" s="1">
        <v>87.820108526961704</v>
      </c>
      <c r="D30" s="1">
        <v>1.460061529115815</v>
      </c>
      <c r="E30" s="1">
        <v>6772.4174756314333</v>
      </c>
    </row>
    <row r="31" spans="1:5" ht="19" customHeight="1" x14ac:dyDescent="0.3">
      <c r="A31">
        <v>250</v>
      </c>
      <c r="B31" s="1">
        <v>2.0841269652392001E-3</v>
      </c>
      <c r="C31" s="1">
        <v>87.930686967077179</v>
      </c>
      <c r="D31" s="1">
        <v>1.4598153570729711</v>
      </c>
      <c r="E31" s="1">
        <v>6785.7955694459297</v>
      </c>
    </row>
    <row r="32" spans="1:5" ht="19" customHeight="1" x14ac:dyDescent="0.3">
      <c r="A32">
        <v>260</v>
      </c>
      <c r="B32" s="1">
        <v>2.1664037384288002E-3</v>
      </c>
      <c r="C32" s="1">
        <v>88.041195016764448</v>
      </c>
      <c r="D32" s="1">
        <v>1.4595669603253569</v>
      </c>
      <c r="E32" s="1">
        <v>6798.8988255252734</v>
      </c>
    </row>
    <row r="33" spans="1:5" ht="19" customHeight="1" x14ac:dyDescent="0.3">
      <c r="A33">
        <v>270</v>
      </c>
      <c r="B33" s="1">
        <v>2.2488556613139E-3</v>
      </c>
      <c r="C33" s="1">
        <v>88.151626749710672</v>
      </c>
      <c r="D33" s="1">
        <v>1.459316179645014</v>
      </c>
      <c r="E33" s="1">
        <v>6811.7334271418349</v>
      </c>
    </row>
    <row r="34" spans="1:5" ht="19" customHeight="1" x14ac:dyDescent="0.3">
      <c r="A34">
        <v>280</v>
      </c>
      <c r="B34" s="1">
        <v>2.3314791161949998E-3</v>
      </c>
      <c r="C34" s="1">
        <v>88.261976400420011</v>
      </c>
      <c r="D34" s="1">
        <v>1.4590628635672001</v>
      </c>
      <c r="E34" s="1">
        <v>6824.3053949290188</v>
      </c>
    </row>
    <row r="35" spans="1:5" ht="19" customHeight="1" x14ac:dyDescent="0.3">
      <c r="A35">
        <v>290</v>
      </c>
      <c r="B35" s="1">
        <v>2.4142705678899001E-3</v>
      </c>
      <c r="C35" s="1">
        <v>88.372238359883355</v>
      </c>
      <c r="D35" s="1">
        <v>1.458806868077438</v>
      </c>
      <c r="E35" s="1">
        <v>6836.6205922232239</v>
      </c>
    </row>
    <row r="36" spans="1:5" ht="19" customHeight="1" x14ac:dyDescent="0.3">
      <c r="A36">
        <v>300</v>
      </c>
      <c r="B36" s="1">
        <v>2.4972265615298998E-3</v>
      </c>
      <c r="C36" s="1">
        <v>88.482407171389625</v>
      </c>
      <c r="D36" s="1">
        <v>1.4585480563134641</v>
      </c>
      <c r="E36" s="1">
        <v>6848.6847301802663</v>
      </c>
    </row>
    <row r="37" spans="1:5" ht="19" customHeight="1" x14ac:dyDescent="0.3">
      <c r="A37">
        <v>310</v>
      </c>
      <c r="B37" s="1">
        <v>2.5803437204276998E-3</v>
      </c>
      <c r="C37" s="1">
        <v>88.592477526472649</v>
      </c>
      <c r="D37" s="1">
        <v>1.4582862982811471</v>
      </c>
      <c r="E37" s="1">
        <v>6860.5033726782121</v>
      </c>
    </row>
    <row r="38" spans="1:5" ht="19" customHeight="1" x14ac:dyDescent="0.3">
      <c r="A38">
        <v>320</v>
      </c>
      <c r="B38" s="1">
        <v>2.6636187440171001E-3</v>
      </c>
      <c r="C38" s="1">
        <v>88.702444260988173</v>
      </c>
      <c r="D38" s="1">
        <v>1.458021470583587</v>
      </c>
      <c r="E38" s="1">
        <v>6872.0819410179474</v>
      </c>
    </row>
    <row r="39" spans="1:5" ht="19" customHeight="1" x14ac:dyDescent="0.3">
      <c r="A39">
        <v>330</v>
      </c>
      <c r="B39" s="1">
        <v>2.7470484058580999E-3</v>
      </c>
      <c r="C39" s="1">
        <v>88.812302351315608</v>
      </c>
      <c r="D39" s="1">
        <v>1.4577534561626251</v>
      </c>
      <c r="E39" s="1">
        <v>6883.4257184318831</v>
      </c>
    </row>
    <row r="40" spans="1:5" ht="19" customHeight="1" x14ac:dyDescent="0.3">
      <c r="A40">
        <v>340</v>
      </c>
      <c r="B40" s="1">
        <v>2.8306295517076998E-3</v>
      </c>
      <c r="C40" s="1">
        <v>88.922046910679498</v>
      </c>
      <c r="D40" s="1">
        <v>1.45748214405205</v>
      </c>
      <c r="E40" s="1">
        <v>6894.5398544107702</v>
      </c>
    </row>
    <row r="41" spans="1:5" ht="19" customHeight="1" x14ac:dyDescent="0.3">
      <c r="A41">
        <v>350</v>
      </c>
      <c r="B41" s="1">
        <v>2.9143590976512999E-3</v>
      </c>
      <c r="C41" s="1">
        <v>89.031673185585987</v>
      </c>
      <c r="D41" s="1">
        <v>1.4572074291418471</v>
      </c>
      <c r="E41" s="1">
        <v>6905.4293688577673</v>
      </c>
    </row>
    <row r="42" spans="1:5" ht="19" customHeight="1" x14ac:dyDescent="0.3">
      <c r="A42">
        <v>360</v>
      </c>
      <c r="B42" s="1">
        <v>2.9982340282947001E-3</v>
      </c>
      <c r="C42" s="1">
        <v>89.141176552369714</v>
      </c>
      <c r="D42" s="1">
        <v>1.4569292119528801</v>
      </c>
      <c r="E42" s="1">
        <v>6916.0991560784814</v>
      </c>
    </row>
    <row r="43" spans="1:5" ht="19" customHeight="1" x14ac:dyDescent="0.3">
      <c r="A43">
        <v>370</v>
      </c>
      <c r="B43" s="1">
        <v>3.0822513950116001E-3</v>
      </c>
      <c r="C43" s="1">
        <v>89.250552513846813</v>
      </c>
      <c r="D43" s="1">
        <v>1.4566473984214099</v>
      </c>
      <c r="E43" s="1">
        <v>6926.5539886150973</v>
      </c>
    </row>
    <row r="44" spans="1:5" ht="19" customHeight="1" x14ac:dyDescent="0.3">
      <c r="A44">
        <v>380</v>
      </c>
      <c r="B44" s="1">
        <v>3.1664083142466E-3</v>
      </c>
      <c r="C44" s="1">
        <v>89.359796696069978</v>
      </c>
      <c r="D44" s="1">
        <v>1.4563618996929011</v>
      </c>
      <c r="E44" s="1">
        <v>6936.7985210029456</v>
      </c>
    </row>
    <row r="45" spans="1:5" ht="19" customHeight="1" x14ac:dyDescent="0.3">
      <c r="A45">
        <v>390</v>
      </c>
      <c r="B45" s="1">
        <v>3.2507019657530998E-3</v>
      </c>
      <c r="C45" s="1">
        <v>89.468904844986312</v>
      </c>
      <c r="D45" s="1">
        <v>1.4560726319203381</v>
      </c>
      <c r="E45" s="1">
        <v>6946.8372995387408</v>
      </c>
    </row>
    <row r="46" spans="1:5" ht="19" customHeight="1" x14ac:dyDescent="0.3">
      <c r="A46">
        <v>400</v>
      </c>
      <c r="B46" s="1">
        <v>3.3351295898543E-3</v>
      </c>
      <c r="C46" s="1">
        <v>89.577872821481421</v>
      </c>
      <c r="D46" s="1">
        <v>1.45577951604281</v>
      </c>
      <c r="E46" s="1">
        <v>6956.6747544977143</v>
      </c>
    </row>
    <row r="47" spans="1:5" ht="19" customHeight="1" x14ac:dyDescent="0.3">
      <c r="A47">
        <v>410</v>
      </c>
      <c r="B47" s="1">
        <v>3.4196884874692001E-3</v>
      </c>
      <c r="C47" s="1">
        <v>89.686696601039273</v>
      </c>
      <c r="D47" s="1">
        <v>1.455482477652847</v>
      </c>
      <c r="E47" s="1">
        <v>6966.3151985418172</v>
      </c>
    </row>
    <row r="48" spans="1:5" ht="19" customHeight="1" x14ac:dyDescent="0.3">
      <c r="A48">
        <v>420</v>
      </c>
      <c r="B48" s="1">
        <v>3.5043760203443998E-3</v>
      </c>
      <c r="C48" s="1">
        <v>89.795372273747645</v>
      </c>
      <c r="D48" s="1">
        <v>1.4551814468711739</v>
      </c>
      <c r="E48" s="1">
        <v>6975.7628471640328</v>
      </c>
    </row>
    <row r="49" spans="1:5" ht="19" customHeight="1" x14ac:dyDescent="0.3">
      <c r="A49">
        <v>430</v>
      </c>
      <c r="B49" s="1">
        <v>3.5891896073979002E-3</v>
      </c>
      <c r="C49" s="1">
        <v>89.903896037832595</v>
      </c>
      <c r="D49" s="1">
        <v>1.4548763581147479</v>
      </c>
      <c r="E49" s="1">
        <v>6985.021814404432</v>
      </c>
    </row>
    <row r="50" spans="1:5" ht="19" customHeight="1" x14ac:dyDescent="0.3">
      <c r="A50">
        <v>440</v>
      </c>
      <c r="B50" s="1">
        <v>3.6741267233249999E-3</v>
      </c>
      <c r="C50" s="1">
        <v>90.012264196978791</v>
      </c>
      <c r="D50" s="1">
        <v>1.454567149937712</v>
      </c>
      <c r="E50" s="1">
        <v>6994.0961157622824</v>
      </c>
    </row>
    <row r="51" spans="1:5" ht="19" customHeight="1" x14ac:dyDescent="0.3">
      <c r="A51">
        <v>450</v>
      </c>
      <c r="B51" s="1">
        <v>3.7591848972440001E-3</v>
      </c>
      <c r="C51" s="1">
        <v>90.12047315772584</v>
      </c>
      <c r="D51" s="1">
        <v>1.454253764878725</v>
      </c>
      <c r="E51" s="1">
        <v>7002.9896710041876</v>
      </c>
    </row>
    <row r="52" spans="1:5" ht="19" customHeight="1" x14ac:dyDescent="0.3">
      <c r="A52">
        <v>460</v>
      </c>
      <c r="B52" s="1">
        <v>3.8443617113817002E-3</v>
      </c>
      <c r="C52" s="1">
        <v>90.228519426938121</v>
      </c>
      <c r="D52" s="1">
        <v>1.4539361493143239</v>
      </c>
      <c r="E52" s="1">
        <v>7011.7063068729194</v>
      </c>
    </row>
    <row r="53" spans="1:5" ht="19" customHeight="1" x14ac:dyDescent="0.3">
      <c r="A53">
        <v>470</v>
      </c>
      <c r="B53" s="1">
        <v>3.9296547997956996E-3</v>
      </c>
      <c r="C53" s="1">
        <v>90.336399609345236</v>
      </c>
      <c r="D53" s="1">
        <v>1.453614253318037</v>
      </c>
      <c r="E53" s="1">
        <v>7020.2497597012434</v>
      </c>
    </row>
    <row r="54" spans="1:5" ht="19" customHeight="1" x14ac:dyDescent="0.3">
      <c r="A54">
        <v>480</v>
      </c>
      <c r="B54" s="1">
        <v>4.0150618471331001E-3</v>
      </c>
      <c r="C54" s="1">
        <v>90.444110405151278</v>
      </c>
      <c r="D54" s="1">
        <v>1.4532880305249689</v>
      </c>
      <c r="E54" s="1">
        <v>7028.6236779349729</v>
      </c>
    </row>
    <row r="55" spans="1:5" ht="19" customHeight="1" x14ac:dyDescent="0.3">
      <c r="A55">
        <v>490</v>
      </c>
      <c r="B55" s="1">
        <v>4.1005805874245E-3</v>
      </c>
      <c r="C55" s="1">
        <v>90.551648607709836</v>
      </c>
      <c r="D55" s="1">
        <v>1.452957438001601</v>
      </c>
      <c r="E55" s="1">
        <v>7036.8316245691531</v>
      </c>
    </row>
    <row r="56" spans="1:5" ht="19" customHeight="1" x14ac:dyDescent="0.3">
      <c r="A56">
        <v>500</v>
      </c>
      <c r="B56" s="1">
        <v>4.1862088029111996E-3</v>
      </c>
      <c r="C56" s="1">
        <v>90.659011101263019</v>
      </c>
      <c r="D56" s="1">
        <v>1.452622436120552</v>
      </c>
      <c r="E56" s="1">
        <v>7044.8770795010923</v>
      </c>
    </row>
    <row r="57" spans="1:5" ht="19" customHeight="1" x14ac:dyDescent="0.3">
      <c r="A57">
        <v>510</v>
      </c>
      <c r="B57" s="1">
        <v>4.2719443229054001E-3</v>
      </c>
      <c r="C57" s="1">
        <v>90.766194858742367</v>
      </c>
      <c r="D57" s="1">
        <v>1.452282988440091</v>
      </c>
      <c r="E57" s="1">
        <v>7052.7634418037851</v>
      </c>
    </row>
    <row r="58" spans="1:5" ht="19" customHeight="1" x14ac:dyDescent="0.3">
      <c r="A58">
        <v>520</v>
      </c>
      <c r="B58" s="1">
        <v>4.3577850226813996E-3</v>
      </c>
      <c r="C58" s="1">
        <v>90.873196939629153</v>
      </c>
      <c r="D58" s="1">
        <v>1.437209469149763</v>
      </c>
      <c r="E58" s="1">
        <v>8629.1501734350859</v>
      </c>
    </row>
    <row r="59" spans="1:5" ht="19" customHeight="1" x14ac:dyDescent="0.3">
      <c r="A59">
        <v>530</v>
      </c>
      <c r="B59" s="1">
        <v>4.454645151192E-3</v>
      </c>
      <c r="C59" s="1">
        <v>90.998178079724681</v>
      </c>
      <c r="D59" s="1">
        <v>1.43707633151384</v>
      </c>
      <c r="E59" s="1">
        <v>8623.6404252136872</v>
      </c>
    </row>
    <row r="60" spans="1:5" ht="19" customHeight="1" x14ac:dyDescent="0.3">
      <c r="A60">
        <v>540</v>
      </c>
      <c r="B60" s="1">
        <v>4.5514194810251998E-3</v>
      </c>
      <c r="C60" s="1">
        <v>91.122600549857978</v>
      </c>
      <c r="D60" s="1">
        <v>1.4369312763517961</v>
      </c>
      <c r="E60" s="1">
        <v>8618.2519492220727</v>
      </c>
    </row>
    <row r="61" spans="1:5" ht="19" customHeight="1" x14ac:dyDescent="0.3">
      <c r="A61">
        <v>550</v>
      </c>
      <c r="B61" s="1">
        <v>4.6481099309166E-3</v>
      </c>
      <c r="C61" s="1">
        <v>91.246469401731005</v>
      </c>
      <c r="D61" s="1">
        <v>1.4367744789055179</v>
      </c>
      <c r="E61" s="1">
        <v>8612.9822887767968</v>
      </c>
    </row>
    <row r="62" spans="1:5" ht="19" customHeight="1" x14ac:dyDescent="0.3">
      <c r="A62">
        <v>560</v>
      </c>
      <c r="B62" s="1">
        <v>4.7447183392243996E-3</v>
      </c>
      <c r="C62" s="1">
        <v>91.369789536494963</v>
      </c>
      <c r="D62" s="1">
        <v>1.4366061116376161</v>
      </c>
      <c r="E62" s="1">
        <v>8607.828754370943</v>
      </c>
    </row>
    <row r="63" spans="1:5" ht="19" customHeight="1" x14ac:dyDescent="0.3">
      <c r="A63">
        <v>570</v>
      </c>
      <c r="B63" s="1">
        <v>4.8412465607416003E-3</v>
      </c>
      <c r="C63" s="1">
        <v>91.492565866337159</v>
      </c>
      <c r="D63" s="1">
        <v>1.437295133849372</v>
      </c>
      <c r="E63" s="1">
        <v>8036.9960835871498</v>
      </c>
    </row>
    <row r="64" spans="1:5" ht="19" customHeight="1" x14ac:dyDescent="0.3">
      <c r="A64">
        <v>580</v>
      </c>
      <c r="B64" s="1">
        <v>4.9607563578112001E-3</v>
      </c>
      <c r="C64" s="1">
        <v>91.653172482162603</v>
      </c>
      <c r="D64" s="1">
        <v>1.4411663778164829</v>
      </c>
      <c r="E64" s="1">
        <v>7874.8924338234319</v>
      </c>
    </row>
    <row r="65" spans="1:5" ht="19" customHeight="1" x14ac:dyDescent="0.3">
      <c r="A65">
        <v>590</v>
      </c>
      <c r="B65" s="1">
        <v>5.1019782955526996E-3</v>
      </c>
      <c r="C65" s="1">
        <v>91.849371290445163</v>
      </c>
      <c r="D65" s="1">
        <v>1.4496217226659529</v>
      </c>
      <c r="E65" s="1">
        <v>7412.8713423234167</v>
      </c>
    </row>
    <row r="66" spans="1:5" ht="19" customHeight="1" x14ac:dyDescent="0.3">
      <c r="A66">
        <v>600</v>
      </c>
      <c r="B66" s="1">
        <v>5.2317791099799E-3</v>
      </c>
      <c r="C66" s="1">
        <v>92.025913676081245</v>
      </c>
      <c r="D66" s="1">
        <v>1.458747371484505</v>
      </c>
      <c r="E66" s="1">
        <v>6953.4990271321994</v>
      </c>
    </row>
    <row r="67" spans="1:5" ht="19" customHeight="1" x14ac:dyDescent="0.3">
      <c r="A67">
        <v>610</v>
      </c>
      <c r="B67" s="1">
        <v>5.3504367042579003E-3</v>
      </c>
      <c r="C67" s="1">
        <v>92.183327452243802</v>
      </c>
      <c r="D67" s="1">
        <v>1.4686330821014539</v>
      </c>
      <c r="E67" s="1">
        <v>6497.3732614931478</v>
      </c>
    </row>
    <row r="68" spans="1:5" ht="19" customHeight="1" x14ac:dyDescent="0.3">
      <c r="A68">
        <v>620</v>
      </c>
      <c r="B68" s="1">
        <v>5.4582458246577002E-3</v>
      </c>
      <c r="C68" s="1">
        <v>92.322166700766999</v>
      </c>
      <c r="D68" s="1">
        <v>1.4793892018712089</v>
      </c>
      <c r="E68" s="1">
        <v>6044.9549729977543</v>
      </c>
    </row>
    <row r="69" spans="1:5" ht="19" customHeight="1" x14ac:dyDescent="0.3">
      <c r="A69">
        <v>630</v>
      </c>
      <c r="B69" s="1">
        <v>5.5555142817644999E-3</v>
      </c>
      <c r="C69" s="1">
        <v>92.443005397227282</v>
      </c>
      <c r="D69" s="1">
        <v>1.4911521260024789</v>
      </c>
      <c r="E69" s="1">
        <v>5596.612368034328</v>
      </c>
    </row>
    <row r="70" spans="1:5" ht="19" customHeight="1" x14ac:dyDescent="0.3">
      <c r="A70">
        <v>640</v>
      </c>
      <c r="B70" s="1">
        <v>5.6425607048414001E-3</v>
      </c>
      <c r="C70" s="1">
        <v>92.546433608246119</v>
      </c>
      <c r="D70" s="1">
        <v>1.5040919555316909</v>
      </c>
      <c r="E70" s="1">
        <v>5152.6508635851933</v>
      </c>
    </row>
    <row r="71" spans="1:5" ht="19" customHeight="1" x14ac:dyDescent="0.3">
      <c r="A71">
        <v>650</v>
      </c>
      <c r="B71" s="1">
        <v>5.7197134201107998E-3</v>
      </c>
      <c r="C71" s="1">
        <v>92.6330555715234</v>
      </c>
      <c r="D71" s="1">
        <v>1.4961943610356869</v>
      </c>
      <c r="E71" s="1">
        <v>6979.4475200593279</v>
      </c>
    </row>
    <row r="72" spans="1:5" ht="19" customHeight="1" x14ac:dyDescent="0.3">
      <c r="A72">
        <v>660</v>
      </c>
      <c r="B72" s="1">
        <v>5.7740357243957997E-3</v>
      </c>
      <c r="C72" s="1">
        <v>92.681401938050598</v>
      </c>
      <c r="D72" s="1">
        <v>1.4960415427353551</v>
      </c>
      <c r="E72" s="1">
        <v>6978.3833027592473</v>
      </c>
    </row>
    <row r="73" spans="1:5" ht="19" customHeight="1" x14ac:dyDescent="0.3">
      <c r="A73">
        <v>670</v>
      </c>
      <c r="B73" s="1">
        <v>5.8283498560968003E-3</v>
      </c>
      <c r="C73" s="1">
        <v>92.729573820018558</v>
      </c>
      <c r="D73" s="1">
        <v>1.49588757687467</v>
      </c>
      <c r="E73" s="1">
        <v>6977.3114954123457</v>
      </c>
    </row>
    <row r="74" spans="1:5" ht="19" customHeight="1" x14ac:dyDescent="0.3">
      <c r="A74">
        <v>680</v>
      </c>
      <c r="B74" s="1">
        <v>5.8826557482849996E-3</v>
      </c>
      <c r="C74" s="1">
        <v>92.777571686711966</v>
      </c>
      <c r="D74" s="1">
        <v>1.495732478992821</v>
      </c>
      <c r="E74" s="1">
        <v>6976.2321003925454</v>
      </c>
    </row>
    <row r="75" spans="1:5" ht="19" customHeight="1" x14ac:dyDescent="0.3">
      <c r="A75">
        <v>690</v>
      </c>
      <c r="B75" s="1">
        <v>5.9369533380282001E-3</v>
      </c>
      <c r="C75" s="1">
        <v>92.825396012503404</v>
      </c>
      <c r="D75" s="1">
        <v>1.495576265246092</v>
      </c>
      <c r="E75" s="1">
        <v>6975.1453752320949</v>
      </c>
    </row>
    <row r="76" spans="1:5" ht="19" customHeight="1" x14ac:dyDescent="0.3">
      <c r="A76">
        <v>700</v>
      </c>
      <c r="B76" s="1">
        <v>5.9912425581179997E-3</v>
      </c>
      <c r="C76" s="1">
        <v>92.87304726307228</v>
      </c>
      <c r="D76" s="1">
        <v>1.495418949065336</v>
      </c>
      <c r="E76" s="1">
        <v>6974.0513221060937</v>
      </c>
    </row>
    <row r="77" spans="1:5" ht="19" customHeight="1" x14ac:dyDescent="0.3">
      <c r="A77">
        <v>710</v>
      </c>
      <c r="B77" s="1">
        <v>6.0455233473586997E-3</v>
      </c>
      <c r="C77" s="1">
        <v>92.920525912552336</v>
      </c>
      <c r="D77" s="1">
        <v>1.4952605468855571</v>
      </c>
      <c r="E77" s="1">
        <v>6972.950070972809</v>
      </c>
    </row>
    <row r="78" spans="1:5" ht="19" customHeight="1" x14ac:dyDescent="0.3">
      <c r="A78">
        <v>720</v>
      </c>
      <c r="B78" s="1">
        <v>6.0997956428701997E-3</v>
      </c>
      <c r="C78" s="1">
        <v>92.967832430697158</v>
      </c>
      <c r="D78" s="1">
        <v>1.4951010728988641</v>
      </c>
      <c r="E78" s="1">
        <v>6971.8418153224147</v>
      </c>
    </row>
    <row r="79" spans="1:5" ht="19" customHeight="1" x14ac:dyDescent="0.3">
      <c r="A79">
        <v>730</v>
      </c>
      <c r="B79" s="1">
        <v>6.1540593812079002E-3</v>
      </c>
      <c r="C79" s="1">
        <v>93.01496728475756</v>
      </c>
      <c r="D79" s="1">
        <v>1.4949405413341961</v>
      </c>
      <c r="E79" s="1">
        <v>6970.7264936370466</v>
      </c>
    </row>
    <row r="80" spans="1:5" ht="19" customHeight="1" x14ac:dyDescent="0.3">
      <c r="A80">
        <v>740</v>
      </c>
      <c r="B80" s="1">
        <v>6.2083145057885997E-3</v>
      </c>
      <c r="C80" s="1">
        <v>93.061930951846179</v>
      </c>
      <c r="D80" s="1">
        <v>1.494778968605661</v>
      </c>
      <c r="E80" s="1">
        <v>6969.6043632798819</v>
      </c>
    </row>
    <row r="81" spans="1:5" ht="19" customHeight="1" x14ac:dyDescent="0.3">
      <c r="A81">
        <v>750</v>
      </c>
      <c r="B81" s="1">
        <v>6.2625609531611996E-3</v>
      </c>
      <c r="C81" s="1">
        <v>93.108723896060539</v>
      </c>
      <c r="D81" s="1">
        <v>1.4946163672219841</v>
      </c>
      <c r="E81" s="1">
        <v>6968.4754900437856</v>
      </c>
    </row>
    <row r="82" spans="1:5" ht="19" customHeight="1" x14ac:dyDescent="0.3">
      <c r="A82">
        <v>760</v>
      </c>
      <c r="B82" s="1">
        <v>6.3167986657456003E-3</v>
      </c>
      <c r="C82" s="1">
        <v>93.155346589722441</v>
      </c>
      <c r="D82" s="1">
        <v>1.494452752585949</v>
      </c>
      <c r="E82" s="1">
        <v>6967.3398762346096</v>
      </c>
    </row>
    <row r="83" spans="1:5" ht="19" customHeight="1" x14ac:dyDescent="0.3">
      <c r="A83">
        <v>770</v>
      </c>
      <c r="B83" s="1">
        <v>6.3710275879136002E-3</v>
      </c>
      <c r="C83" s="1">
        <v>93.201799506829445</v>
      </c>
      <c r="D83" s="1">
        <v>1.494288139805668</v>
      </c>
      <c r="E83" s="1">
        <v>6966.1977789812663</v>
      </c>
    </row>
    <row r="84" spans="1:5" ht="19" customHeight="1" x14ac:dyDescent="0.3">
      <c r="A84">
        <v>780</v>
      </c>
      <c r="B84" s="1">
        <v>6.4252476593531999E-3</v>
      </c>
      <c r="C84" s="1">
        <v>93.248083112008885</v>
      </c>
      <c r="D84" s="1">
        <v>1.4941225412729819</v>
      </c>
      <c r="E84" s="1">
        <v>6965.0492003151976</v>
      </c>
    </row>
    <row r="85" spans="1:5" ht="19" customHeight="1" x14ac:dyDescent="0.3">
      <c r="A85">
        <v>790</v>
      </c>
      <c r="B85" s="1">
        <v>6.4794588261111999E-3</v>
      </c>
      <c r="C85" s="1">
        <v>93.294197878921921</v>
      </c>
      <c r="D85" s="1">
        <v>1.4939559721118161</v>
      </c>
      <c r="E85" s="1">
        <v>6963.8943335712629</v>
      </c>
    </row>
    <row r="86" spans="1:5" ht="19" customHeight="1" x14ac:dyDescent="0.3">
      <c r="A86">
        <v>800</v>
      </c>
      <c r="B86" s="1">
        <v>6.5336610308746003E-3</v>
      </c>
      <c r="C86" s="1">
        <v>93.340144274062965</v>
      </c>
      <c r="D86" s="1">
        <v>1.493788445649578</v>
      </c>
      <c r="E86" s="1">
        <v>6962.7331171549404</v>
      </c>
    </row>
    <row r="87" spans="1:5" ht="19" customHeight="1" x14ac:dyDescent="0.3">
      <c r="A87">
        <v>810</v>
      </c>
      <c r="B87" s="1">
        <v>6.5878542227492997E-3</v>
      </c>
      <c r="C87" s="1">
        <v>93.385922773054673</v>
      </c>
      <c r="D87" s="1">
        <v>1.4936199774029419</v>
      </c>
      <c r="E87" s="1">
        <v>6961.5658080546564</v>
      </c>
    </row>
    <row r="88" spans="1:5" ht="19" customHeight="1" x14ac:dyDescent="0.3">
      <c r="A88">
        <v>820</v>
      </c>
      <c r="B88" s="1">
        <v>6.6420383449812999E-3</v>
      </c>
      <c r="C88" s="1">
        <v>93.431533840186901</v>
      </c>
      <c r="D88" s="1">
        <v>1.493450578985783</v>
      </c>
      <c r="E88" s="1">
        <v>6960.3924718697472</v>
      </c>
    </row>
    <row r="89" spans="1:5" ht="19" customHeight="1" x14ac:dyDescent="0.3">
      <c r="A89">
        <v>830</v>
      </c>
      <c r="B89" s="1">
        <v>6.6962133456148001E-3</v>
      </c>
      <c r="C89" s="1">
        <v>93.47697794618756</v>
      </c>
      <c r="D89" s="1">
        <v>1.493280264912016</v>
      </c>
      <c r="E89" s="1">
        <v>6959.2131107537161</v>
      </c>
    </row>
    <row r="90" spans="1:5" ht="19" customHeight="1" x14ac:dyDescent="0.3">
      <c r="A90">
        <v>840</v>
      </c>
      <c r="B90" s="1">
        <v>6.7503791747855002E-3</v>
      </c>
      <c r="C90" s="1">
        <v>93.522255563698593</v>
      </c>
      <c r="D90" s="1">
        <v>1.4931090496756421</v>
      </c>
      <c r="E90" s="1">
        <v>6958.0279178211431</v>
      </c>
    </row>
    <row r="91" spans="1:5" ht="19" customHeight="1" x14ac:dyDescent="0.3">
      <c r="A91">
        <v>850</v>
      </c>
      <c r="B91" s="1">
        <v>6.8045357797428003E-3</v>
      </c>
      <c r="C91" s="1">
        <v>93.567367158986201</v>
      </c>
      <c r="D91" s="1">
        <v>1.492936945163033</v>
      </c>
      <c r="E91" s="1">
        <v>6956.8370222819776</v>
      </c>
    </row>
    <row r="92" spans="1:5" ht="19" customHeight="1" x14ac:dyDescent="0.3">
      <c r="A92">
        <v>860</v>
      </c>
      <c r="B92" s="1">
        <v>6.8586831093227999E-3</v>
      </c>
      <c r="C92" s="1">
        <v>93.612313199405563</v>
      </c>
      <c r="D92" s="1">
        <v>1.492758981908515</v>
      </c>
      <c r="E92" s="1">
        <v>6956.8095879231532</v>
      </c>
    </row>
    <row r="93" spans="1:5" ht="19" customHeight="1" x14ac:dyDescent="0.3">
      <c r="A93">
        <v>870</v>
      </c>
      <c r="B93" s="1">
        <v>6.9127968990866998E-3</v>
      </c>
      <c r="C93" s="1">
        <v>93.657053862482456</v>
      </c>
      <c r="D93" s="1">
        <v>1.5140649543849389</v>
      </c>
      <c r="E93" s="1">
        <v>4760.5702323065107</v>
      </c>
    </row>
    <row r="94" spans="1:5" ht="19" customHeight="1" x14ac:dyDescent="0.3">
      <c r="A94">
        <v>880</v>
      </c>
      <c r="B94" s="1">
        <v>6.9635945511574999E-3</v>
      </c>
      <c r="C94" s="1">
        <v>93.696127943410801</v>
      </c>
      <c r="D94" s="1">
        <v>1.5103542040140101</v>
      </c>
      <c r="E94" s="1">
        <v>4870.7952905428974</v>
      </c>
    </row>
    <row r="95" spans="1:5" ht="19" customHeight="1" x14ac:dyDescent="0.3">
      <c r="A95">
        <v>890</v>
      </c>
      <c r="B95" s="1">
        <v>7.0157173567659001E-3</v>
      </c>
      <c r="C95" s="1">
        <v>93.737276906573996</v>
      </c>
      <c r="D95" s="1">
        <v>1.506895340176637</v>
      </c>
      <c r="E95" s="1">
        <v>4976.1271770933354</v>
      </c>
    </row>
    <row r="96" spans="1:5" ht="19" customHeight="1" x14ac:dyDescent="0.3">
      <c r="A96">
        <v>900</v>
      </c>
      <c r="B96" s="1">
        <v>7.0691034600055998E-3</v>
      </c>
      <c r="C96" s="1">
        <v>93.780390925666097</v>
      </c>
      <c r="D96" s="1">
        <v>1.5036568243826529</v>
      </c>
      <c r="E96" s="1">
        <v>5076.9523940333402</v>
      </c>
    </row>
    <row r="97" spans="1:5" ht="19" customHeight="1" x14ac:dyDescent="0.3">
      <c r="A97">
        <v>910</v>
      </c>
      <c r="B97" s="1">
        <v>7.1236962498224003E-3</v>
      </c>
      <c r="C97" s="1">
        <v>93.825369266726796</v>
      </c>
      <c r="D97" s="1">
        <v>1.5006126920823539</v>
      </c>
      <c r="E97" s="1">
        <v>5173.6062916478868</v>
      </c>
    </row>
    <row r="98" spans="1:5" ht="19" customHeight="1" x14ac:dyDescent="0.3">
      <c r="A98">
        <v>920</v>
      </c>
      <c r="B98" s="1">
        <v>7.1794436012109003E-3</v>
      </c>
      <c r="C98" s="1">
        <v>93.872118995317422</v>
      </c>
      <c r="D98" s="1">
        <v>1.4977412828246901</v>
      </c>
      <c r="E98" s="1">
        <v>5266.3824278302482</v>
      </c>
    </row>
    <row r="99" spans="1:5" ht="19" customHeight="1" x14ac:dyDescent="0.3">
      <c r="A99">
        <v>930</v>
      </c>
      <c r="B99" s="1">
        <v>7.2362972713995001E-3</v>
      </c>
      <c r="C99" s="1">
        <v>93.920553945882602</v>
      </c>
      <c r="D99" s="1">
        <v>1.4950243182608369</v>
      </c>
      <c r="E99" s="1">
        <v>5355.5398490556981</v>
      </c>
    </row>
    <row r="100" spans="1:5" ht="19" customHeight="1" x14ac:dyDescent="0.3">
      <c r="A100">
        <v>940</v>
      </c>
      <c r="B100" s="1">
        <v>7.2942124115359004E-3</v>
      </c>
      <c r="C100" s="1">
        <v>93.97059388672244</v>
      </c>
      <c r="D100" s="1">
        <v>1.492446218322794</v>
      </c>
      <c r="E100" s="1">
        <v>5441.3088123370762</v>
      </c>
    </row>
    <row r="101" spans="1:5" ht="19" customHeight="1" x14ac:dyDescent="0.3">
      <c r="A101">
        <v>950</v>
      </c>
      <c r="B101" s="1">
        <v>7.3531471661924998E-3</v>
      </c>
      <c r="C101" s="1">
        <v>94.022163833865761</v>
      </c>
      <c r="D101" s="1">
        <v>1.4899935845644141</v>
      </c>
      <c r="E101" s="1">
        <v>5523.8953298879214</v>
      </c>
    </row>
    <row r="102" spans="1:5" ht="19" customHeight="1" x14ac:dyDescent="0.3">
      <c r="A102">
        <v>960</v>
      </c>
      <c r="B102" s="1">
        <v>7.4130623407841004E-3</v>
      </c>
      <c r="C102" s="1">
        <v>94.075193480226858</v>
      </c>
      <c r="D102" s="1">
        <v>1.4876548033843811</v>
      </c>
      <c r="E102" s="1">
        <v>5603.484816427499</v>
      </c>
    </row>
    <row r="103" spans="1:5" ht="19" customHeight="1" x14ac:dyDescent="0.3">
      <c r="A103">
        <v>970</v>
      </c>
      <c r="B103" s="1">
        <v>7.4739211223054996E-3</v>
      </c>
      <c r="C103" s="1">
        <v>94.129616715377878</v>
      </c>
      <c r="D103" s="1">
        <v>1.485419736875935</v>
      </c>
      <c r="E103" s="1">
        <v>5680.2450455337676</v>
      </c>
    </row>
    <row r="104" spans="1:5" ht="19" customHeight="1" x14ac:dyDescent="0.3">
      <c r="A104">
        <v>980</v>
      </c>
      <c r="B104" s="1">
        <v>7.5356888424982001E-3</v>
      </c>
      <c r="C104" s="1">
        <v>94.185371217519645</v>
      </c>
      <c r="D104" s="1">
        <v>1.4832794788196</v>
      </c>
      <c r="E104" s="1">
        <v>5754.3285684985794</v>
      </c>
    </row>
    <row r="105" spans="1:5" ht="19" customHeight="1" x14ac:dyDescent="0.3">
      <c r="A105">
        <v>990</v>
      </c>
      <c r="B105" s="1">
        <v>7.5983327751989998E-3</v>
      </c>
      <c r="C105" s="1">
        <v>94.242398103683087</v>
      </c>
      <c r="D105" s="1">
        <v>1.481226159842977</v>
      </c>
      <c r="E105" s="1">
        <v>5825.8747108594043</v>
      </c>
    </row>
    <row r="106" spans="1:5" ht="19" customHeight="1" x14ac:dyDescent="0.3">
      <c r="A106">
        <v>1000</v>
      </c>
      <c r="B106" s="1">
        <v>7.6618219615291003E-3</v>
      </c>
      <c r="C106" s="1">
        <v>94.300641627418855</v>
      </c>
      <c r="D106" s="1">
        <v>1.479252790198919</v>
      </c>
      <c r="E106" s="1">
        <v>5895.0112339090147</v>
      </c>
    </row>
    <row r="107" spans="1:5" ht="19" customHeight="1" x14ac:dyDescent="0.3">
      <c r="A107">
        <v>1010</v>
      </c>
      <c r="B107" s="1">
        <v>7.7261270579875004E-3</v>
      </c>
      <c r="C107" s="1">
        <v>94.360048915604438</v>
      </c>
      <c r="D107" s="1">
        <v>1.477353131683302</v>
      </c>
      <c r="E107" s="1">
        <v>5961.8557280114346</v>
      </c>
    </row>
    <row r="108" spans="1:5" ht="19" customHeight="1" x14ac:dyDescent="0.3">
      <c r="A108">
        <v>1020</v>
      </c>
      <c r="B108" s="1">
        <v>7.7912202035639996E-3</v>
      </c>
      <c r="C108" s="1">
        <v>94.420569737771885</v>
      </c>
      <c r="D108" s="1">
        <v>1.475521592379337</v>
      </c>
      <c r="E108" s="1">
        <v>6026.5167893725311</v>
      </c>
    </row>
    <row r="109" spans="1:5" ht="19" customHeight="1" x14ac:dyDescent="0.3">
      <c r="A109">
        <v>1030</v>
      </c>
      <c r="B109" s="1">
        <v>7.8570749027757E-3</v>
      </c>
      <c r="C109" s="1">
        <v>94.482156302699281</v>
      </c>
      <c r="D109" s="1">
        <v>1.4737531394673069</v>
      </c>
      <c r="E109" s="1">
        <v>6089.0950205504359</v>
      </c>
    </row>
    <row r="110" spans="1:5" ht="19" customHeight="1" x14ac:dyDescent="0.3">
      <c r="A110">
        <v>1040</v>
      </c>
      <c r="B110" s="1">
        <v>7.9236659221404993E-3</v>
      </c>
      <c r="C110" s="1">
        <v>94.544763078036794</v>
      </c>
      <c r="D110" s="1">
        <v>1.472043226466794</v>
      </c>
      <c r="E110" s="1">
        <v>6149.6838864041847</v>
      </c>
    </row>
    <row r="111" spans="1:5" ht="19" customHeight="1" x14ac:dyDescent="0.3">
      <c r="A111">
        <v>1050</v>
      </c>
      <c r="B111" s="1">
        <v>7.9909691980698996E-3</v>
      </c>
      <c r="C111" s="1">
        <v>94.608346629532917</v>
      </c>
      <c r="D111" s="1">
        <v>1.470387732109256</v>
      </c>
      <c r="E111" s="1">
        <v>6208.3704506307413</v>
      </c>
    </row>
    <row r="112" spans="1:5" ht="19" customHeight="1" x14ac:dyDescent="0.3">
      <c r="A112">
        <v>1060</v>
      </c>
      <c r="B112" s="1">
        <v>8.0589617545302004E-3</v>
      </c>
      <c r="C112" s="1">
        <v>94.672865477049484</v>
      </c>
      <c r="D112" s="1">
        <v>1.468782908658159</v>
      </c>
      <c r="E112" s="1">
        <v>6265.2360130024099</v>
      </c>
    </row>
    <row r="113" spans="1:5" ht="19" customHeight="1" x14ac:dyDescent="0.3">
      <c r="A113">
        <v>1070</v>
      </c>
      <c r="B113" s="1">
        <v>8.1276216291112004E-3</v>
      </c>
      <c r="C113" s="1">
        <v>94.738279965045393</v>
      </c>
      <c r="D113" s="1">
        <v>1.4672253379606459</v>
      </c>
      <c r="E113" s="1">
        <v>6320.3566635079396</v>
      </c>
    </row>
    <row r="114" spans="1:5" ht="19" customHeight="1" x14ac:dyDescent="0.3">
      <c r="A114">
        <v>1080</v>
      </c>
      <c r="B114" s="1">
        <v>8.1969278063729993E-3</v>
      </c>
      <c r="C114" s="1">
        <v>94.804552145600738</v>
      </c>
      <c r="D114" s="1">
        <v>1.4657118938701339</v>
      </c>
      <c r="E114" s="1">
        <v>6373.8037665434558</v>
      </c>
    </row>
    <row r="115" spans="1:5" ht="19" customHeight="1" x14ac:dyDescent="0.3">
      <c r="A115">
        <v>1090</v>
      </c>
      <c r="B115" s="1">
        <v>8.2668601575252004E-3</v>
      </c>
      <c r="C115" s="1">
        <v>94.871645672367563</v>
      </c>
      <c r="D115" s="1">
        <v>1.4642397099525311</v>
      </c>
      <c r="E115" s="1">
        <v>6425.6443858900329</v>
      </c>
    </row>
    <row r="116" spans="1:5" ht="19" customHeight="1" x14ac:dyDescent="0.3">
      <c r="A116">
        <v>1100</v>
      </c>
      <c r="B116" s="1">
        <v>8.3373993856455993E-3</v>
      </c>
      <c r="C116" s="1">
        <v>94.939525704088879</v>
      </c>
      <c r="D116" s="1">
        <v>1.4628061516006781</v>
      </c>
      <c r="E116" s="1">
        <v>6475.9416593021424</v>
      </c>
    </row>
    <row r="117" spans="1:5" ht="19" customHeight="1" x14ac:dyDescent="0.3">
      <c r="A117">
        <v>1110</v>
      </c>
      <c r="B117" s="1">
        <v>8.4085269757635007E-3</v>
      </c>
      <c r="C117" s="1">
        <v>95.008158816535285</v>
      </c>
      <c r="D117" s="1">
        <v>1.461408791847387</v>
      </c>
      <c r="E117" s="1">
        <v>6524.7551300025807</v>
      </c>
    </row>
    <row r="118" spans="1:5" ht="19" customHeight="1" x14ac:dyDescent="0.3">
      <c r="A118">
        <v>1120</v>
      </c>
      <c r="B118" s="1">
        <v>8.4802251492379008E-3</v>
      </c>
      <c r="C118" s="1">
        <v>95.07751292187838</v>
      </c>
      <c r="D118" s="1">
        <v>1.460045390298125</v>
      </c>
      <c r="E118" s="1">
        <v>6572.1410411493716</v>
      </c>
    </row>
    <row r="119" spans="1:5" ht="19" customHeight="1" x14ac:dyDescent="0.3">
      <c r="A119">
        <v>1130</v>
      </c>
      <c r="B119" s="1">
        <v>8.5524768219384997E-3</v>
      </c>
      <c r="C119" s="1">
        <v>95.147557194662724</v>
      </c>
      <c r="D119" s="1">
        <v>1.4587138747080459</v>
      </c>
      <c r="E119" s="1">
        <v>6618.1525983447573</v>
      </c>
    </row>
    <row r="120" spans="1:5" ht="19" customHeight="1" x14ac:dyDescent="0.3">
      <c r="A120">
        <v>1140</v>
      </c>
      <c r="B120" s="1">
        <v>8.6252655658116007E-3</v>
      </c>
      <c r="C120" s="1">
        <v>95.218262003653365</v>
      </c>
      <c r="D120" s="1">
        <v>1.4574123248110591</v>
      </c>
      <c r="E120" s="1">
        <v>6662.8402044454178</v>
      </c>
    </row>
    <row r="121" spans="1:5" ht="19" customHeight="1" x14ac:dyDescent="0.3">
      <c r="A121">
        <v>1150</v>
      </c>
      <c r="B121" s="1">
        <v>8.6985755734654002E-3</v>
      </c>
      <c r="C121" s="1">
        <v>95.289598848935995</v>
      </c>
      <c r="D121" s="1">
        <v>1.4561389580752599</v>
      </c>
      <c r="E121" s="1">
        <v>6706.2516702692183</v>
      </c>
    </row>
    <row r="122" spans="1:5" ht="19" customHeight="1" x14ac:dyDescent="0.3">
      <c r="A122">
        <v>1160</v>
      </c>
      <c r="B122" s="1">
        <v>8.7723916254600996E-3</v>
      </c>
      <c r="C122" s="1">
        <v>95.361540303726983</v>
      </c>
      <c r="D122" s="1">
        <v>1.4548921171130651</v>
      </c>
      <c r="E122" s="1">
        <v>6748.4324042472836</v>
      </c>
    </row>
    <row r="123" spans="1:5" ht="19" customHeight="1" x14ac:dyDescent="0.3">
      <c r="A123">
        <v>1170</v>
      </c>
      <c r="B123" s="1">
        <v>8.8466990600296995E-3</v>
      </c>
      <c r="C123" s="1">
        <v>95.434059960421635</v>
      </c>
      <c r="D123" s="1">
        <v>1.4536702585183301</v>
      </c>
      <c r="E123" s="1">
        <v>6789.4255836178299</v>
      </c>
    </row>
    <row r="124" spans="1:5" ht="19" customHeight="1" x14ac:dyDescent="0.3">
      <c r="A124">
        <v>1180</v>
      </c>
      <c r="B124" s="1">
        <v>8.9214837449939008E-3</v>
      </c>
      <c r="C124" s="1">
        <v>95.507132380467439</v>
      </c>
      <c r="D124" s="1">
        <v>1.452471942938691</v>
      </c>
      <c r="E124" s="1">
        <v>6829.2723093822933</v>
      </c>
    </row>
    <row r="125" spans="1:5" ht="19" customHeight="1" x14ac:dyDescent="0.3">
      <c r="A125">
        <v>1190</v>
      </c>
      <c r="B125" s="1">
        <v>8.9967320516502001E-3</v>
      </c>
      <c r="C125" s="1">
        <v>95.580733047698999</v>
      </c>
      <c r="D125" s="1">
        <v>1.4512958262209681</v>
      </c>
      <c r="E125" s="1">
        <v>6868.011746930174</v>
      </c>
    </row>
    <row r="126" spans="1:5" ht="19" customHeight="1" x14ac:dyDescent="0.3">
      <c r="A126">
        <v>1200</v>
      </c>
      <c r="B126" s="1">
        <v>9.0724308304617994E-3</v>
      </c>
      <c r="C126" s="1">
        <v>95.654838324814776</v>
      </c>
      <c r="D126" s="1">
        <v>1.4501406514919151</v>
      </c>
      <c r="E126" s="1">
        <v>6905.6812539755483</v>
      </c>
    </row>
    <row r="127" spans="1:5" ht="19" customHeight="1" x14ac:dyDescent="0.3">
      <c r="A127">
        <v>1210</v>
      </c>
      <c r="B127" s="1">
        <v>9.1485673883755E-3</v>
      </c>
      <c r="C127" s="1">
        <v>95.729425412712914</v>
      </c>
      <c r="D127" s="1">
        <v>1.449005242056431</v>
      </c>
      <c r="E127" s="1">
        <v>6942.3164974100118</v>
      </c>
    </row>
    <row r="128" spans="1:5" ht="19" customHeight="1" x14ac:dyDescent="0.3">
      <c r="A128">
        <v>1220</v>
      </c>
      <c r="B128" s="1">
        <v>9.2251294673242994E-3</v>
      </c>
      <c r="C128" s="1">
        <v>95.804472311932074</v>
      </c>
      <c r="D128" s="1">
        <v>1.4478884949405451</v>
      </c>
      <c r="E128" s="1">
        <v>6977.9515882176856</v>
      </c>
    </row>
    <row r="129" spans="1:5" ht="19" customHeight="1" x14ac:dyDescent="0.3">
      <c r="A129">
        <v>1230</v>
      </c>
      <c r="B129" s="1">
        <v>9.3021052192648994E-3</v>
      </c>
      <c r="C129" s="1">
        <v>95.879957778455093</v>
      </c>
      <c r="D129" s="1">
        <v>1.446789375024925</v>
      </c>
      <c r="E129" s="1">
        <v>7012.6191580748191</v>
      </c>
    </row>
    <row r="130" spans="1:5" ht="19" customHeight="1" x14ac:dyDescent="0.3">
      <c r="A130">
        <v>1240</v>
      </c>
      <c r="B130" s="1">
        <v>9.3794831896761004E-3</v>
      </c>
      <c r="C130" s="1">
        <v>95.955861293739034</v>
      </c>
      <c r="D130" s="1">
        <v>1.4457069101742039</v>
      </c>
      <c r="E130" s="1">
        <v>7046.3503375706114</v>
      </c>
    </row>
    <row r="131" spans="1:5" ht="19" customHeight="1" x14ac:dyDescent="0.3">
      <c r="A131">
        <v>1250</v>
      </c>
      <c r="B131" s="1">
        <v>9.4572523201188006E-3</v>
      </c>
      <c r="C131" s="1">
        <v>96.032163066560017</v>
      </c>
      <c r="D131" s="1">
        <v>1.444640186797284</v>
      </c>
      <c r="E131" s="1">
        <v>7079.1750014362997</v>
      </c>
    </row>
    <row r="132" spans="1:5" ht="19" customHeight="1" x14ac:dyDescent="0.3">
      <c r="A132">
        <v>1260</v>
      </c>
      <c r="B132" s="1">
        <v>9.5354019133579004E-3</v>
      </c>
      <c r="C132" s="1">
        <v>96.108843972559086</v>
      </c>
      <c r="D132" s="1">
        <v>1.443588345105042</v>
      </c>
      <c r="E132" s="1">
        <v>7111.1217887935254</v>
      </c>
    </row>
    <row r="133" spans="1:5" ht="19" customHeight="1" x14ac:dyDescent="0.3">
      <c r="A133">
        <v>1270</v>
      </c>
      <c r="B133" s="1">
        <v>9.6139216181870997E-3</v>
      </c>
      <c r="C133" s="1">
        <v>96.185885526774243</v>
      </c>
      <c r="D133" s="1">
        <v>1.442550575245658</v>
      </c>
      <c r="E133" s="1">
        <v>7142.2181734118276</v>
      </c>
    </row>
    <row r="134" spans="1:5" ht="19" customHeight="1" x14ac:dyDescent="0.3">
      <c r="A134">
        <v>1280</v>
      </c>
      <c r="B134" s="1">
        <v>9.6928014140184003E-3</v>
      </c>
      <c r="C134" s="1">
        <v>96.263269855869794</v>
      </c>
      <c r="D134" s="1">
        <v>1.4421013423493141</v>
      </c>
      <c r="E134" s="1">
        <v>6905.7483080233596</v>
      </c>
    </row>
    <row r="135" spans="1:5" ht="19" customHeight="1" x14ac:dyDescent="0.3">
      <c r="A135">
        <v>1290</v>
      </c>
      <c r="B135" s="1">
        <v>9.7764042152641006E-3</v>
      </c>
      <c r="C135" s="1">
        <v>96.348255237433634</v>
      </c>
      <c r="D135" s="1">
        <v>1.443756564382372</v>
      </c>
      <c r="E135" s="1">
        <v>6766.5321499831834</v>
      </c>
    </row>
    <row r="136" spans="1:5" ht="19" customHeight="1" x14ac:dyDescent="0.3">
      <c r="A136">
        <v>1300</v>
      </c>
      <c r="B136" s="1">
        <v>9.8906622982463006E-3</v>
      </c>
      <c r="C136" s="1">
        <v>96.483964883212479</v>
      </c>
      <c r="D136" s="1">
        <v>1.453479268611954</v>
      </c>
      <c r="E136" s="1">
        <v>6311.6750479357042</v>
      </c>
    </row>
    <row r="137" spans="1:5" ht="19" customHeight="1" x14ac:dyDescent="0.3">
      <c r="A137">
        <v>1310</v>
      </c>
      <c r="B137" s="1">
        <v>9.9941846956093996E-3</v>
      </c>
      <c r="C137" s="1">
        <v>96.601359895487406</v>
      </c>
      <c r="D137" s="1">
        <v>1.464164427694856</v>
      </c>
      <c r="E137" s="1">
        <v>5860.6879014289734</v>
      </c>
    </row>
    <row r="138" spans="1:5" ht="19" customHeight="1" x14ac:dyDescent="0.3">
      <c r="A138">
        <v>1320</v>
      </c>
      <c r="B138" s="1">
        <v>1.0087284330671501E-2</v>
      </c>
      <c r="C138" s="1">
        <v>96.701021891998877</v>
      </c>
      <c r="D138" s="1">
        <v>1.475957710229761</v>
      </c>
      <c r="E138" s="1">
        <v>5413.9108629644334</v>
      </c>
    </row>
    <row r="139" spans="1:5" ht="19" customHeight="1" x14ac:dyDescent="0.3">
      <c r="A139">
        <v>1330</v>
      </c>
      <c r="B139" s="1">
        <v>1.01702843920183E-2</v>
      </c>
      <c r="C139" s="1">
        <v>96.783547635285345</v>
      </c>
      <c r="D139" s="1">
        <v>1.489041989613872</v>
      </c>
      <c r="E139" s="1">
        <v>4971.6300961222796</v>
      </c>
    </row>
    <row r="140" spans="1:5" ht="19" customHeight="1" x14ac:dyDescent="0.3">
      <c r="A140">
        <v>1340</v>
      </c>
      <c r="B140" s="1">
        <v>1.0243517584848E-2</v>
      </c>
      <c r="C140" s="1">
        <v>96.849547736603839</v>
      </c>
      <c r="D140" s="1">
        <v>1.503853951993497</v>
      </c>
      <c r="E140" s="1">
        <v>4493.3279597577966</v>
      </c>
    </row>
    <row r="141" spans="1:5" ht="19" customHeight="1" x14ac:dyDescent="0.3">
      <c r="A141">
        <v>1350</v>
      </c>
      <c r="B141" s="1">
        <v>1.03065432787313E-2</v>
      </c>
      <c r="C141" s="1">
        <v>96.898344028286061</v>
      </c>
      <c r="D141" s="1">
        <v>1.5203136381902571</v>
      </c>
      <c r="E141" s="1">
        <v>3976.6848237507929</v>
      </c>
    </row>
    <row r="142" spans="1:5" ht="19" customHeight="1" x14ac:dyDescent="0.3">
      <c r="A142">
        <v>1360</v>
      </c>
      <c r="B142" s="1">
        <v>1.0359267703497601E-2</v>
      </c>
      <c r="C142" s="1">
        <v>96.929837737459437</v>
      </c>
      <c r="D142" s="1">
        <v>1.537194739498235</v>
      </c>
      <c r="E142" s="1">
        <v>3515.748451955752</v>
      </c>
    </row>
    <row r="143" spans="1:5" ht="19" customHeight="1" x14ac:dyDescent="0.3">
      <c r="A143">
        <v>1370</v>
      </c>
      <c r="B143" s="1">
        <v>1.04034329814133E-2</v>
      </c>
      <c r="C143" s="1">
        <v>96.946985146634887</v>
      </c>
      <c r="D143" s="1">
        <v>1.5384150191710599</v>
      </c>
      <c r="E143" s="1">
        <v>4352.1904545645757</v>
      </c>
    </row>
    <row r="144" spans="1:5" ht="19" customHeight="1" x14ac:dyDescent="0.3">
      <c r="A144">
        <v>1380</v>
      </c>
      <c r="B144" s="1">
        <v>1.0433660591832299E-2</v>
      </c>
      <c r="C144" s="1">
        <v>96.940884719871065</v>
      </c>
      <c r="D144" s="1">
        <v>1.5384002697867569</v>
      </c>
      <c r="E144" s="1">
        <v>4352.1448329575833</v>
      </c>
    </row>
    <row r="145" spans="1:5" ht="19" customHeight="1" x14ac:dyDescent="0.3">
      <c r="A145">
        <v>1390</v>
      </c>
      <c r="B145" s="1">
        <v>1.0463888140835299E-2</v>
      </c>
      <c r="C145" s="1">
        <v>96.934804491819634</v>
      </c>
      <c r="D145" s="1">
        <v>1.5383853963784919</v>
      </c>
      <c r="E145" s="1">
        <v>4352.0989727429805</v>
      </c>
    </row>
    <row r="146" spans="1:5" ht="19" customHeight="1" x14ac:dyDescent="0.3">
      <c r="A146">
        <v>1400</v>
      </c>
      <c r="B146" s="1">
        <v>1.04941156278306E-2</v>
      </c>
      <c r="C146" s="1">
        <v>96.928744394279519</v>
      </c>
      <c r="D146" s="1">
        <v>1.5383704008365959</v>
      </c>
      <c r="E146" s="1">
        <v>4352.05285944976</v>
      </c>
    </row>
    <row r="147" spans="1:5" ht="19" customHeight="1" x14ac:dyDescent="0.3">
      <c r="A147">
        <v>1410</v>
      </c>
      <c r="B147" s="1">
        <v>1.0524343051523199E-2</v>
      </c>
      <c r="C147" s="1">
        <v>96.92270435810596</v>
      </c>
      <c r="D147" s="1">
        <v>1.538355283781514</v>
      </c>
      <c r="E147" s="1">
        <v>4352.0064930851386</v>
      </c>
    </row>
    <row r="148" spans="1:5" ht="19" customHeight="1" x14ac:dyDescent="0.3">
      <c r="A148">
        <v>1420</v>
      </c>
      <c r="B148" s="1">
        <v>1.0554570410619199E-2</v>
      </c>
      <c r="C148" s="1">
        <v>96.916684314385819</v>
      </c>
      <c r="D148" s="1">
        <v>1.538340045592749</v>
      </c>
      <c r="E148" s="1">
        <v>4351.9599098571134</v>
      </c>
    </row>
    <row r="149" spans="1:5" ht="19" customHeight="1" x14ac:dyDescent="0.3">
      <c r="A149">
        <v>1430</v>
      </c>
      <c r="B149" s="1">
        <v>1.0584797703377899E-2</v>
      </c>
      <c r="C149" s="1">
        <v>96.910684193692504</v>
      </c>
      <c r="D149" s="1">
        <v>1.5383246856151629</v>
      </c>
      <c r="E149" s="1">
        <v>4351.9131242495368</v>
      </c>
    </row>
    <row r="150" spans="1:5" ht="19" customHeight="1" x14ac:dyDescent="0.3">
      <c r="A150">
        <v>1440</v>
      </c>
      <c r="B150" s="1">
        <v>1.06150249287634E-2</v>
      </c>
      <c r="C150" s="1">
        <v>96.904703928002846</v>
      </c>
      <c r="D150" s="1">
        <v>1.538309204694652</v>
      </c>
      <c r="E150" s="1">
        <v>4351.8661000684124</v>
      </c>
    </row>
    <row r="151" spans="1:5" ht="19" customHeight="1" x14ac:dyDescent="0.3">
      <c r="A151">
        <v>1450</v>
      </c>
      <c r="B151" s="1">
        <v>1.06452520861857E-2</v>
      </c>
      <c r="C151" s="1">
        <v>96.898743450261804</v>
      </c>
      <c r="D151" s="1">
        <v>1.538293604705312</v>
      </c>
      <c r="E151" s="1">
        <v>4351.8188228432173</v>
      </c>
    </row>
    <row r="152" spans="1:5" ht="19" customHeight="1" x14ac:dyDescent="0.3">
      <c r="A152">
        <v>1460</v>
      </c>
      <c r="B152" s="1">
        <v>1.06754791743493E-2</v>
      </c>
      <c r="C152" s="1">
        <v>96.892802692464045</v>
      </c>
      <c r="D152" s="1">
        <v>1.5382778860138799</v>
      </c>
      <c r="E152" s="1">
        <v>4351.771328780369</v>
      </c>
    </row>
    <row r="153" spans="1:5" ht="19" customHeight="1" x14ac:dyDescent="0.3">
      <c r="A153">
        <v>1470</v>
      </c>
      <c r="B153" s="1">
        <v>1.0705706191514499E-2</v>
      </c>
      <c r="C153" s="1">
        <v>96.88688158609088</v>
      </c>
      <c r="D153" s="1">
        <v>1.538262048190207</v>
      </c>
      <c r="E153" s="1">
        <v>4351.7235961650586</v>
      </c>
    </row>
    <row r="154" spans="1:5" ht="19" customHeight="1" x14ac:dyDescent="0.3">
      <c r="A154">
        <v>1480</v>
      </c>
      <c r="B154" s="1">
        <v>1.07359331370911E-2</v>
      </c>
      <c r="C154" s="1">
        <v>96.880980064764842</v>
      </c>
      <c r="D154" s="1">
        <v>1.5382460928612269</v>
      </c>
      <c r="E154" s="1">
        <v>4351.6756467251844</v>
      </c>
    </row>
    <row r="155" spans="1:5" ht="19" customHeight="1" x14ac:dyDescent="0.3">
      <c r="A155">
        <v>1490</v>
      </c>
      <c r="B155" s="1">
        <v>1.0766160009337901E-2</v>
      </c>
      <c r="C155" s="1">
        <v>96.875098060413819</v>
      </c>
      <c r="D155" s="1">
        <v>1.538230019352933</v>
      </c>
      <c r="E155" s="1">
        <v>4351.6274949444387</v>
      </c>
    </row>
    <row r="156" spans="1:5" ht="19" customHeight="1" x14ac:dyDescent="0.3">
      <c r="A156">
        <v>1500</v>
      </c>
      <c r="B156" s="1">
        <v>1.07963868072205E-2</v>
      </c>
      <c r="C156" s="1">
        <v>96.869235506368483</v>
      </c>
      <c r="D156" s="1">
        <v>1.5382138284923119</v>
      </c>
      <c r="E156" s="1">
        <v>4351.5791046316463</v>
      </c>
    </row>
    <row r="157" spans="1:5" ht="19" customHeight="1" x14ac:dyDescent="0.3">
      <c r="A157">
        <v>1510</v>
      </c>
      <c r="B157" s="1">
        <v>1.08266135301473E-2</v>
      </c>
      <c r="C157" s="1">
        <v>96.863392336917997</v>
      </c>
      <c r="D157" s="1">
        <v>1.538197522134616</v>
      </c>
      <c r="E157" s="1">
        <v>4351.5304613168864</v>
      </c>
    </row>
    <row r="158" spans="1:5" ht="19" customHeight="1" x14ac:dyDescent="0.3">
      <c r="A158">
        <v>1520</v>
      </c>
      <c r="B158" s="1">
        <v>1.08568401768232E-2</v>
      </c>
      <c r="C158" s="1">
        <v>96.857568485399753</v>
      </c>
      <c r="D158" s="1">
        <v>1.538181100627954</v>
      </c>
      <c r="E158" s="1">
        <v>4351.4816012041574</v>
      </c>
    </row>
    <row r="159" spans="1:5" ht="19" customHeight="1" x14ac:dyDescent="0.3">
      <c r="A159">
        <v>1530</v>
      </c>
      <c r="B159" s="1">
        <v>1.08870667455095E-2</v>
      </c>
      <c r="C159" s="1">
        <v>96.851763884634835</v>
      </c>
      <c r="D159" s="1">
        <v>1.538164563286067</v>
      </c>
      <c r="E159" s="1">
        <v>4351.4325387770314</v>
      </c>
    </row>
    <row r="160" spans="1:5" ht="19" customHeight="1" x14ac:dyDescent="0.3">
      <c r="A160">
        <v>1540</v>
      </c>
      <c r="B160" s="1">
        <v>1.0917293235169699E-2</v>
      </c>
      <c r="C160" s="1">
        <v>96.845978468836364</v>
      </c>
      <c r="D160" s="1">
        <v>1.538147910923723</v>
      </c>
      <c r="E160" s="1">
        <v>4351.3832378462494</v>
      </c>
    </row>
    <row r="161" spans="1:5" ht="19" customHeight="1" x14ac:dyDescent="0.3">
      <c r="A161">
        <v>1550</v>
      </c>
      <c r="B161" s="1">
        <v>1.09475196452138E-2</v>
      </c>
      <c r="C161" s="1">
        <v>96.840212173178884</v>
      </c>
      <c r="D161" s="1">
        <v>1.538131144908722</v>
      </c>
      <c r="E161" s="1">
        <v>4351.3337563322812</v>
      </c>
    </row>
    <row r="162" spans="1:5" ht="19" customHeight="1" x14ac:dyDescent="0.3">
      <c r="A162">
        <v>1560</v>
      </c>
      <c r="B162" s="1">
        <v>1.09777459734559E-2</v>
      </c>
      <c r="C162" s="1">
        <v>96.834464930398084</v>
      </c>
      <c r="D162" s="1">
        <v>1.5381141342529201</v>
      </c>
      <c r="E162" s="1">
        <v>4351.3037768873564</v>
      </c>
    </row>
    <row r="163" spans="1:5" ht="19" customHeight="1" x14ac:dyDescent="0.3">
      <c r="A163">
        <v>1570</v>
      </c>
      <c r="B163" s="1">
        <v>1.1007971978049201E-2</v>
      </c>
      <c r="C163" s="1">
        <v>96.828736274682697</v>
      </c>
      <c r="D163" s="1">
        <v>1.551619929772927</v>
      </c>
      <c r="E163" s="1">
        <v>3344.91234979309</v>
      </c>
    </row>
    <row r="164" spans="1:5" ht="19" customHeight="1" x14ac:dyDescent="0.3">
      <c r="A164">
        <v>1580</v>
      </c>
      <c r="B164" s="1">
        <v>1.10410945746143E-2</v>
      </c>
      <c r="C164" s="1">
        <v>96.827846298826046</v>
      </c>
      <c r="D164" s="1">
        <v>1.5427407531700239</v>
      </c>
      <c r="E164" s="1">
        <v>3560.0871184186972</v>
      </c>
    </row>
    <row r="165" spans="1:5" ht="19" customHeight="1" x14ac:dyDescent="0.3">
      <c r="A165">
        <v>1590</v>
      </c>
      <c r="B165" s="1">
        <v>1.10769953797159E-2</v>
      </c>
      <c r="C165" s="1">
        <v>96.831581923499314</v>
      </c>
      <c r="D165" s="1">
        <v>1.5341869795481511</v>
      </c>
      <c r="E165" s="1">
        <v>3770.9484080605112</v>
      </c>
    </row>
    <row r="166" spans="1:5" ht="19" customHeight="1" x14ac:dyDescent="0.3">
      <c r="A166">
        <v>1600</v>
      </c>
      <c r="B166" s="1">
        <v>1.1115660388683999E-2</v>
      </c>
      <c r="C166" s="1">
        <v>96.839904453445101</v>
      </c>
      <c r="D166" s="1">
        <v>1.526490401289857</v>
      </c>
      <c r="E166" s="1">
        <v>3935.9167300516369</v>
      </c>
    </row>
    <row r="167" spans="1:5" ht="19" customHeight="1" x14ac:dyDescent="0.3">
      <c r="A167">
        <v>1610</v>
      </c>
      <c r="B167" s="1">
        <v>1.1156408423235601E-2</v>
      </c>
      <c r="C167" s="1">
        <v>96.851665217356967</v>
      </c>
      <c r="D167" s="1">
        <v>1.519830448111027</v>
      </c>
      <c r="E167" s="1">
        <v>4090.3027150828889</v>
      </c>
    </row>
    <row r="168" spans="1:5" ht="19" customHeight="1" x14ac:dyDescent="0.3">
      <c r="A168">
        <v>1620</v>
      </c>
      <c r="B168" s="1">
        <v>1.11990754311152E-2</v>
      </c>
      <c r="C168" s="1">
        <v>96.866579808303698</v>
      </c>
      <c r="D168" s="1">
        <v>1.5139480596723449</v>
      </c>
      <c r="E168" s="1">
        <v>4235.245775410076</v>
      </c>
    </row>
    <row r="169" spans="1:5" ht="19" customHeight="1" x14ac:dyDescent="0.3">
      <c r="A169">
        <v>1630</v>
      </c>
      <c r="B169" s="1">
        <v>1.1243526243188201E-2</v>
      </c>
      <c r="C169" s="1">
        <v>96.884412824192495</v>
      </c>
      <c r="D169" s="1">
        <v>1.508673812611746</v>
      </c>
      <c r="E169" s="1">
        <v>4371.846270190792</v>
      </c>
    </row>
    <row r="170" spans="1:5" ht="19" customHeight="1" x14ac:dyDescent="0.3">
      <c r="A170">
        <v>1640</v>
      </c>
      <c r="B170" s="1">
        <v>1.1289646559324301E-2</v>
      </c>
      <c r="C170" s="1">
        <v>96.904964370066367</v>
      </c>
      <c r="D170" s="1">
        <v>1.503889951306254</v>
      </c>
      <c r="E170" s="1">
        <v>4501.0409075029702</v>
      </c>
    </row>
    <row r="171" spans="1:5" ht="19" customHeight="1" x14ac:dyDescent="0.3">
      <c r="A171">
        <v>1650</v>
      </c>
      <c r="B171" s="1">
        <v>1.13373376765959E-2</v>
      </c>
      <c r="C171" s="1">
        <v>96.928061168235914</v>
      </c>
      <c r="D171" s="1">
        <v>1.5102507045386611</v>
      </c>
      <c r="E171" s="1">
        <v>4091.8085215820552</v>
      </c>
    </row>
    <row r="172" spans="1:5" ht="19" customHeight="1" x14ac:dyDescent="0.3">
      <c r="A172">
        <v>1660</v>
      </c>
      <c r="B172" s="1">
        <v>1.13828424882344E-2</v>
      </c>
      <c r="C172" s="1">
        <v>96.947443328858441</v>
      </c>
      <c r="D172" s="1">
        <v>1.506348140340712</v>
      </c>
      <c r="E172" s="1">
        <v>4180.3561561692813</v>
      </c>
    </row>
    <row r="173" spans="1:5" ht="19" customHeight="1" x14ac:dyDescent="0.3">
      <c r="A173">
        <v>1670</v>
      </c>
      <c r="B173" s="1">
        <v>1.14296006942538E-2</v>
      </c>
      <c r="C173" s="1">
        <v>96.968846502687057</v>
      </c>
      <c r="D173" s="1">
        <v>1.502713025380346</v>
      </c>
      <c r="E173" s="1">
        <v>4265.2649685698971</v>
      </c>
    </row>
    <row r="174" spans="1:5" ht="19" customHeight="1" x14ac:dyDescent="0.3">
      <c r="A174">
        <v>1680</v>
      </c>
      <c r="B174" s="1">
        <v>1.1477555676062901E-2</v>
      </c>
      <c r="C174" s="1">
        <v>96.992169757007204</v>
      </c>
      <c r="D174" s="1">
        <v>1.4993097839228671</v>
      </c>
      <c r="E174" s="1">
        <v>4346.8111632050995</v>
      </c>
    </row>
    <row r="175" spans="1:5" ht="19" customHeight="1" x14ac:dyDescent="0.3">
      <c r="A175">
        <v>1690</v>
      </c>
      <c r="B175" s="1">
        <v>1.1526655968761601E-2</v>
      </c>
      <c r="C175" s="1">
        <v>97.017321070171405</v>
      </c>
      <c r="D175" s="1">
        <v>1.496109587791868</v>
      </c>
      <c r="E175" s="1">
        <v>4425.2383557416379</v>
      </c>
    </row>
    <row r="176" spans="1:5" ht="19" customHeight="1" x14ac:dyDescent="0.3">
      <c r="A176">
        <v>1700</v>
      </c>
      <c r="B176" s="1">
        <v>1.1576854450944399E-2</v>
      </c>
      <c r="C176" s="1">
        <v>97.044215953866797</v>
      </c>
      <c r="D176" s="1">
        <v>1.493088711491634</v>
      </c>
      <c r="E176" s="1">
        <v>4500.7618845517554</v>
      </c>
    </row>
    <row r="177" spans="1:5" ht="19" customHeight="1" x14ac:dyDescent="0.3">
      <c r="A177">
        <v>1710</v>
      </c>
      <c r="B177" s="1">
        <v>1.16281077099923E-2</v>
      </c>
      <c r="C177" s="1">
        <v>97.072776371958639</v>
      </c>
      <c r="D177" s="1">
        <v>1.490227367789797</v>
      </c>
      <c r="E177" s="1">
        <v>4573.572847811577</v>
      </c>
    </row>
    <row r="178" spans="1:5" ht="19" customHeight="1" x14ac:dyDescent="0.3">
      <c r="A178">
        <v>1720</v>
      </c>
      <c r="B178" s="1">
        <v>1.16803755365065E-2</v>
      </c>
      <c r="C178" s="1">
        <v>97.102929877812798</v>
      </c>
      <c r="D178" s="1">
        <v>1.4875088628304971</v>
      </c>
      <c r="E178" s="1">
        <v>4643.8416288564686</v>
      </c>
    </row>
    <row r="179" spans="1:5" ht="19" customHeight="1" x14ac:dyDescent="0.3">
      <c r="A179">
        <v>1730</v>
      </c>
      <c r="B179" s="1">
        <v>1.1733620515567599E-2</v>
      </c>
      <c r="C179" s="1">
        <v>97.134608915593176</v>
      </c>
      <c r="D179" s="1">
        <v>1.4849189698717471</v>
      </c>
      <c r="E179" s="1">
        <v>4711.7208868652879</v>
      </c>
    </row>
    <row r="180" spans="1:5" ht="19" customHeight="1" x14ac:dyDescent="0.3">
      <c r="A180">
        <v>1740</v>
      </c>
      <c r="B180" s="1">
        <v>1.17878076918381E-2</v>
      </c>
      <c r="C180" s="1">
        <v>97.167750246753798</v>
      </c>
      <c r="D180" s="1">
        <v>1.482445456346174</v>
      </c>
      <c r="E180" s="1">
        <v>4777.3480639800346</v>
      </c>
    </row>
    <row r="181" spans="1:5" ht="19" customHeight="1" x14ac:dyDescent="0.3">
      <c r="A181">
        <v>1750</v>
      </c>
      <c r="B181" s="1">
        <v>1.18429042918703E-2</v>
      </c>
      <c r="C181" s="1">
        <v>97.202294473621336</v>
      </c>
      <c r="D181" s="1">
        <v>1.480077720802371</v>
      </c>
      <c r="E181" s="1">
        <v>4840.847479249469</v>
      </c>
    </row>
    <row r="182" spans="1:5" ht="19" customHeight="1" x14ac:dyDescent="0.3">
      <c r="A182">
        <v>1760</v>
      </c>
      <c r="B182" s="1">
        <v>1.18988794913576E-2</v>
      </c>
      <c r="C182" s="1">
        <v>97.238185639346042</v>
      </c>
      <c r="D182" s="1">
        <v>1.477806510113888</v>
      </c>
      <c r="E182" s="1">
        <v>4902.3320783712434</v>
      </c>
    </row>
    <row r="183" spans="1:5" ht="19" customHeight="1" x14ac:dyDescent="0.3">
      <c r="A183">
        <v>1770</v>
      </c>
      <c r="B183" s="1">
        <v>1.19557042181564E-2</v>
      </c>
      <c r="C183" s="1">
        <v>97.275370888699882</v>
      </c>
      <c r="D183" s="1">
        <v>1.475623696329786</v>
      </c>
      <c r="E183" s="1">
        <v>4961.9048998617773</v>
      </c>
    </row>
    <row r="184" spans="1:5" ht="19" customHeight="1" x14ac:dyDescent="0.3">
      <c r="A184">
        <v>1780</v>
      </c>
      <c r="B184" s="1">
        <v>1.20133509841081E-2</v>
      </c>
      <c r="C184" s="1">
        <v>97.3138001779257</v>
      </c>
      <c r="D184" s="1">
        <v>1.473522098521052</v>
      </c>
      <c r="E184" s="1">
        <v>5019.6603085095267</v>
      </c>
    </row>
    <row r="185" spans="1:5" ht="19" customHeight="1" x14ac:dyDescent="0.3">
      <c r="A185">
        <v>1790</v>
      </c>
      <c r="B185" s="1">
        <v>1.20717937403007E-2</v>
      </c>
      <c r="C185" s="1">
        <v>97.353426024551922</v>
      </c>
      <c r="D185" s="1">
        <v>1.47149533904229</v>
      </c>
      <c r="E185" s="1">
        <v>5075.6850378378404</v>
      </c>
    </row>
    <row r="186" spans="1:5" ht="19" customHeight="1" x14ac:dyDescent="0.3">
      <c r="A186">
        <v>1800</v>
      </c>
      <c r="B186" s="1">
        <v>1.21310077515918E-2</v>
      </c>
      <c r="C186" s="1">
        <v>97.394203290089365</v>
      </c>
      <c r="D186" s="1">
        <v>1.469537726444835</v>
      </c>
      <c r="E186" s="1">
        <v>5130.0590754669674</v>
      </c>
    </row>
    <row r="187" spans="1:5" ht="19" customHeight="1" x14ac:dyDescent="0.3">
      <c r="A187">
        <v>1810</v>
      </c>
      <c r="B187" s="1">
        <v>1.21909694871034E-2</v>
      </c>
      <c r="C187" s="1">
        <v>97.436088990025439</v>
      </c>
      <c r="D187" s="1">
        <v>1.467644159263106</v>
      </c>
      <c r="E187" s="1">
        <v>5182.8564187949296</v>
      </c>
    </row>
    <row r="188" spans="1:5" ht="19" customHeight="1" x14ac:dyDescent="0.3">
      <c r="A188">
        <v>1820</v>
      </c>
      <c r="B188" s="1">
        <v>1.22516565240677E-2</v>
      </c>
      <c r="C188" s="1">
        <v>97.479042126666684</v>
      </c>
      <c r="D188" s="1">
        <v>1.465810046318176</v>
      </c>
      <c r="E188" s="1">
        <v>5234.1457231773929</v>
      </c>
    </row>
    <row r="189" spans="1:5" ht="19" customHeight="1" x14ac:dyDescent="0.3">
      <c r="A189">
        <v>1830</v>
      </c>
      <c r="B189" s="1">
        <v>1.23130474629203E-2</v>
      </c>
      <c r="C189" s="1">
        <v>97.523023541250964</v>
      </c>
      <c r="D189" s="1">
        <v>1.4640312402156821</v>
      </c>
      <c r="E189" s="1">
        <v>5283.9908605825931</v>
      </c>
    </row>
    <row r="190" spans="1:5" ht="19" customHeight="1" x14ac:dyDescent="0.3">
      <c r="A190">
        <v>1840</v>
      </c>
      <c r="B190" s="1">
        <v>1.2375121851934E-2</v>
      </c>
      <c r="C190" s="1">
        <v>97.567995782426664</v>
      </c>
      <c r="D190" s="1">
        <v>1.462303981475741</v>
      </c>
      <c r="E190" s="1">
        <v>5332.4514033356973</v>
      </c>
    </row>
    <row r="191" spans="1:5" ht="19" customHeight="1" x14ac:dyDescent="0.3">
      <c r="A191">
        <v>1850</v>
      </c>
      <c r="B191" s="1">
        <v>1.2437860119998201E-2</v>
      </c>
      <c r="C191" s="1">
        <v>97.61392298872326</v>
      </c>
      <c r="D191" s="1">
        <v>1.460624851299271</v>
      </c>
      <c r="E191" s="1">
        <v>5379.5830448804691</v>
      </c>
    </row>
    <row r="192" spans="1:5" ht="19" customHeight="1" x14ac:dyDescent="0.3">
      <c r="A192">
        <v>1860</v>
      </c>
      <c r="B192" s="1">
        <v>1.25012435163958E-2</v>
      </c>
      <c r="C192" s="1">
        <v>97.660770783055483</v>
      </c>
      <c r="D192" s="1">
        <v>1.4589907314020329</v>
      </c>
      <c r="E192" s="1">
        <v>5425.4379673354733</v>
      </c>
    </row>
    <row r="193" spans="1:5" ht="19" customHeight="1" x14ac:dyDescent="0.3">
      <c r="A193">
        <v>1870</v>
      </c>
      <c r="B193" s="1">
        <v>1.25652540566245E-2</v>
      </c>
      <c r="C193" s="1">
        <v>97.708506177636082</v>
      </c>
      <c r="D193" s="1">
        <v>1.457398769672773</v>
      </c>
      <c r="E193" s="1">
        <v>5470.0651638953013</v>
      </c>
    </row>
    <row r="194" spans="1:5" ht="19" customHeight="1" x14ac:dyDescent="0.3">
      <c r="A194">
        <v>1880</v>
      </c>
      <c r="B194" s="1">
        <v>1.26298744734668E-2</v>
      </c>
      <c r="C194" s="1">
        <v>97.757097487938566</v>
      </c>
      <c r="D194" s="1">
        <v>1.455846350661663</v>
      </c>
      <c r="E194" s="1">
        <v>5513.5107227363114</v>
      </c>
    </row>
    <row r="195" spans="1:5" ht="19" customHeight="1" x14ac:dyDescent="0.3">
      <c r="A195">
        <v>1890</v>
      </c>
      <c r="B195" s="1">
        <v>1.26950881726409E-2</v>
      </c>
      <c r="C195" s="1">
        <v>97.806514254568256</v>
      </c>
      <c r="D195" s="1">
        <v>1.454331070098972</v>
      </c>
      <c r="E195" s="1">
        <v>5555.8180779609856</v>
      </c>
    </row>
    <row r="196" spans="1:5" ht="19" customHeight="1" x14ac:dyDescent="0.3">
      <c r="A196">
        <v>1900</v>
      </c>
      <c r="B196" s="1">
        <v>1.2760879192467701E-2</v>
      </c>
      <c r="C196" s="1">
        <v>97.856727172075082</v>
      </c>
      <c r="D196" s="1">
        <v>1.4528507127953909</v>
      </c>
      <c r="E196" s="1">
        <v>5597.0282322007461</v>
      </c>
    </row>
    <row r="197" spans="1:5" ht="19" customHeight="1" x14ac:dyDescent="0.3">
      <c r="A197">
        <v>1910</v>
      </c>
      <c r="B197" s="1">
        <v>1.28272321670737E-2</v>
      </c>
      <c r="C197" s="1">
        <v>97.907708023887338</v>
      </c>
      <c r="D197" s="1">
        <v>1.4514032333948379</v>
      </c>
      <c r="E197" s="1">
        <v>5637.1799547510964</v>
      </c>
    </row>
    <row r="198" spans="1:5" ht="19" customHeight="1" x14ac:dyDescent="0.3">
      <c r="A198">
        <v>1920</v>
      </c>
      <c r="B198" s="1">
        <v>1.28941322927203E-2</v>
      </c>
      <c r="C198" s="1">
        <v>97.95942962266372</v>
      </c>
      <c r="D198" s="1">
        <v>1.4499867395453321</v>
      </c>
      <c r="E198" s="1">
        <v>5676.3099585014388</v>
      </c>
    </row>
    <row r="199" spans="1:5" ht="19" customHeight="1" x14ac:dyDescent="0.3">
      <c r="A199">
        <v>1930</v>
      </c>
      <c r="B199" s="1">
        <v>1.2961565296907901E-2</v>
      </c>
      <c r="C199" s="1">
        <v>98.011865755460875</v>
      </c>
      <c r="D199" s="1">
        <v>1.4485994771292949</v>
      </c>
      <c r="E199" s="1">
        <v>5714.4530584185841</v>
      </c>
    </row>
    <row r="200" spans="1:5" ht="19" customHeight="1" x14ac:dyDescent="0.3">
      <c r="A200">
        <v>1940</v>
      </c>
      <c r="B200" s="1">
        <v>1.30295174099516E-2</v>
      </c>
      <c r="C200" s="1">
        <v>98.064991133195804</v>
      </c>
      <c r="D200" s="1">
        <v>1.447239817255578</v>
      </c>
      <c r="E200" s="1">
        <v>5751.6423139266681</v>
      </c>
    </row>
    <row r="201" spans="1:5" ht="19" customHeight="1" x14ac:dyDescent="0.3">
      <c r="A201">
        <v>1950</v>
      </c>
      <c r="B201" s="1">
        <v>1.3097975338765999E-2</v>
      </c>
      <c r="C201" s="1">
        <v>98.118781343952264</v>
      </c>
      <c r="D201" s="1">
        <v>1.445906244764841</v>
      </c>
      <c r="E201" s="1">
        <v>5787.9091571806266</v>
      </c>
    </row>
    <row r="202" spans="1:5" ht="19" customHeight="1" x14ac:dyDescent="0.3">
      <c r="A202">
        <v>1960</v>
      </c>
      <c r="B202" s="1">
        <v>1.31669262426314E-2</v>
      </c>
      <c r="C202" s="1">
        <v>98.173212809738843</v>
      </c>
      <c r="D202" s="1">
        <v>1.4445973480400769</v>
      </c>
      <c r="E202" s="1">
        <v>5823.283508942176</v>
      </c>
    </row>
    <row r="203" spans="1:5" ht="19" customHeight="1" x14ac:dyDescent="0.3">
      <c r="A203">
        <v>1970</v>
      </c>
      <c r="B203" s="1">
        <v>1.32363577107408E-2</v>
      </c>
      <c r="C203" s="1">
        <v>98.228262746355639</v>
      </c>
      <c r="D203" s="1">
        <v>1.4433118099469091</v>
      </c>
      <c r="E203" s="1">
        <v>5857.7938835259538</v>
      </c>
    </row>
    <row r="204" spans="1:5" ht="19" customHeight="1" x14ac:dyDescent="0.3">
      <c r="A204">
        <v>1980</v>
      </c>
      <c r="B204" s="1">
        <v>1.3306257741355999E-2</v>
      </c>
      <c r="C204" s="1">
        <v>98.283909126069162</v>
      </c>
      <c r="D204" s="1">
        <v>1.442048399755385</v>
      </c>
      <c r="E204" s="1">
        <v>5891.4674840807274</v>
      </c>
    </row>
    <row r="205" spans="1:5" ht="19" customHeight="1" x14ac:dyDescent="0.3">
      <c r="A205">
        <v>1990</v>
      </c>
      <c r="B205" s="1">
        <v>1.33766147224162E-2</v>
      </c>
      <c r="C205" s="1">
        <v>98.340130642830957</v>
      </c>
      <c r="D205" s="1">
        <v>1.4408059659172801</v>
      </c>
      <c r="E205" s="1">
        <v>5924.3302892994516</v>
      </c>
    </row>
    <row r="206" spans="1:5" ht="19" customHeight="1" x14ac:dyDescent="0.3">
      <c r="A206">
        <v>2000</v>
      </c>
      <c r="B206" s="1">
        <v>1.3447417413466301E-2</v>
      </c>
      <c r="C206" s="1">
        <v>98.39690667980642</v>
      </c>
      <c r="D206" s="1">
        <v>1.4395834295915471</v>
      </c>
      <c r="E206" s="1">
        <v>5956.4071325071163</v>
      </c>
    </row>
    <row r="207" spans="1:5" ht="19" customHeight="1" x14ac:dyDescent="0.3">
      <c r="A207">
        <v>2010</v>
      </c>
      <c r="B207" s="1">
        <v>1.3518654928784801E-2</v>
      </c>
      <c r="C207" s="1">
        <v>98.454217279007153</v>
      </c>
      <c r="D207" s="1">
        <v>1.438379778825988</v>
      </c>
      <c r="E207" s="1">
        <v>5987.7217739521984</v>
      </c>
    </row>
    <row r="208" spans="1:5" ht="19" customHeight="1" x14ac:dyDescent="0.3">
      <c r="A208">
        <v>2020</v>
      </c>
      <c r="B208" s="1">
        <v>1.35903167216036E-2</v>
      </c>
      <c r="C208" s="1">
        <v>98.512043112843045</v>
      </c>
      <c r="D208" s="1">
        <v>1.4234448749830739</v>
      </c>
      <c r="E208" s="1">
        <v>7234.1257513401488</v>
      </c>
    </row>
    <row r="209" spans="1:5" ht="19" customHeight="1" x14ac:dyDescent="0.3">
      <c r="A209">
        <v>2030</v>
      </c>
      <c r="B209" s="1">
        <v>1.36703003048105E-2</v>
      </c>
      <c r="C209" s="1">
        <v>98.583523075022967</v>
      </c>
      <c r="D209" s="1">
        <v>1.4223979732104479</v>
      </c>
      <c r="E209" s="1">
        <v>7261.9719300561947</v>
      </c>
    </row>
    <row r="210" spans="1:5" ht="19" customHeight="1" x14ac:dyDescent="0.3">
      <c r="A210">
        <v>2040</v>
      </c>
      <c r="B210" s="1">
        <v>1.37506058926395E-2</v>
      </c>
      <c r="C210" s="1">
        <v>98.655300948238136</v>
      </c>
      <c r="D210" s="1">
        <v>1.421361810237274</v>
      </c>
      <c r="E210" s="1">
        <v>7289.0924883457246</v>
      </c>
    </row>
    <row r="211" spans="1:5" ht="19" customHeight="1" x14ac:dyDescent="0.3">
      <c r="A211">
        <v>2050</v>
      </c>
      <c r="B211" s="1">
        <v>1.38312249633986E-2</v>
      </c>
      <c r="C211" s="1">
        <v>98.72736156193028</v>
      </c>
      <c r="D211" s="1">
        <v>1.4203358420485559</v>
      </c>
      <c r="E211" s="1">
        <v>7315.5089866379967</v>
      </c>
    </row>
    <row r="212" spans="1:5" ht="19" customHeight="1" x14ac:dyDescent="0.3">
      <c r="A212">
        <v>2060</v>
      </c>
      <c r="B212" s="1">
        <v>1.3912149259140401E-2</v>
      </c>
      <c r="C212" s="1">
        <v>98.799690234867597</v>
      </c>
      <c r="D212" s="1">
        <v>1.4193195539760211</v>
      </c>
      <c r="E212" s="1">
        <v>7341.242202531068</v>
      </c>
    </row>
    <row r="213" spans="1:5" ht="19" customHeight="1" x14ac:dyDescent="0.3">
      <c r="A213">
        <v>2070</v>
      </c>
      <c r="B213" s="1">
        <v>1.3993370771470601E-2</v>
      </c>
      <c r="C213" s="1">
        <v>98.872272749904042</v>
      </c>
      <c r="D213" s="1">
        <v>1.4183124587618621</v>
      </c>
      <c r="E213" s="1">
        <v>7366.3121569244431</v>
      </c>
    </row>
    <row r="214" spans="1:5" ht="19" customHeight="1" x14ac:dyDescent="0.3">
      <c r="A214">
        <v>2080</v>
      </c>
      <c r="B214" s="1">
        <v>1.4074881732188E-2</v>
      </c>
      <c r="C214" s="1">
        <v>98.945095336860007</v>
      </c>
      <c r="D214" s="1">
        <v>1.4173140948441001</v>
      </c>
      <c r="E214" s="1">
        <v>7390.7381548036456</v>
      </c>
    </row>
    <row r="215" spans="1:5" ht="19" customHeight="1" x14ac:dyDescent="0.3">
      <c r="A215">
        <v>2090</v>
      </c>
      <c r="B215" s="1">
        <v>1.41566746029718E-2</v>
      </c>
      <c r="C215" s="1">
        <v>99.018144653877002</v>
      </c>
      <c r="D215" s="1">
        <v>1.4163240246506259</v>
      </c>
      <c r="E215" s="1">
        <v>7414.5388685447997</v>
      </c>
    </row>
    <row r="216" spans="1:5" ht="19" customHeight="1" x14ac:dyDescent="0.3">
      <c r="A216">
        <v>2100</v>
      </c>
      <c r="B216" s="1">
        <v>1.42387420587324E-2</v>
      </c>
      <c r="C216" s="1">
        <v>99.091407758288184</v>
      </c>
      <c r="D216" s="1">
        <v>1.4153418332966221</v>
      </c>
      <c r="E216" s="1">
        <v>7437.7321956039159</v>
      </c>
    </row>
    <row r="217" spans="1:5" ht="19" customHeight="1" x14ac:dyDescent="0.3">
      <c r="A217">
        <v>2110</v>
      </c>
      <c r="B217" s="1">
        <v>1.43210770062533E-2</v>
      </c>
      <c r="C217" s="1">
        <v>99.164872136309455</v>
      </c>
      <c r="D217" s="1">
        <v>1.4143671275222229</v>
      </c>
      <c r="E217" s="1">
        <v>7460.3354629347104</v>
      </c>
    </row>
    <row r="218" spans="1:5" ht="19" customHeight="1" x14ac:dyDescent="0.3">
      <c r="A218">
        <v>2120</v>
      </c>
      <c r="B218" s="1">
        <v>1.44036725583849E-2</v>
      </c>
      <c r="C218" s="1">
        <v>99.2385256586727</v>
      </c>
      <c r="D218" s="1">
        <v>1.3994140163118709</v>
      </c>
      <c r="E218" s="1">
        <v>10822.81704586886</v>
      </c>
    </row>
    <row r="219" spans="1:5" ht="19" customHeight="1" x14ac:dyDescent="0.3">
      <c r="A219">
        <v>2130</v>
      </c>
      <c r="B219" s="1">
        <v>1.4503473295233099E-2</v>
      </c>
      <c r="C219" s="1">
        <v>99.340561646766204</v>
      </c>
      <c r="D219" s="1">
        <v>1.3982251526204781</v>
      </c>
      <c r="E219" s="1">
        <v>10858.99901292158</v>
      </c>
    </row>
    <row r="220" spans="1:5" ht="19" customHeight="1" x14ac:dyDescent="0.3">
      <c r="A220">
        <v>2140</v>
      </c>
      <c r="B220" s="1">
        <v>1.4603655243797999E-2</v>
      </c>
      <c r="C220" s="1">
        <v>99.442892376252075</v>
      </c>
      <c r="D220" s="1">
        <v>1.397039856861116</v>
      </c>
      <c r="E220" s="1">
        <v>10894.269820884219</v>
      </c>
    </row>
    <row r="221" spans="1:5" ht="19" customHeight="1" x14ac:dyDescent="0.3">
      <c r="A221">
        <v>2150</v>
      </c>
      <c r="B221" s="1">
        <v>1.47042092415333E-2</v>
      </c>
      <c r="C221" s="1">
        <v>99.545501620807343</v>
      </c>
      <c r="D221" s="1">
        <v>1.3958577795246041</v>
      </c>
      <c r="E221" s="1">
        <v>10928.65485911488</v>
      </c>
    </row>
    <row r="222" spans="1:5" ht="19" customHeight="1" x14ac:dyDescent="0.3">
      <c r="A222">
        <v>2160</v>
      </c>
      <c r="B222" s="1">
        <v>1.4805126361842001E-2</v>
      </c>
      <c r="C222" s="1">
        <v>99.648373600700722</v>
      </c>
      <c r="D222" s="1">
        <v>1.3946785901431411</v>
      </c>
      <c r="E222" s="1">
        <v>10962.17869219591</v>
      </c>
    </row>
    <row r="223" spans="1:5" ht="19" customHeight="1" x14ac:dyDescent="0.3">
      <c r="A223">
        <v>2170</v>
      </c>
      <c r="B223" s="1">
        <v>1.4906397901907901E-2</v>
      </c>
      <c r="C223" s="1">
        <v>99.75149296106008</v>
      </c>
      <c r="D223" s="1">
        <v>1.393501976336075</v>
      </c>
      <c r="E223" s="1">
        <v>10994.865048939049</v>
      </c>
    </row>
    <row r="224" spans="1:5" ht="19" customHeight="1" x14ac:dyDescent="0.3">
      <c r="A224">
        <v>2180</v>
      </c>
      <c r="B224" s="1">
        <v>1.50080153885326E-2</v>
      </c>
      <c r="C224" s="1">
        <v>99.854844780169742</v>
      </c>
      <c r="D224" s="1">
        <v>1.3923276428937641</v>
      </c>
      <c r="E224" s="1">
        <v>11026.736885941291</v>
      </c>
    </row>
    <row r="225" spans="1:5" ht="19" customHeight="1" x14ac:dyDescent="0.3">
      <c r="A225">
        <v>2190</v>
      </c>
      <c r="B225" s="1">
        <v>1.5109970565718899E-2</v>
      </c>
      <c r="C225" s="1">
        <v>99.958414547369756</v>
      </c>
      <c r="D225" s="1">
        <v>1.3911553108210151</v>
      </c>
      <c r="E225" s="1">
        <v>11057.816420618979</v>
      </c>
    </row>
    <row r="226" spans="1:5" ht="19" customHeight="1" x14ac:dyDescent="0.3">
      <c r="A226">
        <v>2200</v>
      </c>
      <c r="B226" s="1">
        <v>1.52122553867126E-2</v>
      </c>
      <c r="C226" s="1">
        <v>100.0621881484463</v>
      </c>
      <c r="D226" s="1">
        <v>1.389984716485712</v>
      </c>
      <c r="E226" s="1">
        <v>11088.12515990375</v>
      </c>
    </row>
    <row r="227" spans="1:5" ht="19" customHeight="1" x14ac:dyDescent="0.3">
      <c r="A227">
        <v>2210</v>
      </c>
      <c r="B227" s="1">
        <v>1.5314862008055499E-2</v>
      </c>
      <c r="C227" s="1">
        <v>100.16615185441709</v>
      </c>
      <c r="D227" s="1">
        <v>1.388815610832189</v>
      </c>
      <c r="E227" s="1">
        <v>11117.683928774921</v>
      </c>
    </row>
    <row r="228" spans="1:5" ht="19" customHeight="1" x14ac:dyDescent="0.3">
      <c r="A228">
        <v>2220</v>
      </c>
      <c r="B228" s="1">
        <v>1.54177827838443E-2</v>
      </c>
      <c r="C228" s="1">
        <v>100.2702923106969</v>
      </c>
      <c r="D228" s="1">
        <v>1.3876477586422979</v>
      </c>
      <c r="E228" s="1">
        <v>11146.51289731253</v>
      </c>
    </row>
    <row r="229" spans="1:5" ht="19" customHeight="1" x14ac:dyDescent="0.3">
      <c r="A229">
        <v>2230</v>
      </c>
      <c r="B229" s="1">
        <v>1.55210102601866E-2</v>
      </c>
      <c r="C229" s="1">
        <v>100.3745965266272</v>
      </c>
      <c r="D229" s="1">
        <v>1.3864809378406231</v>
      </c>
      <c r="E229" s="1">
        <v>11174.63160636782</v>
      </c>
    </row>
    <row r="230" spans="1:5" ht="19" customHeight="1" x14ac:dyDescent="0.3">
      <c r="A230">
        <v>2240</v>
      </c>
      <c r="B230" s="1">
        <v>1.56245371698447E-2</v>
      </c>
      <c r="C230" s="1">
        <v>100.4790518653528</v>
      </c>
      <c r="D230" s="1">
        <v>1.385314938840605</v>
      </c>
      <c r="E230" s="1">
        <v>11202.058991940519</v>
      </c>
    </row>
    <row r="231" spans="1:5" ht="19" customHeight="1" x14ac:dyDescent="0.3">
      <c r="A231">
        <v>2250</v>
      </c>
      <c r="B231" s="1">
        <v>1.5728356427059002E-2</v>
      </c>
      <c r="C231" s="1">
        <v>100.5836460340312</v>
      </c>
      <c r="D231" s="1">
        <v>1.384149563928629</v>
      </c>
      <c r="E231" s="1">
        <v>11228.81340834462</v>
      </c>
    </row>
    <row r="232" spans="1:5" ht="19" customHeight="1" x14ac:dyDescent="0.3">
      <c r="A232">
        <v>2260</v>
      </c>
      <c r="B232" s="1">
        <v>1.58324611225431E-2</v>
      </c>
      <c r="C232" s="1">
        <v>100.6883670743601</v>
      </c>
      <c r="D232" s="1">
        <v>1.382984626683359</v>
      </c>
      <c r="E232" s="1">
        <v>11254.91265023887</v>
      </c>
    </row>
    <row r="233" spans="1:5" ht="19" customHeight="1" x14ac:dyDescent="0.3">
      <c r="A233">
        <v>2270</v>
      </c>
      <c r="B233" s="1">
        <v>1.5936844518643099E-2</v>
      </c>
      <c r="C233" s="1">
        <v>100.79320335340999</v>
      </c>
      <c r="D233" s="1">
        <v>1.3818199514278651</v>
      </c>
      <c r="E233" s="1">
        <v>11280.373973591701</v>
      </c>
    </row>
    <row r="234" spans="1:5" ht="19" customHeight="1" x14ac:dyDescent="0.3">
      <c r="A234">
        <v>2280</v>
      </c>
      <c r="B234" s="1">
        <v>1.60415000446546E-2</v>
      </c>
      <c r="C234" s="1">
        <v>100.8981435547487</v>
      </c>
      <c r="D234" s="1">
        <v>1.3806553727122579</v>
      </c>
      <c r="E234" s="1">
        <v>11305.21411564588</v>
      </c>
    </row>
    <row r="235" spans="1:5" ht="19" customHeight="1" x14ac:dyDescent="0.3">
      <c r="A235">
        <v>2290</v>
      </c>
      <c r="B235" s="1">
        <v>1.6146421292290099E-2</v>
      </c>
      <c r="C235" s="1">
        <v>101.00317666984741</v>
      </c>
      <c r="D235" s="1">
        <v>1.379490734824766</v>
      </c>
      <c r="E235" s="1">
        <v>11329.44931394243</v>
      </c>
    </row>
    <row r="236" spans="1:5" ht="19" customHeight="1" x14ac:dyDescent="0.3">
      <c r="A236">
        <v>2300</v>
      </c>
      <c r="B236" s="1">
        <v>1.6251602011291201E-2</v>
      </c>
      <c r="C236" s="1">
        <v>101.10829198975421</v>
      </c>
      <c r="D236" s="1">
        <v>1.3783258913293259</v>
      </c>
      <c r="E236" s="1">
        <v>11353.09532445996</v>
      </c>
    </row>
    <row r="237" spans="1:5" ht="19" customHeight="1" x14ac:dyDescent="0.3">
      <c r="A237">
        <v>2310</v>
      </c>
      <c r="B237" s="1">
        <v>1.6357036105179499E-2</v>
      </c>
      <c r="C237" s="1">
        <v>101.2134790970279</v>
      </c>
      <c r="D237" s="1">
        <v>1.377160704627941</v>
      </c>
      <c r="E237" s="1">
        <v>11376.16743892092</v>
      </c>
    </row>
    <row r="238" spans="1:5" ht="19" customHeight="1" x14ac:dyDescent="0.3">
      <c r="A238">
        <v>2320</v>
      </c>
      <c r="B238" s="1">
        <v>1.64627176271404E-2</v>
      </c>
      <c r="C238" s="1">
        <v>101.3187278579187</v>
      </c>
      <c r="D238" s="1">
        <v>1.3759950455458649</v>
      </c>
      <c r="E238" s="1">
        <v>11398.680501438541</v>
      </c>
    </row>
    <row r="239" spans="1:5" ht="19" customHeight="1" x14ac:dyDescent="0.3">
      <c r="A239">
        <v>2330</v>
      </c>
      <c r="B239" s="1">
        <v>1.6568640775784901E-2</v>
      </c>
      <c r="C239" s="1">
        <v>101.4240284143718</v>
      </c>
      <c r="D239" s="1">
        <v>1.374885190062507</v>
      </c>
      <c r="E239" s="1">
        <v>11398.167942788439</v>
      </c>
    </row>
    <row r="240" spans="1:5" ht="19" customHeight="1" x14ac:dyDescent="0.3">
      <c r="A240">
        <v>2340</v>
      </c>
      <c r="B240" s="1">
        <v>1.6673957590405498E-2</v>
      </c>
      <c r="C240" s="1">
        <v>101.52796967900861</v>
      </c>
      <c r="D240" s="1">
        <v>1.3739769143688489</v>
      </c>
      <c r="E240" s="1">
        <v>11374.7758084537</v>
      </c>
    </row>
    <row r="241" spans="1:5" ht="19" customHeight="1" x14ac:dyDescent="0.3">
      <c r="A241">
        <v>2350</v>
      </c>
      <c r="B241" s="1">
        <v>1.6779875534164299E-2</v>
      </c>
      <c r="C241" s="1">
        <v>101.6325652635214</v>
      </c>
      <c r="D241" s="1">
        <v>1.373162838505144</v>
      </c>
      <c r="E241" s="1">
        <v>11380.0238486995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5DDE5"/>
    <pageSetUpPr fitToPage="1"/>
  </sheetPr>
  <dimension ref="A2:AE24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3" ht="19" customHeight="1" x14ac:dyDescent="0.35">
      <c r="A2" s="3" t="s">
        <v>17</v>
      </c>
    </row>
    <row r="3" spans="1:3" ht="19" customHeight="1" x14ac:dyDescent="0.3">
      <c r="A3" s="4" t="s">
        <v>1</v>
      </c>
    </row>
    <row r="5" spans="1:3" ht="34.049999999999997" customHeight="1" x14ac:dyDescent="0.3">
      <c r="A5" s="5" t="s">
        <v>142</v>
      </c>
      <c r="B5" s="5" t="s">
        <v>158</v>
      </c>
      <c r="C5" s="5" t="s">
        <v>159</v>
      </c>
    </row>
    <row r="6" spans="1:3" ht="19" customHeight="1" x14ac:dyDescent="0.3">
      <c r="A6">
        <v>0</v>
      </c>
      <c r="B6" s="1">
        <v>10</v>
      </c>
      <c r="C6" s="1">
        <v>810</v>
      </c>
    </row>
    <row r="7" spans="1:3" ht="19" customHeight="1" x14ac:dyDescent="0.3">
      <c r="A7">
        <v>10</v>
      </c>
      <c r="B7" s="1">
        <v>9.9949999999999992</v>
      </c>
      <c r="C7" s="1">
        <v>809.995</v>
      </c>
    </row>
    <row r="8" spans="1:3" ht="19" customHeight="1" x14ac:dyDescent="0.3">
      <c r="A8">
        <v>20</v>
      </c>
      <c r="B8" s="1">
        <v>9.99</v>
      </c>
      <c r="C8" s="1">
        <v>809.99</v>
      </c>
    </row>
    <row r="9" spans="1:3" ht="19" customHeight="1" x14ac:dyDescent="0.3">
      <c r="A9">
        <v>30</v>
      </c>
      <c r="B9" s="1">
        <v>9.9849999999999994</v>
      </c>
      <c r="C9" s="1">
        <v>809.98500000000001</v>
      </c>
    </row>
    <row r="10" spans="1:3" ht="19" customHeight="1" x14ac:dyDescent="0.3">
      <c r="A10">
        <v>40</v>
      </c>
      <c r="B10" s="1">
        <v>9.98</v>
      </c>
      <c r="C10" s="1">
        <v>809.98</v>
      </c>
    </row>
    <row r="11" spans="1:3" ht="19" customHeight="1" x14ac:dyDescent="0.3">
      <c r="A11">
        <v>50</v>
      </c>
      <c r="B11" s="1">
        <v>9.9749999999999996</v>
      </c>
      <c r="C11" s="1">
        <v>809.97500000000002</v>
      </c>
    </row>
    <row r="12" spans="1:3" ht="19" customHeight="1" x14ac:dyDescent="0.3">
      <c r="A12">
        <v>60</v>
      </c>
      <c r="B12" s="1">
        <v>9.9700000000000006</v>
      </c>
      <c r="C12" s="1">
        <v>809.97</v>
      </c>
    </row>
    <row r="13" spans="1:3" ht="19" customHeight="1" x14ac:dyDescent="0.3">
      <c r="A13">
        <v>70</v>
      </c>
      <c r="B13" s="1">
        <v>9.9649999999999999</v>
      </c>
      <c r="C13" s="1">
        <v>809.96500000000003</v>
      </c>
    </row>
    <row r="14" spans="1:3" ht="19" customHeight="1" x14ac:dyDescent="0.3">
      <c r="A14">
        <v>80</v>
      </c>
      <c r="B14" s="1">
        <v>9.9600000000000009</v>
      </c>
      <c r="C14" s="1">
        <v>809.96</v>
      </c>
    </row>
    <row r="15" spans="1:3" ht="19" customHeight="1" x14ac:dyDescent="0.3">
      <c r="A15">
        <v>90</v>
      </c>
      <c r="B15" s="1">
        <v>9.9550000000000001</v>
      </c>
      <c r="C15" s="1">
        <v>809.95500000000004</v>
      </c>
    </row>
    <row r="16" spans="1:3" ht="19" customHeight="1" x14ac:dyDescent="0.3">
      <c r="A16">
        <v>100</v>
      </c>
      <c r="B16" s="1">
        <v>9.9499999999999993</v>
      </c>
      <c r="C16" s="1">
        <v>809.95</v>
      </c>
    </row>
    <row r="17" spans="1:3" ht="19" customHeight="1" x14ac:dyDescent="0.3">
      <c r="A17">
        <v>110</v>
      </c>
      <c r="B17" s="1">
        <v>9.9450000000000003</v>
      </c>
      <c r="C17" s="1">
        <v>809.94500000000005</v>
      </c>
    </row>
    <row r="18" spans="1:3" ht="19" customHeight="1" x14ac:dyDescent="0.3">
      <c r="A18">
        <v>120</v>
      </c>
      <c r="B18" s="1">
        <v>9.94</v>
      </c>
      <c r="C18" s="1">
        <v>809.94</v>
      </c>
    </row>
    <row r="19" spans="1:3" ht="19" customHeight="1" x14ac:dyDescent="0.3">
      <c r="A19">
        <v>130</v>
      </c>
      <c r="B19" s="1">
        <v>9.9350000000000005</v>
      </c>
      <c r="C19" s="1">
        <v>809.93499999999995</v>
      </c>
    </row>
    <row r="20" spans="1:3" ht="19" customHeight="1" x14ac:dyDescent="0.3">
      <c r="A20">
        <v>140</v>
      </c>
      <c r="B20" s="1">
        <v>9.93</v>
      </c>
      <c r="C20" s="1">
        <v>809.93</v>
      </c>
    </row>
    <row r="21" spans="1:3" ht="19" customHeight="1" x14ac:dyDescent="0.3">
      <c r="A21">
        <v>150</v>
      </c>
      <c r="B21" s="1">
        <v>9.9250000000000007</v>
      </c>
      <c r="C21" s="1">
        <v>809.92499999999995</v>
      </c>
    </row>
    <row r="22" spans="1:3" ht="19" customHeight="1" x14ac:dyDescent="0.3">
      <c r="A22">
        <v>160</v>
      </c>
      <c r="B22" s="1">
        <v>9.92</v>
      </c>
      <c r="C22" s="1">
        <v>809.92</v>
      </c>
    </row>
    <row r="23" spans="1:3" ht="19" customHeight="1" x14ac:dyDescent="0.3">
      <c r="A23">
        <v>170</v>
      </c>
      <c r="B23" s="1">
        <v>9.9149999999999991</v>
      </c>
      <c r="C23" s="1">
        <v>809.91499999999996</v>
      </c>
    </row>
    <row r="24" spans="1:3" ht="19" customHeight="1" x14ac:dyDescent="0.3">
      <c r="A24">
        <v>180</v>
      </c>
      <c r="B24" s="1">
        <v>9.91</v>
      </c>
      <c r="C24" s="1">
        <v>809.91</v>
      </c>
    </row>
    <row r="25" spans="1:3" ht="19" customHeight="1" x14ac:dyDescent="0.3">
      <c r="A25">
        <v>190</v>
      </c>
      <c r="B25" s="1">
        <v>9.9049999999999994</v>
      </c>
      <c r="C25" s="1">
        <v>809.90499999999997</v>
      </c>
    </row>
    <row r="26" spans="1:3" ht="19" customHeight="1" x14ac:dyDescent="0.3">
      <c r="A26">
        <v>200</v>
      </c>
      <c r="B26" s="1">
        <v>9.9</v>
      </c>
      <c r="C26" s="1">
        <v>809.9</v>
      </c>
    </row>
    <row r="27" spans="1:3" ht="19" customHeight="1" x14ac:dyDescent="0.3">
      <c r="A27">
        <v>210</v>
      </c>
      <c r="B27" s="1">
        <v>9.8949999999999996</v>
      </c>
      <c r="C27" s="1">
        <v>809.89499999999998</v>
      </c>
    </row>
    <row r="28" spans="1:3" ht="19" customHeight="1" x14ac:dyDescent="0.3">
      <c r="A28">
        <v>220</v>
      </c>
      <c r="B28" s="1">
        <v>9.89</v>
      </c>
      <c r="C28" s="1">
        <v>809.89</v>
      </c>
    </row>
    <row r="29" spans="1:3" ht="19" customHeight="1" x14ac:dyDescent="0.3">
      <c r="A29">
        <v>230</v>
      </c>
      <c r="B29" s="1">
        <v>9.8849999999999998</v>
      </c>
      <c r="C29" s="1">
        <v>809.88499999999999</v>
      </c>
    </row>
    <row r="30" spans="1:3" ht="19" customHeight="1" x14ac:dyDescent="0.3">
      <c r="A30">
        <v>240</v>
      </c>
      <c r="B30" s="1">
        <v>9.8800000000000008</v>
      </c>
      <c r="C30" s="1">
        <v>809.88</v>
      </c>
    </row>
    <row r="31" spans="1:3" ht="19" customHeight="1" x14ac:dyDescent="0.3">
      <c r="A31">
        <v>250</v>
      </c>
      <c r="B31" s="1">
        <v>9.875</v>
      </c>
      <c r="C31" s="1">
        <v>809.875</v>
      </c>
    </row>
    <row r="32" spans="1:3" ht="19" customHeight="1" x14ac:dyDescent="0.3">
      <c r="A32">
        <v>260</v>
      </c>
      <c r="B32" s="1">
        <v>9.8699999999999992</v>
      </c>
      <c r="C32" s="1">
        <v>809.87</v>
      </c>
    </row>
    <row r="33" spans="1:3" ht="19" customHeight="1" x14ac:dyDescent="0.3">
      <c r="A33">
        <v>270</v>
      </c>
      <c r="B33" s="1">
        <v>9.8650000000000002</v>
      </c>
      <c r="C33" s="1">
        <v>809.86500000000001</v>
      </c>
    </row>
    <row r="34" spans="1:3" ht="19" customHeight="1" x14ac:dyDescent="0.3">
      <c r="A34">
        <v>280</v>
      </c>
      <c r="B34" s="1">
        <v>9.86</v>
      </c>
      <c r="C34" s="1">
        <v>809.86</v>
      </c>
    </row>
    <row r="35" spans="1:3" ht="19" customHeight="1" x14ac:dyDescent="0.3">
      <c r="A35">
        <v>290</v>
      </c>
      <c r="B35" s="1">
        <v>9.8550000000000004</v>
      </c>
      <c r="C35" s="1">
        <v>809.85500000000002</v>
      </c>
    </row>
    <row r="36" spans="1:3" ht="19" customHeight="1" x14ac:dyDescent="0.3">
      <c r="A36">
        <v>300</v>
      </c>
      <c r="B36" s="1">
        <v>9.85</v>
      </c>
      <c r="C36" s="1">
        <v>809.85</v>
      </c>
    </row>
    <row r="37" spans="1:3" ht="19" customHeight="1" x14ac:dyDescent="0.3">
      <c r="A37">
        <v>310</v>
      </c>
      <c r="B37" s="1">
        <v>9.8450000000000006</v>
      </c>
      <c r="C37" s="1">
        <v>809.84500000000003</v>
      </c>
    </row>
    <row r="38" spans="1:3" ht="19" customHeight="1" x14ac:dyDescent="0.3">
      <c r="A38">
        <v>320</v>
      </c>
      <c r="B38" s="1">
        <v>9.84</v>
      </c>
      <c r="C38" s="1">
        <v>809.84</v>
      </c>
    </row>
    <row r="39" spans="1:3" ht="19" customHeight="1" x14ac:dyDescent="0.3">
      <c r="A39">
        <v>330</v>
      </c>
      <c r="B39" s="1">
        <v>9.8350000000000009</v>
      </c>
      <c r="C39" s="1">
        <v>809.83500000000004</v>
      </c>
    </row>
    <row r="40" spans="1:3" ht="19" customHeight="1" x14ac:dyDescent="0.3">
      <c r="A40">
        <v>340</v>
      </c>
      <c r="B40" s="1">
        <v>9.83</v>
      </c>
      <c r="C40" s="1">
        <v>809.83</v>
      </c>
    </row>
    <row r="41" spans="1:3" ht="19" customHeight="1" x14ac:dyDescent="0.3">
      <c r="A41">
        <v>350</v>
      </c>
      <c r="B41" s="1">
        <v>9.8249999999999993</v>
      </c>
      <c r="C41" s="1">
        <v>809.82500000000005</v>
      </c>
    </row>
    <row r="42" spans="1:3" ht="19" customHeight="1" x14ac:dyDescent="0.3">
      <c r="A42">
        <v>360</v>
      </c>
      <c r="B42" s="1">
        <v>9.82</v>
      </c>
      <c r="C42" s="1">
        <v>809.82</v>
      </c>
    </row>
    <row r="43" spans="1:3" ht="19" customHeight="1" x14ac:dyDescent="0.3">
      <c r="A43">
        <v>370</v>
      </c>
      <c r="B43" s="1">
        <v>9.8149999999999995</v>
      </c>
      <c r="C43" s="1">
        <v>809.81500000000005</v>
      </c>
    </row>
    <row r="44" spans="1:3" ht="19" customHeight="1" x14ac:dyDescent="0.3">
      <c r="A44">
        <v>380</v>
      </c>
      <c r="B44" s="1">
        <v>9.81</v>
      </c>
      <c r="C44" s="1">
        <v>809.81</v>
      </c>
    </row>
    <row r="45" spans="1:3" ht="19" customHeight="1" x14ac:dyDescent="0.3">
      <c r="A45">
        <v>390</v>
      </c>
      <c r="B45" s="1">
        <v>9.8049999999999997</v>
      </c>
      <c r="C45" s="1">
        <v>809.80499999999995</v>
      </c>
    </row>
    <row r="46" spans="1:3" ht="19" customHeight="1" x14ac:dyDescent="0.3">
      <c r="A46">
        <v>400</v>
      </c>
      <c r="B46" s="1">
        <v>9.8000000000000007</v>
      </c>
      <c r="C46" s="1">
        <v>809.8</v>
      </c>
    </row>
    <row r="47" spans="1:3" ht="19" customHeight="1" x14ac:dyDescent="0.3">
      <c r="A47">
        <v>410</v>
      </c>
      <c r="B47" s="1">
        <v>9.7949999999999999</v>
      </c>
      <c r="C47" s="1">
        <v>809.79499999999996</v>
      </c>
    </row>
    <row r="48" spans="1:3" ht="19" customHeight="1" x14ac:dyDescent="0.3">
      <c r="A48">
        <v>420</v>
      </c>
      <c r="B48" s="1">
        <v>9.7899999999999991</v>
      </c>
      <c r="C48" s="1">
        <v>809.79</v>
      </c>
    </row>
    <row r="49" spans="1:3" ht="19" customHeight="1" x14ac:dyDescent="0.3">
      <c r="A49">
        <v>430</v>
      </c>
      <c r="B49" s="1">
        <v>9.7850000000000001</v>
      </c>
      <c r="C49" s="1">
        <v>809.78499999999997</v>
      </c>
    </row>
    <row r="50" spans="1:3" ht="19" customHeight="1" x14ac:dyDescent="0.3">
      <c r="A50">
        <v>440</v>
      </c>
      <c r="B50" s="1">
        <v>9.7799999999999994</v>
      </c>
      <c r="C50" s="1">
        <v>809.78</v>
      </c>
    </row>
    <row r="51" spans="1:3" ht="19" customHeight="1" x14ac:dyDescent="0.3">
      <c r="A51">
        <v>450</v>
      </c>
      <c r="B51" s="1">
        <v>9.7750000000000004</v>
      </c>
      <c r="C51" s="1">
        <v>809.77499999999998</v>
      </c>
    </row>
    <row r="52" spans="1:3" ht="19" customHeight="1" x14ac:dyDescent="0.3">
      <c r="A52">
        <v>460</v>
      </c>
      <c r="B52" s="1">
        <v>9.77</v>
      </c>
      <c r="C52" s="1">
        <v>809.77</v>
      </c>
    </row>
    <row r="53" spans="1:3" ht="19" customHeight="1" x14ac:dyDescent="0.3">
      <c r="A53">
        <v>470</v>
      </c>
      <c r="B53" s="1">
        <v>9.7650000000000006</v>
      </c>
      <c r="C53" s="1">
        <v>809.76499999999999</v>
      </c>
    </row>
    <row r="54" spans="1:3" ht="19" customHeight="1" x14ac:dyDescent="0.3">
      <c r="A54">
        <v>480</v>
      </c>
      <c r="B54" s="1">
        <v>9.76</v>
      </c>
      <c r="C54" s="1">
        <v>809.76</v>
      </c>
    </row>
    <row r="55" spans="1:3" ht="19" customHeight="1" x14ac:dyDescent="0.3">
      <c r="A55">
        <v>490</v>
      </c>
      <c r="B55" s="1">
        <v>9.7550000000000008</v>
      </c>
      <c r="C55" s="1">
        <v>809.755</v>
      </c>
    </row>
    <row r="56" spans="1:3" ht="19" customHeight="1" x14ac:dyDescent="0.3">
      <c r="A56">
        <v>500</v>
      </c>
      <c r="B56" s="1">
        <v>9.75</v>
      </c>
      <c r="C56" s="1">
        <v>809.75</v>
      </c>
    </row>
    <row r="57" spans="1:3" ht="19" customHeight="1" x14ac:dyDescent="0.3">
      <c r="A57">
        <v>510</v>
      </c>
      <c r="B57" s="1">
        <v>9.7449999999999992</v>
      </c>
      <c r="C57" s="1">
        <v>809.745</v>
      </c>
    </row>
    <row r="58" spans="1:3" ht="19" customHeight="1" x14ac:dyDescent="0.3">
      <c r="A58">
        <v>520</v>
      </c>
      <c r="B58" s="1">
        <v>9.74</v>
      </c>
      <c r="C58" s="1">
        <v>809.74</v>
      </c>
    </row>
    <row r="59" spans="1:3" ht="19" customHeight="1" x14ac:dyDescent="0.3">
      <c r="A59">
        <v>530</v>
      </c>
      <c r="B59" s="1">
        <v>9.7349999999999994</v>
      </c>
      <c r="C59" s="1">
        <v>809.73500000000001</v>
      </c>
    </row>
    <row r="60" spans="1:3" ht="19" customHeight="1" x14ac:dyDescent="0.3">
      <c r="A60">
        <v>540</v>
      </c>
      <c r="B60" s="1">
        <v>9.73</v>
      </c>
      <c r="C60" s="1">
        <v>809.73</v>
      </c>
    </row>
    <row r="61" spans="1:3" ht="19" customHeight="1" x14ac:dyDescent="0.3">
      <c r="A61">
        <v>550</v>
      </c>
      <c r="B61" s="1">
        <v>9.7249999999999996</v>
      </c>
      <c r="C61" s="1">
        <v>809.72500000000002</v>
      </c>
    </row>
    <row r="62" spans="1:3" ht="19" customHeight="1" x14ac:dyDescent="0.3">
      <c r="A62">
        <v>560</v>
      </c>
      <c r="B62" s="1">
        <v>9.7200000000000006</v>
      </c>
      <c r="C62" s="1">
        <v>809.72</v>
      </c>
    </row>
    <row r="63" spans="1:3" ht="19" customHeight="1" x14ac:dyDescent="0.3">
      <c r="A63">
        <v>570</v>
      </c>
      <c r="B63" s="1">
        <v>9.7149999999999999</v>
      </c>
      <c r="C63" s="1">
        <v>809.71500000000003</v>
      </c>
    </row>
    <row r="64" spans="1:3" ht="19" customHeight="1" x14ac:dyDescent="0.3">
      <c r="A64">
        <v>580</v>
      </c>
      <c r="B64" s="1">
        <v>9.7100000000000009</v>
      </c>
      <c r="C64" s="1">
        <v>809.71</v>
      </c>
    </row>
    <row r="65" spans="1:3" ht="19" customHeight="1" x14ac:dyDescent="0.3">
      <c r="A65">
        <v>590</v>
      </c>
      <c r="B65" s="1">
        <v>9.7050000000000001</v>
      </c>
      <c r="C65" s="1">
        <v>809.70500000000004</v>
      </c>
    </row>
    <row r="66" spans="1:3" ht="19" customHeight="1" x14ac:dyDescent="0.3">
      <c r="A66">
        <v>600</v>
      </c>
      <c r="B66" s="1">
        <v>9.6999999999999993</v>
      </c>
      <c r="C66" s="1">
        <v>809.7</v>
      </c>
    </row>
    <row r="67" spans="1:3" ht="19" customHeight="1" x14ac:dyDescent="0.3">
      <c r="A67">
        <v>610</v>
      </c>
      <c r="B67" s="1">
        <v>9.6950000000000003</v>
      </c>
      <c r="C67" s="1">
        <v>809.69500000000005</v>
      </c>
    </row>
    <row r="68" spans="1:3" ht="19" customHeight="1" x14ac:dyDescent="0.3">
      <c r="A68">
        <v>620</v>
      </c>
      <c r="B68" s="1">
        <v>9.69</v>
      </c>
      <c r="C68" s="1">
        <v>809.69</v>
      </c>
    </row>
    <row r="69" spans="1:3" ht="19" customHeight="1" x14ac:dyDescent="0.3">
      <c r="A69">
        <v>630</v>
      </c>
      <c r="B69" s="1">
        <v>9.6850000000000005</v>
      </c>
      <c r="C69" s="1">
        <v>809.68499999999995</v>
      </c>
    </row>
    <row r="70" spans="1:3" ht="19" customHeight="1" x14ac:dyDescent="0.3">
      <c r="A70">
        <v>640</v>
      </c>
      <c r="B70" s="1">
        <v>9.68</v>
      </c>
      <c r="C70" s="1">
        <v>809.68</v>
      </c>
    </row>
    <row r="71" spans="1:3" ht="19" customHeight="1" x14ac:dyDescent="0.3">
      <c r="A71">
        <v>650</v>
      </c>
      <c r="B71" s="1">
        <v>9.6750000000000007</v>
      </c>
      <c r="C71" s="1">
        <v>809.67499999999995</v>
      </c>
    </row>
    <row r="72" spans="1:3" ht="19" customHeight="1" x14ac:dyDescent="0.3">
      <c r="A72">
        <v>660</v>
      </c>
      <c r="B72" s="1">
        <v>9.67</v>
      </c>
      <c r="C72" s="1">
        <v>809.67</v>
      </c>
    </row>
    <row r="73" spans="1:3" ht="19" customHeight="1" x14ac:dyDescent="0.3">
      <c r="A73">
        <v>670</v>
      </c>
      <c r="B73" s="1">
        <v>9.6649999999999991</v>
      </c>
      <c r="C73" s="1">
        <v>809.66499999999996</v>
      </c>
    </row>
    <row r="74" spans="1:3" ht="19" customHeight="1" x14ac:dyDescent="0.3">
      <c r="A74">
        <v>680</v>
      </c>
      <c r="B74" s="1">
        <v>9.66</v>
      </c>
      <c r="C74" s="1">
        <v>809.66</v>
      </c>
    </row>
    <row r="75" spans="1:3" ht="19" customHeight="1" x14ac:dyDescent="0.3">
      <c r="A75">
        <v>690</v>
      </c>
      <c r="B75" s="1">
        <v>9.6549999999999994</v>
      </c>
      <c r="C75" s="1">
        <v>809.65499999999997</v>
      </c>
    </row>
    <row r="76" spans="1:3" ht="19" customHeight="1" x14ac:dyDescent="0.3">
      <c r="A76">
        <v>700</v>
      </c>
      <c r="B76" s="1">
        <v>9.65</v>
      </c>
      <c r="C76" s="1">
        <v>809.65</v>
      </c>
    </row>
    <row r="77" spans="1:3" ht="19" customHeight="1" x14ac:dyDescent="0.3">
      <c r="A77">
        <v>710</v>
      </c>
      <c r="B77" s="1">
        <v>9.6449999999999996</v>
      </c>
      <c r="C77" s="1">
        <v>809.64499999999998</v>
      </c>
    </row>
    <row r="78" spans="1:3" ht="19" customHeight="1" x14ac:dyDescent="0.3">
      <c r="A78">
        <v>720</v>
      </c>
      <c r="B78" s="1">
        <v>9.64</v>
      </c>
      <c r="C78" s="1">
        <v>809.64</v>
      </c>
    </row>
    <row r="79" spans="1:3" ht="19" customHeight="1" x14ac:dyDescent="0.3">
      <c r="A79">
        <v>730</v>
      </c>
      <c r="B79" s="1">
        <v>9.6349999999999998</v>
      </c>
      <c r="C79" s="1">
        <v>809.63499999999999</v>
      </c>
    </row>
    <row r="80" spans="1:3" ht="19" customHeight="1" x14ac:dyDescent="0.3">
      <c r="A80">
        <v>740</v>
      </c>
      <c r="B80" s="1">
        <v>9.6300000000000008</v>
      </c>
      <c r="C80" s="1">
        <v>809.63</v>
      </c>
    </row>
    <row r="81" spans="1:3" ht="19" customHeight="1" x14ac:dyDescent="0.3">
      <c r="A81">
        <v>750</v>
      </c>
      <c r="B81" s="1">
        <v>9.625</v>
      </c>
      <c r="C81" s="1">
        <v>809.625</v>
      </c>
    </row>
    <row r="82" spans="1:3" ht="19" customHeight="1" x14ac:dyDescent="0.3">
      <c r="A82">
        <v>760</v>
      </c>
      <c r="B82" s="1">
        <v>9.6199999999999992</v>
      </c>
      <c r="C82" s="1">
        <v>809.62</v>
      </c>
    </row>
    <row r="83" spans="1:3" ht="19" customHeight="1" x14ac:dyDescent="0.3">
      <c r="A83">
        <v>770</v>
      </c>
      <c r="B83" s="1">
        <v>9.6150000000000002</v>
      </c>
      <c r="C83" s="1">
        <v>809.61500000000001</v>
      </c>
    </row>
    <row r="84" spans="1:3" ht="19" customHeight="1" x14ac:dyDescent="0.3">
      <c r="A84">
        <v>780</v>
      </c>
      <c r="B84" s="1">
        <v>9.61</v>
      </c>
      <c r="C84" s="1">
        <v>809.61</v>
      </c>
    </row>
    <row r="85" spans="1:3" ht="19" customHeight="1" x14ac:dyDescent="0.3">
      <c r="A85">
        <v>790</v>
      </c>
      <c r="B85" s="1">
        <v>9.6050000000000004</v>
      </c>
      <c r="C85" s="1">
        <v>809.60500000000002</v>
      </c>
    </row>
    <row r="86" spans="1:3" ht="19" customHeight="1" x14ac:dyDescent="0.3">
      <c r="A86">
        <v>800</v>
      </c>
      <c r="B86" s="1">
        <v>9.6</v>
      </c>
      <c r="C86" s="1">
        <v>809.6</v>
      </c>
    </row>
    <row r="87" spans="1:3" ht="19" customHeight="1" x14ac:dyDescent="0.3">
      <c r="A87">
        <v>810</v>
      </c>
      <c r="B87" s="1">
        <v>9.5950000000000006</v>
      </c>
      <c r="C87" s="1">
        <v>809.59500000000003</v>
      </c>
    </row>
    <row r="88" spans="1:3" ht="19" customHeight="1" x14ac:dyDescent="0.3">
      <c r="A88">
        <v>820</v>
      </c>
      <c r="B88" s="1">
        <v>9.59</v>
      </c>
      <c r="C88" s="1">
        <v>809.59</v>
      </c>
    </row>
    <row r="89" spans="1:3" ht="19" customHeight="1" x14ac:dyDescent="0.3">
      <c r="A89">
        <v>830</v>
      </c>
      <c r="B89" s="1">
        <v>9.5850000000000009</v>
      </c>
      <c r="C89" s="1">
        <v>809.58500000000004</v>
      </c>
    </row>
    <row r="90" spans="1:3" ht="19" customHeight="1" x14ac:dyDescent="0.3">
      <c r="A90">
        <v>840</v>
      </c>
      <c r="B90" s="1">
        <v>9.58</v>
      </c>
      <c r="C90" s="1">
        <v>809.58</v>
      </c>
    </row>
    <row r="91" spans="1:3" ht="19" customHeight="1" x14ac:dyDescent="0.3">
      <c r="A91">
        <v>850</v>
      </c>
      <c r="B91" s="1">
        <v>9.5749999999999993</v>
      </c>
      <c r="C91" s="1">
        <v>809.57500000000005</v>
      </c>
    </row>
    <row r="92" spans="1:3" ht="19" customHeight="1" x14ac:dyDescent="0.3">
      <c r="A92">
        <v>860</v>
      </c>
      <c r="B92" s="1">
        <v>9.57</v>
      </c>
      <c r="C92" s="1">
        <v>809.57</v>
      </c>
    </row>
    <row r="93" spans="1:3" ht="19" customHeight="1" x14ac:dyDescent="0.3">
      <c r="A93">
        <v>870</v>
      </c>
      <c r="B93" s="1">
        <v>9.5649999999999995</v>
      </c>
      <c r="C93" s="1">
        <v>809.56500000000005</v>
      </c>
    </row>
    <row r="94" spans="1:3" ht="19" customHeight="1" x14ac:dyDescent="0.3">
      <c r="A94">
        <v>880</v>
      </c>
      <c r="B94" s="1">
        <v>9.56</v>
      </c>
      <c r="C94" s="1">
        <v>809.56</v>
      </c>
    </row>
    <row r="95" spans="1:3" ht="19" customHeight="1" x14ac:dyDescent="0.3">
      <c r="A95">
        <v>890</v>
      </c>
      <c r="B95" s="1">
        <v>9.5549999999999997</v>
      </c>
      <c r="C95" s="1">
        <v>809.55499999999995</v>
      </c>
    </row>
    <row r="96" spans="1:3" ht="19" customHeight="1" x14ac:dyDescent="0.3">
      <c r="A96">
        <v>900</v>
      </c>
      <c r="B96" s="1">
        <v>9.5500000000000007</v>
      </c>
      <c r="C96" s="1">
        <v>809.55</v>
      </c>
    </row>
    <row r="97" spans="1:3" ht="19" customHeight="1" x14ac:dyDescent="0.3">
      <c r="A97">
        <v>910</v>
      </c>
      <c r="B97" s="1">
        <v>9.5449999999999999</v>
      </c>
      <c r="C97" s="1">
        <v>809.54499999999996</v>
      </c>
    </row>
    <row r="98" spans="1:3" ht="19" customHeight="1" x14ac:dyDescent="0.3">
      <c r="A98">
        <v>920</v>
      </c>
      <c r="B98" s="1">
        <v>9.5399999999999991</v>
      </c>
      <c r="C98" s="1">
        <v>809.54</v>
      </c>
    </row>
    <row r="99" spans="1:3" ht="19" customHeight="1" x14ac:dyDescent="0.3">
      <c r="A99">
        <v>930</v>
      </c>
      <c r="B99" s="1">
        <v>9.5350000000000001</v>
      </c>
      <c r="C99" s="1">
        <v>809.53499999999997</v>
      </c>
    </row>
    <row r="100" spans="1:3" ht="19" customHeight="1" x14ac:dyDescent="0.3">
      <c r="A100">
        <v>940</v>
      </c>
      <c r="B100" s="1">
        <v>9.5299999999999994</v>
      </c>
      <c r="C100" s="1">
        <v>809.53</v>
      </c>
    </row>
    <row r="101" spans="1:3" ht="19" customHeight="1" x14ac:dyDescent="0.3">
      <c r="A101">
        <v>950</v>
      </c>
      <c r="B101" s="1">
        <v>9.5250000000000004</v>
      </c>
      <c r="C101" s="1">
        <v>809.52499999999998</v>
      </c>
    </row>
    <row r="102" spans="1:3" ht="19" customHeight="1" x14ac:dyDescent="0.3">
      <c r="A102">
        <v>960</v>
      </c>
      <c r="B102" s="1">
        <v>9.52</v>
      </c>
      <c r="C102" s="1">
        <v>809.52</v>
      </c>
    </row>
    <row r="103" spans="1:3" ht="19" customHeight="1" x14ac:dyDescent="0.3">
      <c r="A103">
        <v>970</v>
      </c>
      <c r="B103" s="1">
        <v>9.5150000000000006</v>
      </c>
      <c r="C103" s="1">
        <v>809.51499999999999</v>
      </c>
    </row>
    <row r="104" spans="1:3" ht="19" customHeight="1" x14ac:dyDescent="0.3">
      <c r="A104">
        <v>980</v>
      </c>
      <c r="B104" s="1">
        <v>9.51</v>
      </c>
      <c r="C104" s="1">
        <v>809.51</v>
      </c>
    </row>
    <row r="105" spans="1:3" ht="19" customHeight="1" x14ac:dyDescent="0.3">
      <c r="A105">
        <v>990</v>
      </c>
      <c r="B105" s="1">
        <v>9.5050000000000008</v>
      </c>
      <c r="C105" s="1">
        <v>809.505</v>
      </c>
    </row>
    <row r="106" spans="1:3" ht="19" customHeight="1" x14ac:dyDescent="0.3">
      <c r="A106">
        <v>1000</v>
      </c>
      <c r="B106" s="1">
        <v>9.5</v>
      </c>
      <c r="C106" s="1">
        <v>809.5</v>
      </c>
    </row>
    <row r="107" spans="1:3" ht="19" customHeight="1" x14ac:dyDescent="0.3">
      <c r="A107">
        <v>1010</v>
      </c>
      <c r="B107" s="1">
        <v>9.4949999999999992</v>
      </c>
      <c r="C107" s="1">
        <v>809.495</v>
      </c>
    </row>
    <row r="108" spans="1:3" ht="19" customHeight="1" x14ac:dyDescent="0.3">
      <c r="A108">
        <v>1020</v>
      </c>
      <c r="B108" s="1">
        <v>9.49</v>
      </c>
      <c r="C108" s="1">
        <v>809.49</v>
      </c>
    </row>
    <row r="109" spans="1:3" ht="19" customHeight="1" x14ac:dyDescent="0.3">
      <c r="A109">
        <v>1030</v>
      </c>
      <c r="B109" s="1">
        <v>9.4849999999999994</v>
      </c>
      <c r="C109" s="1">
        <v>809.48500000000001</v>
      </c>
    </row>
    <row r="110" spans="1:3" ht="19" customHeight="1" x14ac:dyDescent="0.3">
      <c r="A110">
        <v>1040</v>
      </c>
      <c r="B110" s="1">
        <v>9.48</v>
      </c>
      <c r="C110" s="1">
        <v>809.48</v>
      </c>
    </row>
    <row r="111" spans="1:3" ht="19" customHeight="1" x14ac:dyDescent="0.3">
      <c r="A111">
        <v>1050</v>
      </c>
      <c r="B111" s="1">
        <v>9.4749999999999996</v>
      </c>
      <c r="C111" s="1">
        <v>809.47500000000002</v>
      </c>
    </row>
    <row r="112" spans="1:3" ht="19" customHeight="1" x14ac:dyDescent="0.3">
      <c r="A112">
        <v>1060</v>
      </c>
      <c r="B112" s="1">
        <v>9.4700000000000006</v>
      </c>
      <c r="C112" s="1">
        <v>809.47</v>
      </c>
    </row>
    <row r="113" spans="1:3" ht="19" customHeight="1" x14ac:dyDescent="0.3">
      <c r="A113">
        <v>1070</v>
      </c>
      <c r="B113" s="1">
        <v>9.4649999999999999</v>
      </c>
      <c r="C113" s="1">
        <v>809.46500000000003</v>
      </c>
    </row>
    <row r="114" spans="1:3" ht="19" customHeight="1" x14ac:dyDescent="0.3">
      <c r="A114">
        <v>1080</v>
      </c>
      <c r="B114" s="1">
        <v>9.4600000000000009</v>
      </c>
      <c r="C114" s="1">
        <v>809.46</v>
      </c>
    </row>
    <row r="115" spans="1:3" ht="19" customHeight="1" x14ac:dyDescent="0.3">
      <c r="A115">
        <v>1090</v>
      </c>
      <c r="B115" s="1">
        <v>9.4550000000000001</v>
      </c>
      <c r="C115" s="1">
        <v>809.45500000000004</v>
      </c>
    </row>
    <row r="116" spans="1:3" ht="19" customHeight="1" x14ac:dyDescent="0.3">
      <c r="A116">
        <v>1100</v>
      </c>
      <c r="B116" s="1">
        <v>9.4499999999999993</v>
      </c>
      <c r="C116" s="1">
        <v>809.45</v>
      </c>
    </row>
    <row r="117" spans="1:3" ht="19" customHeight="1" x14ac:dyDescent="0.3">
      <c r="A117">
        <v>1110</v>
      </c>
      <c r="B117" s="1">
        <v>9.4450000000000003</v>
      </c>
      <c r="C117" s="1">
        <v>809.44500000000005</v>
      </c>
    </row>
    <row r="118" spans="1:3" ht="19" customHeight="1" x14ac:dyDescent="0.3">
      <c r="A118">
        <v>1120</v>
      </c>
      <c r="B118" s="1">
        <v>9.44</v>
      </c>
      <c r="C118" s="1">
        <v>809.44</v>
      </c>
    </row>
    <row r="119" spans="1:3" ht="19" customHeight="1" x14ac:dyDescent="0.3">
      <c r="A119">
        <v>1130</v>
      </c>
      <c r="B119" s="1">
        <v>9.4350000000000005</v>
      </c>
      <c r="C119" s="1">
        <v>809.43499999999995</v>
      </c>
    </row>
    <row r="120" spans="1:3" ht="19" customHeight="1" x14ac:dyDescent="0.3">
      <c r="A120">
        <v>1140</v>
      </c>
      <c r="B120" s="1">
        <v>9.43</v>
      </c>
      <c r="C120" s="1">
        <v>809.43</v>
      </c>
    </row>
    <row r="121" spans="1:3" ht="19" customHeight="1" x14ac:dyDescent="0.3">
      <c r="A121">
        <v>1150</v>
      </c>
      <c r="B121" s="1">
        <v>9.4250000000000007</v>
      </c>
      <c r="C121" s="1">
        <v>809.42499999999995</v>
      </c>
    </row>
    <row r="122" spans="1:3" ht="19" customHeight="1" x14ac:dyDescent="0.3">
      <c r="A122">
        <v>1160</v>
      </c>
      <c r="B122" s="1">
        <v>9.42</v>
      </c>
      <c r="C122" s="1">
        <v>809.42</v>
      </c>
    </row>
    <row r="123" spans="1:3" ht="19" customHeight="1" x14ac:dyDescent="0.3">
      <c r="A123">
        <v>1170</v>
      </c>
      <c r="B123" s="1">
        <v>9.4149999999999991</v>
      </c>
      <c r="C123" s="1">
        <v>809.41499999999996</v>
      </c>
    </row>
    <row r="124" spans="1:3" ht="19" customHeight="1" x14ac:dyDescent="0.3">
      <c r="A124">
        <v>1180</v>
      </c>
      <c r="B124" s="1">
        <v>9.41</v>
      </c>
      <c r="C124" s="1">
        <v>809.41</v>
      </c>
    </row>
    <row r="125" spans="1:3" ht="19" customHeight="1" x14ac:dyDescent="0.3">
      <c r="A125">
        <v>1190</v>
      </c>
      <c r="B125" s="1">
        <v>9.4049999999999994</v>
      </c>
      <c r="C125" s="1">
        <v>809.40499999999997</v>
      </c>
    </row>
    <row r="126" spans="1:3" ht="19" customHeight="1" x14ac:dyDescent="0.3">
      <c r="A126">
        <v>1200</v>
      </c>
      <c r="B126" s="1">
        <v>9.4</v>
      </c>
      <c r="C126" s="1">
        <v>809.4</v>
      </c>
    </row>
    <row r="127" spans="1:3" ht="19" customHeight="1" x14ac:dyDescent="0.3">
      <c r="A127">
        <v>1210</v>
      </c>
      <c r="B127" s="1">
        <v>9.3949999999999996</v>
      </c>
      <c r="C127" s="1">
        <v>809.39499999999998</v>
      </c>
    </row>
    <row r="128" spans="1:3" ht="19" customHeight="1" x14ac:dyDescent="0.3">
      <c r="A128">
        <v>1220</v>
      </c>
      <c r="B128" s="1">
        <v>9.39</v>
      </c>
      <c r="C128" s="1">
        <v>809.39</v>
      </c>
    </row>
    <row r="129" spans="1:3" ht="19" customHeight="1" x14ac:dyDescent="0.3">
      <c r="A129">
        <v>1230</v>
      </c>
      <c r="B129" s="1">
        <v>9.3849999999999998</v>
      </c>
      <c r="C129" s="1">
        <v>809.38499999999999</v>
      </c>
    </row>
    <row r="130" spans="1:3" ht="19" customHeight="1" x14ac:dyDescent="0.3">
      <c r="A130">
        <v>1240</v>
      </c>
      <c r="B130" s="1">
        <v>9.3800000000000008</v>
      </c>
      <c r="C130" s="1">
        <v>809.38</v>
      </c>
    </row>
    <row r="131" spans="1:3" ht="19" customHeight="1" x14ac:dyDescent="0.3">
      <c r="A131">
        <v>1250</v>
      </c>
      <c r="B131" s="1">
        <v>9.375</v>
      </c>
      <c r="C131" s="1">
        <v>809.375</v>
      </c>
    </row>
    <row r="132" spans="1:3" ht="19" customHeight="1" x14ac:dyDescent="0.3">
      <c r="A132">
        <v>1260</v>
      </c>
      <c r="B132" s="1">
        <v>9.3699999999999992</v>
      </c>
      <c r="C132" s="1">
        <v>809.37</v>
      </c>
    </row>
    <row r="133" spans="1:3" ht="19" customHeight="1" x14ac:dyDescent="0.3">
      <c r="A133">
        <v>1270</v>
      </c>
      <c r="B133" s="1">
        <v>9.3650000000000002</v>
      </c>
      <c r="C133" s="1">
        <v>809.36500000000001</v>
      </c>
    </row>
    <row r="134" spans="1:3" ht="19" customHeight="1" x14ac:dyDescent="0.3">
      <c r="A134">
        <v>1280</v>
      </c>
      <c r="B134" s="1">
        <v>9.36</v>
      </c>
      <c r="C134" s="1">
        <v>809.36</v>
      </c>
    </row>
    <row r="135" spans="1:3" ht="19" customHeight="1" x14ac:dyDescent="0.3">
      <c r="A135">
        <v>1290</v>
      </c>
      <c r="B135" s="1">
        <v>9.3550000000000004</v>
      </c>
      <c r="C135" s="1">
        <v>809.35500000000002</v>
      </c>
    </row>
    <row r="136" spans="1:3" ht="19" customHeight="1" x14ac:dyDescent="0.3">
      <c r="A136">
        <v>1300</v>
      </c>
      <c r="B136" s="1">
        <v>9.35</v>
      </c>
      <c r="C136" s="1">
        <v>809.35</v>
      </c>
    </row>
    <row r="137" spans="1:3" ht="19" customHeight="1" x14ac:dyDescent="0.3">
      <c r="A137">
        <v>1310</v>
      </c>
      <c r="B137" s="1">
        <v>9.3450000000000006</v>
      </c>
      <c r="C137" s="1">
        <v>809.34500000000003</v>
      </c>
    </row>
    <row r="138" spans="1:3" ht="19" customHeight="1" x14ac:dyDescent="0.3">
      <c r="A138">
        <v>1320</v>
      </c>
      <c r="B138" s="1">
        <v>9.34</v>
      </c>
      <c r="C138" s="1">
        <v>809.34</v>
      </c>
    </row>
    <row r="139" spans="1:3" ht="19" customHeight="1" x14ac:dyDescent="0.3">
      <c r="A139">
        <v>1330</v>
      </c>
      <c r="B139" s="1">
        <v>9.3350000000000009</v>
      </c>
      <c r="C139" s="1">
        <v>809.33500000000004</v>
      </c>
    </row>
    <row r="140" spans="1:3" ht="19" customHeight="1" x14ac:dyDescent="0.3">
      <c r="A140">
        <v>1340</v>
      </c>
      <c r="B140" s="1">
        <v>9.33</v>
      </c>
      <c r="C140" s="1">
        <v>809.33</v>
      </c>
    </row>
    <row r="141" spans="1:3" ht="19" customHeight="1" x14ac:dyDescent="0.3">
      <c r="A141">
        <v>1350</v>
      </c>
      <c r="B141" s="1">
        <v>9.3249999999999993</v>
      </c>
      <c r="C141" s="1">
        <v>809.32500000000005</v>
      </c>
    </row>
    <row r="142" spans="1:3" ht="19" customHeight="1" x14ac:dyDescent="0.3">
      <c r="A142">
        <v>1360</v>
      </c>
      <c r="B142" s="1">
        <v>9.32</v>
      </c>
      <c r="C142" s="1">
        <v>809.32</v>
      </c>
    </row>
    <row r="143" spans="1:3" ht="19" customHeight="1" x14ac:dyDescent="0.3">
      <c r="A143">
        <v>1370</v>
      </c>
      <c r="B143" s="1">
        <v>9.3149999999999995</v>
      </c>
      <c r="C143" s="1">
        <v>809.31500000000005</v>
      </c>
    </row>
    <row r="144" spans="1:3" ht="19" customHeight="1" x14ac:dyDescent="0.3">
      <c r="A144">
        <v>1380</v>
      </c>
      <c r="B144" s="1">
        <v>9.31</v>
      </c>
      <c r="C144" s="1">
        <v>809.31</v>
      </c>
    </row>
    <row r="145" spans="1:3" ht="19" customHeight="1" x14ac:dyDescent="0.3">
      <c r="A145">
        <v>1390</v>
      </c>
      <c r="B145" s="1">
        <v>9.3049999999999997</v>
      </c>
      <c r="C145" s="1">
        <v>809.30499999999995</v>
      </c>
    </row>
    <row r="146" spans="1:3" ht="19" customHeight="1" x14ac:dyDescent="0.3">
      <c r="A146">
        <v>1400</v>
      </c>
      <c r="B146" s="1">
        <v>9.3000000000000007</v>
      </c>
      <c r="C146" s="1">
        <v>809.3</v>
      </c>
    </row>
    <row r="147" spans="1:3" ht="19" customHeight="1" x14ac:dyDescent="0.3">
      <c r="A147">
        <v>1410</v>
      </c>
      <c r="B147" s="1">
        <v>9.2949999999999999</v>
      </c>
      <c r="C147" s="1">
        <v>809.29499999999996</v>
      </c>
    </row>
    <row r="148" spans="1:3" ht="19" customHeight="1" x14ac:dyDescent="0.3">
      <c r="A148">
        <v>1420</v>
      </c>
      <c r="B148" s="1">
        <v>9.2899999999999991</v>
      </c>
      <c r="C148" s="1">
        <v>809.29</v>
      </c>
    </row>
    <row r="149" spans="1:3" ht="19" customHeight="1" x14ac:dyDescent="0.3">
      <c r="A149">
        <v>1430</v>
      </c>
      <c r="B149" s="1">
        <v>9.2850000000000001</v>
      </c>
      <c r="C149" s="1">
        <v>809.28499999999997</v>
      </c>
    </row>
    <row r="150" spans="1:3" ht="19" customHeight="1" x14ac:dyDescent="0.3">
      <c r="A150">
        <v>1440</v>
      </c>
      <c r="B150" s="1">
        <v>9.2799999999999994</v>
      </c>
      <c r="C150" s="1">
        <v>809.28</v>
      </c>
    </row>
    <row r="151" spans="1:3" ht="19" customHeight="1" x14ac:dyDescent="0.3">
      <c r="A151">
        <v>1450</v>
      </c>
      <c r="B151" s="1">
        <v>9.2750000000000004</v>
      </c>
      <c r="C151" s="1">
        <v>809.27499999999998</v>
      </c>
    </row>
    <row r="152" spans="1:3" ht="19" customHeight="1" x14ac:dyDescent="0.3">
      <c r="A152">
        <v>1460</v>
      </c>
      <c r="B152" s="1">
        <v>9.27</v>
      </c>
      <c r="C152" s="1">
        <v>809.27</v>
      </c>
    </row>
    <row r="153" spans="1:3" ht="19" customHeight="1" x14ac:dyDescent="0.3">
      <c r="A153">
        <v>1470</v>
      </c>
      <c r="B153" s="1">
        <v>9.2650000000000006</v>
      </c>
      <c r="C153" s="1">
        <v>809.26499999999999</v>
      </c>
    </row>
    <row r="154" spans="1:3" ht="19" customHeight="1" x14ac:dyDescent="0.3">
      <c r="A154">
        <v>1480</v>
      </c>
      <c r="B154" s="1">
        <v>9.26</v>
      </c>
      <c r="C154" s="1">
        <v>809.26</v>
      </c>
    </row>
    <row r="155" spans="1:3" ht="19" customHeight="1" x14ac:dyDescent="0.3">
      <c r="A155">
        <v>1490</v>
      </c>
      <c r="B155" s="1">
        <v>9.2550000000000008</v>
      </c>
      <c r="C155" s="1">
        <v>809.255</v>
      </c>
    </row>
    <row r="156" spans="1:3" ht="19" customHeight="1" x14ac:dyDescent="0.3">
      <c r="A156">
        <v>1500</v>
      </c>
      <c r="B156" s="1">
        <v>9.25</v>
      </c>
      <c r="C156" s="1">
        <v>809.25</v>
      </c>
    </row>
    <row r="157" spans="1:3" ht="19" customHeight="1" x14ac:dyDescent="0.3">
      <c r="A157">
        <v>1510</v>
      </c>
      <c r="B157" s="1">
        <v>9.2449999999999992</v>
      </c>
      <c r="C157" s="1">
        <v>809.245</v>
      </c>
    </row>
    <row r="158" spans="1:3" ht="19" customHeight="1" x14ac:dyDescent="0.3">
      <c r="A158">
        <v>1520</v>
      </c>
      <c r="B158" s="1">
        <v>9.24</v>
      </c>
      <c r="C158" s="1">
        <v>809.24</v>
      </c>
    </row>
    <row r="159" spans="1:3" ht="19" customHeight="1" x14ac:dyDescent="0.3">
      <c r="A159">
        <v>1530</v>
      </c>
      <c r="B159" s="1">
        <v>9.2349999999999994</v>
      </c>
      <c r="C159" s="1">
        <v>809.23500000000001</v>
      </c>
    </row>
    <row r="160" spans="1:3" ht="19" customHeight="1" x14ac:dyDescent="0.3">
      <c r="A160">
        <v>1540</v>
      </c>
      <c r="B160" s="1">
        <v>9.23</v>
      </c>
      <c r="C160" s="1">
        <v>809.23</v>
      </c>
    </row>
    <row r="161" spans="1:3" ht="19" customHeight="1" x14ac:dyDescent="0.3">
      <c r="A161">
        <v>1550</v>
      </c>
      <c r="B161" s="1">
        <v>9.2249999999999996</v>
      </c>
      <c r="C161" s="1">
        <v>809.22500000000002</v>
      </c>
    </row>
    <row r="162" spans="1:3" ht="19" customHeight="1" x14ac:dyDescent="0.3">
      <c r="A162">
        <v>1560</v>
      </c>
      <c r="B162" s="1">
        <v>9.2200000000000006</v>
      </c>
      <c r="C162" s="1">
        <v>809.22</v>
      </c>
    </row>
    <row r="163" spans="1:3" ht="19" customHeight="1" x14ac:dyDescent="0.3">
      <c r="A163">
        <v>1570</v>
      </c>
      <c r="B163" s="1">
        <v>9.2149999999999999</v>
      </c>
      <c r="C163" s="1">
        <v>809.21500000000003</v>
      </c>
    </row>
    <row r="164" spans="1:3" ht="19" customHeight="1" x14ac:dyDescent="0.3">
      <c r="A164">
        <v>1580</v>
      </c>
      <c r="B164" s="1">
        <v>9.2100000000000009</v>
      </c>
      <c r="C164" s="1">
        <v>809.21</v>
      </c>
    </row>
    <row r="165" spans="1:3" ht="19" customHeight="1" x14ac:dyDescent="0.3">
      <c r="A165">
        <v>1590</v>
      </c>
      <c r="B165" s="1">
        <v>9.2050000000000001</v>
      </c>
      <c r="C165" s="1">
        <v>809.20500000000004</v>
      </c>
    </row>
    <row r="166" spans="1:3" ht="19" customHeight="1" x14ac:dyDescent="0.3">
      <c r="A166">
        <v>1600</v>
      </c>
      <c r="B166" s="1">
        <v>9.1999999999999993</v>
      </c>
      <c r="C166" s="1">
        <v>809.2</v>
      </c>
    </row>
    <row r="167" spans="1:3" ht="19" customHeight="1" x14ac:dyDescent="0.3">
      <c r="A167">
        <v>1610</v>
      </c>
      <c r="B167" s="1">
        <v>9.1950000000000003</v>
      </c>
      <c r="C167" s="1">
        <v>809.19500000000005</v>
      </c>
    </row>
    <row r="168" spans="1:3" ht="19" customHeight="1" x14ac:dyDescent="0.3">
      <c r="A168">
        <v>1620</v>
      </c>
      <c r="B168" s="1">
        <v>9.19</v>
      </c>
      <c r="C168" s="1">
        <v>809.19</v>
      </c>
    </row>
    <row r="169" spans="1:3" ht="19" customHeight="1" x14ac:dyDescent="0.3">
      <c r="A169">
        <v>1630</v>
      </c>
      <c r="B169" s="1">
        <v>9.1850000000000005</v>
      </c>
      <c r="C169" s="1">
        <v>809.18499999999995</v>
      </c>
    </row>
    <row r="170" spans="1:3" ht="19" customHeight="1" x14ac:dyDescent="0.3">
      <c r="A170">
        <v>1640</v>
      </c>
      <c r="B170" s="1">
        <v>9.18</v>
      </c>
      <c r="C170" s="1">
        <v>809.18</v>
      </c>
    </row>
    <row r="171" spans="1:3" ht="19" customHeight="1" x14ac:dyDescent="0.3">
      <c r="A171">
        <v>1650</v>
      </c>
      <c r="B171" s="1">
        <v>9.1750000000000007</v>
      </c>
      <c r="C171" s="1">
        <v>809.17499999999995</v>
      </c>
    </row>
    <row r="172" spans="1:3" ht="19" customHeight="1" x14ac:dyDescent="0.3">
      <c r="A172">
        <v>1660</v>
      </c>
      <c r="B172" s="1">
        <v>9.17</v>
      </c>
      <c r="C172" s="1">
        <v>809.17</v>
      </c>
    </row>
    <row r="173" spans="1:3" ht="19" customHeight="1" x14ac:dyDescent="0.3">
      <c r="A173">
        <v>1670</v>
      </c>
      <c r="B173" s="1">
        <v>9.1649999999999991</v>
      </c>
      <c r="C173" s="1">
        <v>809.16499999999996</v>
      </c>
    </row>
    <row r="174" spans="1:3" ht="19" customHeight="1" x14ac:dyDescent="0.3">
      <c r="A174">
        <v>1680</v>
      </c>
      <c r="B174" s="1">
        <v>9.16</v>
      </c>
      <c r="C174" s="1">
        <v>809.16</v>
      </c>
    </row>
    <row r="175" spans="1:3" ht="19" customHeight="1" x14ac:dyDescent="0.3">
      <c r="A175">
        <v>1690</v>
      </c>
      <c r="B175" s="1">
        <v>9.1549999999999994</v>
      </c>
      <c r="C175" s="1">
        <v>809.15499999999997</v>
      </c>
    </row>
    <row r="176" spans="1:3" ht="19" customHeight="1" x14ac:dyDescent="0.3">
      <c r="A176">
        <v>1700</v>
      </c>
      <c r="B176" s="1">
        <v>9.15</v>
      </c>
      <c r="C176" s="1">
        <v>809.15</v>
      </c>
    </row>
    <row r="177" spans="1:3" ht="19" customHeight="1" x14ac:dyDescent="0.3">
      <c r="A177">
        <v>1710</v>
      </c>
      <c r="B177" s="1">
        <v>9.1449999999999996</v>
      </c>
      <c r="C177" s="1">
        <v>809.14499999999998</v>
      </c>
    </row>
    <row r="178" spans="1:3" ht="19" customHeight="1" x14ac:dyDescent="0.3">
      <c r="A178">
        <v>1720</v>
      </c>
      <c r="B178" s="1">
        <v>9.14</v>
      </c>
      <c r="C178" s="1">
        <v>809.14</v>
      </c>
    </row>
    <row r="179" spans="1:3" ht="19" customHeight="1" x14ac:dyDescent="0.3">
      <c r="A179">
        <v>1730</v>
      </c>
      <c r="B179" s="1">
        <v>9.1349999999999998</v>
      </c>
      <c r="C179" s="1">
        <v>809.13499999999999</v>
      </c>
    </row>
    <row r="180" spans="1:3" ht="19" customHeight="1" x14ac:dyDescent="0.3">
      <c r="A180">
        <v>1740</v>
      </c>
      <c r="B180" s="1">
        <v>9.1300000000000008</v>
      </c>
      <c r="C180" s="1">
        <v>809.13</v>
      </c>
    </row>
    <row r="181" spans="1:3" ht="19" customHeight="1" x14ac:dyDescent="0.3">
      <c r="A181">
        <v>1750</v>
      </c>
      <c r="B181" s="1">
        <v>9.125</v>
      </c>
      <c r="C181" s="1">
        <v>809.125</v>
      </c>
    </row>
    <row r="182" spans="1:3" ht="19" customHeight="1" x14ac:dyDescent="0.3">
      <c r="A182">
        <v>1760</v>
      </c>
      <c r="B182" s="1">
        <v>9.1199999999999992</v>
      </c>
      <c r="C182" s="1">
        <v>809.12</v>
      </c>
    </row>
    <row r="183" spans="1:3" ht="19" customHeight="1" x14ac:dyDescent="0.3">
      <c r="A183">
        <v>1770</v>
      </c>
      <c r="B183" s="1">
        <v>9.1150000000000002</v>
      </c>
      <c r="C183" s="1">
        <v>809.11500000000001</v>
      </c>
    </row>
    <row r="184" spans="1:3" ht="19" customHeight="1" x14ac:dyDescent="0.3">
      <c r="A184">
        <v>1780</v>
      </c>
      <c r="B184" s="1">
        <v>9.11</v>
      </c>
      <c r="C184" s="1">
        <v>809.11</v>
      </c>
    </row>
    <row r="185" spans="1:3" ht="19" customHeight="1" x14ac:dyDescent="0.3">
      <c r="A185">
        <v>1790</v>
      </c>
      <c r="B185" s="1">
        <v>9.1050000000000004</v>
      </c>
      <c r="C185" s="1">
        <v>809.10500000000002</v>
      </c>
    </row>
    <row r="186" spans="1:3" ht="19" customHeight="1" x14ac:dyDescent="0.3">
      <c r="A186">
        <v>1800</v>
      </c>
      <c r="B186" s="1">
        <v>9.1</v>
      </c>
      <c r="C186" s="1">
        <v>809.1</v>
      </c>
    </row>
    <row r="187" spans="1:3" ht="19" customHeight="1" x14ac:dyDescent="0.3">
      <c r="A187">
        <v>1810</v>
      </c>
      <c r="B187" s="1">
        <v>9.0950000000000006</v>
      </c>
      <c r="C187" s="1">
        <v>809.09500000000003</v>
      </c>
    </row>
    <row r="188" spans="1:3" ht="19" customHeight="1" x14ac:dyDescent="0.3">
      <c r="A188">
        <v>1820</v>
      </c>
      <c r="B188" s="1">
        <v>9.09</v>
      </c>
      <c r="C188" s="1">
        <v>809.09</v>
      </c>
    </row>
    <row r="189" spans="1:3" ht="19" customHeight="1" x14ac:dyDescent="0.3">
      <c r="A189">
        <v>1830</v>
      </c>
      <c r="B189" s="1">
        <v>9.0850000000000009</v>
      </c>
      <c r="C189" s="1">
        <v>809.08500000000004</v>
      </c>
    </row>
    <row r="190" spans="1:3" ht="19" customHeight="1" x14ac:dyDescent="0.3">
      <c r="A190">
        <v>1840</v>
      </c>
      <c r="B190" s="1">
        <v>9.08</v>
      </c>
      <c r="C190" s="1">
        <v>809.08</v>
      </c>
    </row>
    <row r="191" spans="1:3" ht="19" customHeight="1" x14ac:dyDescent="0.3">
      <c r="A191">
        <v>1850</v>
      </c>
      <c r="B191" s="1">
        <v>9.0749999999999993</v>
      </c>
      <c r="C191" s="1">
        <v>809.07500000000005</v>
      </c>
    </row>
    <row r="192" spans="1:3" ht="19" customHeight="1" x14ac:dyDescent="0.3">
      <c r="A192">
        <v>1860</v>
      </c>
      <c r="B192" s="1">
        <v>9.07</v>
      </c>
      <c r="C192" s="1">
        <v>809.07</v>
      </c>
    </row>
    <row r="193" spans="1:3" ht="19" customHeight="1" x14ac:dyDescent="0.3">
      <c r="A193">
        <v>1870</v>
      </c>
      <c r="B193" s="1">
        <v>9.0649999999999995</v>
      </c>
      <c r="C193" s="1">
        <v>809.06500000000005</v>
      </c>
    </row>
    <row r="194" spans="1:3" ht="19" customHeight="1" x14ac:dyDescent="0.3">
      <c r="A194">
        <v>1880</v>
      </c>
      <c r="B194" s="1">
        <v>9.06</v>
      </c>
      <c r="C194" s="1">
        <v>809.06</v>
      </c>
    </row>
    <row r="195" spans="1:3" ht="19" customHeight="1" x14ac:dyDescent="0.3">
      <c r="A195">
        <v>1890</v>
      </c>
      <c r="B195" s="1">
        <v>9.0549999999999997</v>
      </c>
      <c r="C195" s="1">
        <v>809.05499999999995</v>
      </c>
    </row>
    <row r="196" spans="1:3" ht="19" customHeight="1" x14ac:dyDescent="0.3">
      <c r="A196">
        <v>1900</v>
      </c>
      <c r="B196" s="1">
        <v>9.0500000000000007</v>
      </c>
      <c r="C196" s="1">
        <v>809.05</v>
      </c>
    </row>
    <row r="197" spans="1:3" ht="19" customHeight="1" x14ac:dyDescent="0.3">
      <c r="A197">
        <v>1910</v>
      </c>
      <c r="B197" s="1">
        <v>9.0449999999999999</v>
      </c>
      <c r="C197" s="1">
        <v>809.04499999999996</v>
      </c>
    </row>
    <row r="198" spans="1:3" ht="19" customHeight="1" x14ac:dyDescent="0.3">
      <c r="A198">
        <v>1920</v>
      </c>
      <c r="B198" s="1">
        <v>9.0399999999999991</v>
      </c>
      <c r="C198" s="1">
        <v>809.04</v>
      </c>
    </row>
    <row r="199" spans="1:3" ht="19" customHeight="1" x14ac:dyDescent="0.3">
      <c r="A199">
        <v>1930</v>
      </c>
      <c r="B199" s="1">
        <v>9.0350000000000001</v>
      </c>
      <c r="C199" s="1">
        <v>809.03499999999997</v>
      </c>
    </row>
    <row r="200" spans="1:3" ht="19" customHeight="1" x14ac:dyDescent="0.3">
      <c r="A200">
        <v>1940</v>
      </c>
      <c r="B200" s="1">
        <v>9.0299999999999994</v>
      </c>
      <c r="C200" s="1">
        <v>809.03</v>
      </c>
    </row>
    <row r="201" spans="1:3" ht="19" customHeight="1" x14ac:dyDescent="0.3">
      <c r="A201">
        <v>1950</v>
      </c>
      <c r="B201" s="1">
        <v>9.0250000000000004</v>
      </c>
      <c r="C201" s="1">
        <v>809.02499999999998</v>
      </c>
    </row>
    <row r="202" spans="1:3" ht="19" customHeight="1" x14ac:dyDescent="0.3">
      <c r="A202">
        <v>1960</v>
      </c>
      <c r="B202" s="1">
        <v>9.02</v>
      </c>
      <c r="C202" s="1">
        <v>809.02</v>
      </c>
    </row>
    <row r="203" spans="1:3" ht="19" customHeight="1" x14ac:dyDescent="0.3">
      <c r="A203">
        <v>1970</v>
      </c>
      <c r="B203" s="1">
        <v>9.0150000000000006</v>
      </c>
      <c r="C203" s="1">
        <v>809.01499999999999</v>
      </c>
    </row>
    <row r="204" spans="1:3" ht="19" customHeight="1" x14ac:dyDescent="0.3">
      <c r="A204">
        <v>1980</v>
      </c>
      <c r="B204" s="1">
        <v>9.01</v>
      </c>
      <c r="C204" s="1">
        <v>809.01</v>
      </c>
    </row>
    <row r="205" spans="1:3" ht="19" customHeight="1" x14ac:dyDescent="0.3">
      <c r="A205">
        <v>1990</v>
      </c>
      <c r="B205" s="1">
        <v>9.0050000000000008</v>
      </c>
      <c r="C205" s="1">
        <v>809.005</v>
      </c>
    </row>
    <row r="206" spans="1:3" ht="19" customHeight="1" x14ac:dyDescent="0.3">
      <c r="A206">
        <v>2000</v>
      </c>
      <c r="B206" s="1">
        <v>9</v>
      </c>
      <c r="C206" s="1">
        <v>809</v>
      </c>
    </row>
    <row r="207" spans="1:3" ht="19" customHeight="1" x14ac:dyDescent="0.3">
      <c r="A207">
        <v>2010</v>
      </c>
      <c r="B207" s="1">
        <v>8.9949999999999992</v>
      </c>
      <c r="C207" s="1">
        <v>808.995</v>
      </c>
    </row>
    <row r="208" spans="1:3" ht="19" customHeight="1" x14ac:dyDescent="0.3">
      <c r="A208">
        <v>2020</v>
      </c>
      <c r="B208" s="1">
        <v>8.99</v>
      </c>
      <c r="C208" s="1">
        <v>808.99</v>
      </c>
    </row>
    <row r="209" spans="1:3" ht="19" customHeight="1" x14ac:dyDescent="0.3">
      <c r="A209">
        <v>2030</v>
      </c>
      <c r="B209" s="1">
        <v>8.9849999999999994</v>
      </c>
      <c r="C209" s="1">
        <v>808.98500000000001</v>
      </c>
    </row>
    <row r="210" spans="1:3" ht="19" customHeight="1" x14ac:dyDescent="0.3">
      <c r="A210">
        <v>2040</v>
      </c>
      <c r="B210" s="1">
        <v>8.98</v>
      </c>
      <c r="C210" s="1">
        <v>808.98</v>
      </c>
    </row>
    <row r="211" spans="1:3" ht="19" customHeight="1" x14ac:dyDescent="0.3">
      <c r="A211">
        <v>2050</v>
      </c>
      <c r="B211" s="1">
        <v>8.9749999999999996</v>
      </c>
      <c r="C211" s="1">
        <v>808.97500000000002</v>
      </c>
    </row>
    <row r="212" spans="1:3" ht="19" customHeight="1" x14ac:dyDescent="0.3">
      <c r="A212">
        <v>2060</v>
      </c>
      <c r="B212" s="1">
        <v>8.9700000000000006</v>
      </c>
      <c r="C212" s="1">
        <v>808.97</v>
      </c>
    </row>
    <row r="213" spans="1:3" ht="19" customHeight="1" x14ac:dyDescent="0.3">
      <c r="A213">
        <v>2070</v>
      </c>
      <c r="B213" s="1">
        <v>8.9649999999999999</v>
      </c>
      <c r="C213" s="1">
        <v>808.96500000000003</v>
      </c>
    </row>
    <row r="214" spans="1:3" ht="19" customHeight="1" x14ac:dyDescent="0.3">
      <c r="A214">
        <v>2080</v>
      </c>
      <c r="B214" s="1">
        <v>8.9600000000000009</v>
      </c>
      <c r="C214" s="1">
        <v>808.96</v>
      </c>
    </row>
    <row r="215" spans="1:3" ht="19" customHeight="1" x14ac:dyDescent="0.3">
      <c r="A215">
        <v>2090</v>
      </c>
      <c r="B215" s="1">
        <v>8.9550000000000001</v>
      </c>
      <c r="C215" s="1">
        <v>808.95500000000004</v>
      </c>
    </row>
    <row r="216" spans="1:3" ht="19" customHeight="1" x14ac:dyDescent="0.3">
      <c r="A216">
        <v>2100</v>
      </c>
      <c r="B216" s="1">
        <v>8.9499999999999993</v>
      </c>
      <c r="C216" s="1">
        <v>808.95</v>
      </c>
    </row>
    <row r="217" spans="1:3" ht="19" customHeight="1" x14ac:dyDescent="0.3">
      <c r="A217">
        <v>2110</v>
      </c>
      <c r="B217" s="1">
        <v>8.9450000000000003</v>
      </c>
      <c r="C217" s="1">
        <v>808.94500000000005</v>
      </c>
    </row>
    <row r="218" spans="1:3" ht="19" customHeight="1" x14ac:dyDescent="0.3">
      <c r="A218">
        <v>2120</v>
      </c>
      <c r="B218" s="1">
        <v>8.94</v>
      </c>
      <c r="C218" s="1">
        <v>808.94</v>
      </c>
    </row>
    <row r="219" spans="1:3" ht="19" customHeight="1" x14ac:dyDescent="0.3">
      <c r="A219">
        <v>2130</v>
      </c>
      <c r="B219" s="1">
        <v>8.9350000000000005</v>
      </c>
      <c r="C219" s="1">
        <v>808.93499999999995</v>
      </c>
    </row>
    <row r="220" spans="1:3" ht="19" customHeight="1" x14ac:dyDescent="0.3">
      <c r="A220">
        <v>2140</v>
      </c>
      <c r="B220" s="1">
        <v>8.93</v>
      </c>
      <c r="C220" s="1">
        <v>808.93</v>
      </c>
    </row>
    <row r="221" spans="1:3" ht="19" customHeight="1" x14ac:dyDescent="0.3">
      <c r="A221">
        <v>2150</v>
      </c>
      <c r="B221" s="1">
        <v>8.9250000000000007</v>
      </c>
      <c r="C221" s="1">
        <v>808.92499999999995</v>
      </c>
    </row>
    <row r="222" spans="1:3" ht="19" customHeight="1" x14ac:dyDescent="0.3">
      <c r="A222">
        <v>2160</v>
      </c>
      <c r="B222" s="1">
        <v>8.92</v>
      </c>
      <c r="C222" s="1">
        <v>808.92</v>
      </c>
    </row>
    <row r="223" spans="1:3" ht="19" customHeight="1" x14ac:dyDescent="0.3">
      <c r="A223">
        <v>2170</v>
      </c>
      <c r="B223" s="1">
        <v>8.9149999999999991</v>
      </c>
      <c r="C223" s="1">
        <v>808.91499999999996</v>
      </c>
    </row>
    <row r="224" spans="1:3" ht="19" customHeight="1" x14ac:dyDescent="0.3">
      <c r="A224">
        <v>2180</v>
      </c>
      <c r="B224" s="1">
        <v>8.91</v>
      </c>
      <c r="C224" s="1">
        <v>808.91</v>
      </c>
    </row>
    <row r="225" spans="1:3" ht="19" customHeight="1" x14ac:dyDescent="0.3">
      <c r="A225">
        <v>2190</v>
      </c>
      <c r="B225" s="1">
        <v>8.9049999999999994</v>
      </c>
      <c r="C225" s="1">
        <v>808.90499999999997</v>
      </c>
    </row>
    <row r="226" spans="1:3" ht="19" customHeight="1" x14ac:dyDescent="0.3">
      <c r="A226">
        <v>2200</v>
      </c>
      <c r="B226" s="1">
        <v>8.9</v>
      </c>
      <c r="C226" s="1">
        <v>808.9</v>
      </c>
    </row>
    <row r="227" spans="1:3" ht="19" customHeight="1" x14ac:dyDescent="0.3">
      <c r="A227">
        <v>2210</v>
      </c>
      <c r="B227" s="1">
        <v>8.8949999999999996</v>
      </c>
      <c r="C227" s="1">
        <v>808.89499999999998</v>
      </c>
    </row>
    <row r="228" spans="1:3" ht="19" customHeight="1" x14ac:dyDescent="0.3">
      <c r="A228">
        <v>2220</v>
      </c>
      <c r="B228" s="1">
        <v>8.89</v>
      </c>
      <c r="C228" s="1">
        <v>808.89</v>
      </c>
    </row>
    <row r="229" spans="1:3" ht="19" customHeight="1" x14ac:dyDescent="0.3">
      <c r="A229">
        <v>2230</v>
      </c>
      <c r="B229" s="1">
        <v>8.8849999999999998</v>
      </c>
      <c r="C229" s="1">
        <v>808.88499999999999</v>
      </c>
    </row>
    <row r="230" spans="1:3" ht="19" customHeight="1" x14ac:dyDescent="0.3">
      <c r="A230">
        <v>2240</v>
      </c>
      <c r="B230" s="1">
        <v>8.879999999999999</v>
      </c>
      <c r="C230" s="1">
        <v>808.88</v>
      </c>
    </row>
    <row r="231" spans="1:3" ht="19" customHeight="1" x14ac:dyDescent="0.3">
      <c r="A231">
        <v>2250</v>
      </c>
      <c r="B231" s="1">
        <v>8.875</v>
      </c>
      <c r="C231" s="1">
        <v>808.875</v>
      </c>
    </row>
    <row r="232" spans="1:3" ht="19" customHeight="1" x14ac:dyDescent="0.3">
      <c r="A232">
        <v>2260</v>
      </c>
      <c r="B232" s="1">
        <v>8.8699999999999992</v>
      </c>
      <c r="C232" s="1">
        <v>808.87</v>
      </c>
    </row>
    <row r="233" spans="1:3" ht="19" customHeight="1" x14ac:dyDescent="0.3">
      <c r="A233">
        <v>2270</v>
      </c>
      <c r="B233" s="1">
        <v>8.8650000000000002</v>
      </c>
      <c r="C233" s="1">
        <v>808.86500000000001</v>
      </c>
    </row>
    <row r="234" spans="1:3" ht="19" customHeight="1" x14ac:dyDescent="0.3">
      <c r="A234">
        <v>2280</v>
      </c>
      <c r="B234" s="1">
        <v>8.86</v>
      </c>
      <c r="C234" s="1">
        <v>808.86</v>
      </c>
    </row>
    <row r="235" spans="1:3" ht="19" customHeight="1" x14ac:dyDescent="0.3">
      <c r="A235">
        <v>2290</v>
      </c>
      <c r="B235" s="1">
        <v>8.8550000000000004</v>
      </c>
      <c r="C235" s="1">
        <v>808.85500000000002</v>
      </c>
    </row>
    <row r="236" spans="1:3" ht="19" customHeight="1" x14ac:dyDescent="0.3">
      <c r="A236">
        <v>2300</v>
      </c>
      <c r="B236" s="1">
        <v>8.85</v>
      </c>
      <c r="C236" s="1">
        <v>808.85</v>
      </c>
    </row>
    <row r="237" spans="1:3" ht="19" customHeight="1" x14ac:dyDescent="0.3">
      <c r="A237">
        <v>2310</v>
      </c>
      <c r="B237" s="1">
        <v>8.8450000000000006</v>
      </c>
      <c r="C237" s="1">
        <v>808.84500000000003</v>
      </c>
    </row>
    <row r="238" spans="1:3" ht="19" customHeight="1" x14ac:dyDescent="0.3">
      <c r="A238">
        <v>2320</v>
      </c>
      <c r="B238" s="1">
        <v>8.84</v>
      </c>
      <c r="C238" s="1">
        <v>808.84</v>
      </c>
    </row>
    <row r="239" spans="1:3" ht="19" customHeight="1" x14ac:dyDescent="0.3">
      <c r="A239">
        <v>2330</v>
      </c>
      <c r="B239" s="1">
        <v>8.8350000000000009</v>
      </c>
      <c r="C239" s="1">
        <v>808.83500000000004</v>
      </c>
    </row>
    <row r="240" spans="1:3" ht="19" customHeight="1" x14ac:dyDescent="0.3">
      <c r="A240">
        <v>2340</v>
      </c>
      <c r="B240" s="1">
        <v>8.83</v>
      </c>
      <c r="C240" s="1">
        <v>808.83</v>
      </c>
    </row>
    <row r="241" spans="1:3" ht="19" customHeight="1" x14ac:dyDescent="0.3">
      <c r="A241">
        <v>2350</v>
      </c>
      <c r="B241" s="1">
        <v>8.8249999999999993</v>
      </c>
      <c r="C241" s="1">
        <v>808.82500000000005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5DDE5"/>
    <pageSetUpPr fitToPage="1"/>
  </sheetPr>
  <dimension ref="A2:AE2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3" ht="19" customHeight="1" x14ac:dyDescent="0.35">
      <c r="A2" s="3" t="s">
        <v>18</v>
      </c>
    </row>
    <row r="3" spans="1:3" ht="19" customHeight="1" x14ac:dyDescent="0.3">
      <c r="A3" s="4" t="s">
        <v>1</v>
      </c>
    </row>
    <row r="5" spans="1:3" ht="34.049999999999997" customHeight="1" x14ac:dyDescent="0.3">
      <c r="A5" s="5" t="s">
        <v>67</v>
      </c>
      <c r="B5" s="5" t="s">
        <v>68</v>
      </c>
      <c r="C5" s="5" t="s">
        <v>69</v>
      </c>
    </row>
    <row r="6" spans="1:3" ht="19" customHeight="1" x14ac:dyDescent="0.3">
      <c r="A6" t="s">
        <v>70</v>
      </c>
      <c r="B6" s="6">
        <v>800</v>
      </c>
      <c r="C6" s="1" t="s">
        <v>71</v>
      </c>
    </row>
    <row r="7" spans="1:3" ht="19" customHeight="1" x14ac:dyDescent="0.3">
      <c r="A7" t="s">
        <v>72</v>
      </c>
      <c r="B7" s="6">
        <v>3.6</v>
      </c>
      <c r="C7" s="1" t="s">
        <v>71</v>
      </c>
    </row>
    <row r="8" spans="1:3" ht="19" customHeight="1" x14ac:dyDescent="0.3">
      <c r="A8" t="s">
        <v>73</v>
      </c>
      <c r="B8" s="6">
        <v>1.6</v>
      </c>
      <c r="C8" s="1" t="s">
        <v>71</v>
      </c>
    </row>
    <row r="9" spans="1:3" ht="19" customHeight="1" x14ac:dyDescent="0.3">
      <c r="A9" t="s">
        <v>74</v>
      </c>
      <c r="B9" s="6">
        <v>0.3</v>
      </c>
      <c r="C9" s="1" t="s">
        <v>71</v>
      </c>
    </row>
    <row r="10" spans="1:3" ht="19" customHeight="1" x14ac:dyDescent="0.3">
      <c r="A10" t="s">
        <v>75</v>
      </c>
      <c r="B10" s="6">
        <v>0.45</v>
      </c>
      <c r="C10" s="1" t="s">
        <v>71</v>
      </c>
    </row>
    <row r="11" spans="1:3" ht="19" customHeight="1" x14ac:dyDescent="0.3">
      <c r="A11" t="s">
        <v>76</v>
      </c>
      <c r="B11" s="6">
        <v>1.5</v>
      </c>
      <c r="C11" s="1" t="s">
        <v>71</v>
      </c>
    </row>
    <row r="12" spans="1:3" ht="19" customHeight="1" x14ac:dyDescent="0.3">
      <c r="A12" t="s">
        <v>77</v>
      </c>
      <c r="B12" s="6">
        <v>450000</v>
      </c>
      <c r="C12" s="1" t="s">
        <v>71</v>
      </c>
    </row>
    <row r="13" spans="1:3" ht="19" customHeight="1" x14ac:dyDescent="0.3">
      <c r="A13" t="s">
        <v>78</v>
      </c>
      <c r="B13" s="6">
        <v>0.92</v>
      </c>
      <c r="C13" s="1" t="s">
        <v>71</v>
      </c>
    </row>
    <row r="14" spans="1:3" ht="19" customHeight="1" x14ac:dyDescent="0.3">
      <c r="A14" t="s">
        <v>79</v>
      </c>
      <c r="B14" s="6">
        <v>1.4999999999999999E-2</v>
      </c>
      <c r="C14" s="1" t="s">
        <v>71</v>
      </c>
    </row>
    <row r="15" spans="1:3" ht="19" customHeight="1" x14ac:dyDescent="0.3">
      <c r="A15" t="s">
        <v>80</v>
      </c>
      <c r="B15" s="6">
        <v>24000</v>
      </c>
      <c r="C15" s="1" t="s">
        <v>71</v>
      </c>
    </row>
    <row r="16" spans="1:3" ht="19" customHeight="1" x14ac:dyDescent="0.3">
      <c r="A16" t="s">
        <v>81</v>
      </c>
      <c r="B16" s="6">
        <v>0.57999999999999996</v>
      </c>
      <c r="C16" s="1" t="s">
        <v>71</v>
      </c>
    </row>
    <row r="17" spans="1:3" ht="19" customHeight="1" x14ac:dyDescent="0.3">
      <c r="A17" t="s">
        <v>82</v>
      </c>
      <c r="B17" s="6">
        <v>0.33</v>
      </c>
      <c r="C17" s="1" t="s">
        <v>71</v>
      </c>
    </row>
    <row r="18" spans="1:3" ht="19" customHeight="1" x14ac:dyDescent="0.3">
      <c r="A18" t="s">
        <v>83</v>
      </c>
      <c r="B18" s="6">
        <v>3.4</v>
      </c>
      <c r="C18" s="1" t="s">
        <v>71</v>
      </c>
    </row>
    <row r="19" spans="1:3" ht="19" customHeight="1" x14ac:dyDescent="0.3">
      <c r="A19" t="s">
        <v>84</v>
      </c>
      <c r="B19" s="6">
        <v>12000</v>
      </c>
      <c r="C19" s="1" t="s">
        <v>71</v>
      </c>
    </row>
    <row r="20" spans="1:3" ht="19" customHeight="1" x14ac:dyDescent="0.3">
      <c r="A20" t="s">
        <v>85</v>
      </c>
      <c r="B20" s="6">
        <v>480</v>
      </c>
      <c r="C20" s="1" t="s">
        <v>71</v>
      </c>
    </row>
    <row r="21" spans="1:3" ht="19" customHeight="1" x14ac:dyDescent="0.3">
      <c r="A21" t="s">
        <v>86</v>
      </c>
      <c r="B21" s="6">
        <v>2000000</v>
      </c>
      <c r="C21" s="1" t="s">
        <v>71</v>
      </c>
    </row>
    <row r="22" spans="1:3" ht="19" customHeight="1" x14ac:dyDescent="0.3">
      <c r="A22" t="s">
        <v>87</v>
      </c>
      <c r="B22" s="6">
        <v>0.48</v>
      </c>
      <c r="C22" s="1" t="s">
        <v>71</v>
      </c>
    </row>
  </sheetData>
  <sheetProtection sheet="1" objects="1" scenarios="1" sort="0" autoFilter="0"/>
  <dataValidations count="1">
    <dataValidation type="decimal" operator="greaterThan" allowBlank="1" showInputMessage="1" showErrorMessage="1" errorTitle="Invalid input" error="Enter a positive numeric value." promptTitle="Positive SI value" sqref="B6:B22" xr:uid="{00000000-0002-0000-1100-000000000000}">
      <formula1>0</formula1>
    </dataValidation>
  </dataValidations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D5DDE5"/>
    <pageSetUpPr fitToPage="1"/>
  </sheetPr>
  <dimension ref="A2:AE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5" ht="19" customHeight="1" x14ac:dyDescent="0.35">
      <c r="A2" s="3" t="s">
        <v>19</v>
      </c>
    </row>
    <row r="3" spans="1:5" ht="19" customHeight="1" x14ac:dyDescent="0.3">
      <c r="A3" s="4" t="s">
        <v>1</v>
      </c>
    </row>
    <row r="5" spans="1:5" ht="34.049999999999997" customHeight="1" x14ac:dyDescent="0.3">
      <c r="A5" s="5" t="s">
        <v>194</v>
      </c>
      <c r="B5" s="5" t="s">
        <v>195</v>
      </c>
      <c r="C5" s="5" t="s">
        <v>162</v>
      </c>
      <c r="D5" s="5" t="s">
        <v>196</v>
      </c>
      <c r="E5" s="5" t="s">
        <v>197</v>
      </c>
    </row>
    <row r="6" spans="1:5" ht="19" customHeight="1" x14ac:dyDescent="0.3">
      <c r="A6">
        <v>1</v>
      </c>
      <c r="B6" s="1" t="s">
        <v>41</v>
      </c>
      <c r="C6" s="1">
        <v>2940</v>
      </c>
      <c r="D6" s="1" t="s">
        <v>198</v>
      </c>
      <c r="E6" s="1" t="b">
        <v>1</v>
      </c>
    </row>
    <row r="7" spans="1:5" ht="19" customHeight="1" x14ac:dyDescent="0.3">
      <c r="A7">
        <v>2</v>
      </c>
      <c r="B7" s="1" t="s">
        <v>42</v>
      </c>
      <c r="C7" s="1">
        <v>2360</v>
      </c>
      <c r="D7" s="1" t="s">
        <v>198</v>
      </c>
      <c r="E7" s="1" t="b">
        <v>1</v>
      </c>
    </row>
    <row r="8" spans="1:5" ht="19" customHeight="1" x14ac:dyDescent="0.3">
      <c r="A8">
        <v>3</v>
      </c>
      <c r="B8" s="1" t="s">
        <v>43</v>
      </c>
      <c r="C8" s="1">
        <v>2060</v>
      </c>
      <c r="D8" s="1" t="s">
        <v>198</v>
      </c>
      <c r="E8" s="1" t="b">
        <v>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D5DDE5"/>
    <pageSetUpPr fitToPage="1"/>
  </sheetPr>
  <dimension ref="A2:AE1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5" ht="19" customHeight="1" x14ac:dyDescent="0.35">
      <c r="A2" s="3" t="s">
        <v>20</v>
      </c>
    </row>
    <row r="3" spans="1:5" ht="19" customHeight="1" x14ac:dyDescent="0.3">
      <c r="A3" s="4" t="s">
        <v>1</v>
      </c>
    </row>
    <row r="5" spans="1:5" ht="34.049999999999997" customHeight="1" x14ac:dyDescent="0.3">
      <c r="A5" s="5" t="s">
        <v>137</v>
      </c>
      <c r="B5" s="5" t="s">
        <v>194</v>
      </c>
      <c r="C5" s="5" t="s">
        <v>199</v>
      </c>
      <c r="D5" s="5" t="s">
        <v>196</v>
      </c>
      <c r="E5" s="5" t="s">
        <v>197</v>
      </c>
    </row>
    <row r="6" spans="1:5" ht="19" customHeight="1" x14ac:dyDescent="0.3">
      <c r="A6">
        <v>11</v>
      </c>
      <c r="B6" s="1">
        <v>1</v>
      </c>
      <c r="C6" s="1" t="s">
        <v>200</v>
      </c>
      <c r="D6" s="1" t="s">
        <v>198</v>
      </c>
      <c r="E6" s="1" t="b">
        <v>1</v>
      </c>
    </row>
    <row r="7" spans="1:5" ht="19" customHeight="1" x14ac:dyDescent="0.3">
      <c r="A7">
        <v>12</v>
      </c>
      <c r="B7" s="1">
        <v>1</v>
      </c>
      <c r="C7" s="1" t="s">
        <v>201</v>
      </c>
      <c r="D7" s="1" t="s">
        <v>198</v>
      </c>
      <c r="E7" s="1" t="b">
        <v>1</v>
      </c>
    </row>
    <row r="8" spans="1:5" ht="19" customHeight="1" x14ac:dyDescent="0.3">
      <c r="A8">
        <v>13</v>
      </c>
      <c r="B8" s="1">
        <v>1</v>
      </c>
      <c r="C8" s="1" t="s">
        <v>202</v>
      </c>
      <c r="D8" s="1" t="s">
        <v>198</v>
      </c>
      <c r="E8" s="1" t="b">
        <v>1</v>
      </c>
    </row>
    <row r="9" spans="1:5" ht="19" customHeight="1" x14ac:dyDescent="0.3">
      <c r="A9">
        <v>21</v>
      </c>
      <c r="B9" s="1">
        <v>2</v>
      </c>
      <c r="C9" s="1" t="s">
        <v>200</v>
      </c>
      <c r="D9" s="1" t="s">
        <v>198</v>
      </c>
      <c r="E9" s="1" t="b">
        <v>1</v>
      </c>
    </row>
    <row r="10" spans="1:5" ht="19" customHeight="1" x14ac:dyDescent="0.3">
      <c r="A10">
        <v>22</v>
      </c>
      <c r="B10" s="1">
        <v>2</v>
      </c>
      <c r="C10" s="1" t="s">
        <v>201</v>
      </c>
      <c r="D10" s="1" t="s">
        <v>198</v>
      </c>
      <c r="E10" s="1" t="b">
        <v>1</v>
      </c>
    </row>
    <row r="11" spans="1:5" ht="19" customHeight="1" x14ac:dyDescent="0.3">
      <c r="A11">
        <v>23</v>
      </c>
      <c r="B11" s="1">
        <v>2</v>
      </c>
      <c r="C11" s="1" t="s">
        <v>202</v>
      </c>
      <c r="D11" s="1" t="s">
        <v>198</v>
      </c>
      <c r="E11" s="1" t="b">
        <v>1</v>
      </c>
    </row>
    <row r="12" spans="1:5" ht="19" customHeight="1" x14ac:dyDescent="0.3">
      <c r="A12">
        <v>31</v>
      </c>
      <c r="B12" s="1">
        <v>3</v>
      </c>
      <c r="C12" s="1" t="s">
        <v>200</v>
      </c>
      <c r="D12" s="1" t="s">
        <v>198</v>
      </c>
      <c r="E12" s="1" t="b">
        <v>1</v>
      </c>
    </row>
    <row r="13" spans="1:5" ht="19" customHeight="1" x14ac:dyDescent="0.3">
      <c r="A13">
        <v>32</v>
      </c>
      <c r="B13" s="1">
        <v>3</v>
      </c>
      <c r="C13" s="1" t="s">
        <v>201</v>
      </c>
      <c r="D13" s="1" t="s">
        <v>198</v>
      </c>
      <c r="E13" s="1" t="b">
        <v>1</v>
      </c>
    </row>
    <row r="14" spans="1:5" ht="19" customHeight="1" x14ac:dyDescent="0.3">
      <c r="A14">
        <v>33</v>
      </c>
      <c r="B14" s="1">
        <v>3</v>
      </c>
      <c r="C14" s="1" t="s">
        <v>202</v>
      </c>
      <c r="D14" s="1" t="s">
        <v>198</v>
      </c>
      <c r="E14" s="1" t="b">
        <v>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D5DDE5"/>
    <pageSetUpPr fitToPage="1"/>
  </sheetPr>
  <dimension ref="A2:AE1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7" ht="19" customHeight="1" x14ac:dyDescent="0.35">
      <c r="A2" s="3" t="s">
        <v>21</v>
      </c>
    </row>
    <row r="3" spans="1:7" ht="19" customHeight="1" x14ac:dyDescent="0.3">
      <c r="A3" s="4" t="s">
        <v>1</v>
      </c>
    </row>
    <row r="5" spans="1:7" ht="34.049999999999997" customHeight="1" x14ac:dyDescent="0.3">
      <c r="A5" s="5" t="s">
        <v>203</v>
      </c>
      <c r="B5" s="5" t="s">
        <v>137</v>
      </c>
      <c r="C5" s="5" t="s">
        <v>204</v>
      </c>
      <c r="D5" s="5" t="s">
        <v>205</v>
      </c>
      <c r="E5" s="5" t="s">
        <v>206</v>
      </c>
      <c r="F5" s="5" t="s">
        <v>196</v>
      </c>
      <c r="G5" s="5" t="s">
        <v>197</v>
      </c>
    </row>
    <row r="6" spans="1:7" ht="19" customHeight="1" x14ac:dyDescent="0.3">
      <c r="A6">
        <v>102</v>
      </c>
      <c r="B6" s="1">
        <v>11</v>
      </c>
      <c r="C6" s="1">
        <v>75</v>
      </c>
      <c r="D6" s="1">
        <v>0.02</v>
      </c>
      <c r="E6" s="1">
        <v>12</v>
      </c>
      <c r="F6" s="1" t="s">
        <v>198</v>
      </c>
      <c r="G6" s="1" t="b">
        <v>1</v>
      </c>
    </row>
    <row r="7" spans="1:7" ht="19" customHeight="1" x14ac:dyDescent="0.3">
      <c r="A7">
        <v>104</v>
      </c>
      <c r="B7" s="1">
        <v>12</v>
      </c>
      <c r="C7" s="1">
        <v>40</v>
      </c>
      <c r="D7" s="1">
        <v>-0.01</v>
      </c>
      <c r="E7" s="1">
        <v>12</v>
      </c>
      <c r="F7" s="1" t="s">
        <v>198</v>
      </c>
      <c r="G7" s="1" t="b">
        <v>1</v>
      </c>
    </row>
    <row r="8" spans="1:7" ht="19" customHeight="1" x14ac:dyDescent="0.3">
      <c r="A8">
        <v>106</v>
      </c>
      <c r="B8" s="1">
        <v>13</v>
      </c>
      <c r="C8" s="1">
        <v>110</v>
      </c>
      <c r="D8" s="1">
        <v>0</v>
      </c>
      <c r="E8" s="1">
        <v>12</v>
      </c>
      <c r="F8" s="1" t="s">
        <v>198</v>
      </c>
      <c r="G8" s="1" t="b">
        <v>1</v>
      </c>
    </row>
    <row r="9" spans="1:7" ht="19" customHeight="1" x14ac:dyDescent="0.3">
      <c r="A9">
        <v>202</v>
      </c>
      <c r="B9" s="1">
        <v>21</v>
      </c>
      <c r="C9" s="1">
        <v>95</v>
      </c>
      <c r="D9" s="1">
        <v>0.02</v>
      </c>
      <c r="E9" s="1">
        <v>12</v>
      </c>
      <c r="F9" s="1" t="s">
        <v>198</v>
      </c>
      <c r="G9" s="1" t="b">
        <v>1</v>
      </c>
    </row>
    <row r="10" spans="1:7" ht="19" customHeight="1" x14ac:dyDescent="0.3">
      <c r="A10">
        <v>204</v>
      </c>
      <c r="B10" s="1">
        <v>22</v>
      </c>
      <c r="C10" s="1">
        <v>50</v>
      </c>
      <c r="D10" s="1">
        <v>-0.01</v>
      </c>
      <c r="E10" s="1">
        <v>12</v>
      </c>
      <c r="F10" s="1" t="s">
        <v>198</v>
      </c>
      <c r="G10" s="1" t="b">
        <v>1</v>
      </c>
    </row>
    <row r="11" spans="1:7" ht="19" customHeight="1" x14ac:dyDescent="0.3">
      <c r="A11">
        <v>206</v>
      </c>
      <c r="B11" s="1">
        <v>23</v>
      </c>
      <c r="C11" s="1">
        <v>150</v>
      </c>
      <c r="D11" s="1">
        <v>0</v>
      </c>
      <c r="E11" s="1">
        <v>12</v>
      </c>
      <c r="F11" s="1" t="s">
        <v>198</v>
      </c>
      <c r="G11" s="1" t="b">
        <v>1</v>
      </c>
    </row>
    <row r="12" spans="1:7" ht="19" customHeight="1" x14ac:dyDescent="0.3">
      <c r="A12">
        <v>302</v>
      </c>
      <c r="B12" s="1">
        <v>31</v>
      </c>
      <c r="C12" s="1">
        <v>160</v>
      </c>
      <c r="D12" s="1">
        <v>0.02</v>
      </c>
      <c r="E12" s="1">
        <v>12</v>
      </c>
      <c r="F12" s="1" t="s">
        <v>198</v>
      </c>
      <c r="G12" s="1" t="b">
        <v>1</v>
      </c>
    </row>
    <row r="13" spans="1:7" ht="19" customHeight="1" x14ac:dyDescent="0.3">
      <c r="A13">
        <v>304</v>
      </c>
      <c r="B13" s="1">
        <v>32</v>
      </c>
      <c r="C13" s="1">
        <v>110</v>
      </c>
      <c r="D13" s="1">
        <v>-0.01</v>
      </c>
      <c r="E13" s="1">
        <v>12</v>
      </c>
      <c r="F13" s="1" t="s">
        <v>198</v>
      </c>
      <c r="G13" s="1" t="b">
        <v>1</v>
      </c>
    </row>
    <row r="14" spans="1:7" ht="19" customHeight="1" x14ac:dyDescent="0.3">
      <c r="A14">
        <v>306</v>
      </c>
      <c r="B14" s="1">
        <v>33</v>
      </c>
      <c r="C14" s="1">
        <v>210</v>
      </c>
      <c r="D14" s="1">
        <v>0</v>
      </c>
      <c r="E14" s="1">
        <v>12</v>
      </c>
      <c r="F14" s="1" t="s">
        <v>198</v>
      </c>
      <c r="G14" s="1" t="b">
        <v>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D5DDE5"/>
    <pageSetUpPr fitToPage="1"/>
  </sheetPr>
  <dimension ref="A2:AE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9" ht="19" customHeight="1" x14ac:dyDescent="0.35">
      <c r="A2" s="3" t="s">
        <v>22</v>
      </c>
    </row>
    <row r="3" spans="1:9" ht="19" customHeight="1" x14ac:dyDescent="0.3">
      <c r="A3" s="4" t="s">
        <v>1</v>
      </c>
    </row>
    <row r="5" spans="1:9" ht="34.049999999999997" customHeight="1" x14ac:dyDescent="0.3">
      <c r="A5" s="5" t="s">
        <v>207</v>
      </c>
      <c r="B5" s="5" t="s">
        <v>208</v>
      </c>
      <c r="C5" s="5" t="s">
        <v>209</v>
      </c>
      <c r="D5" s="5" t="s">
        <v>210</v>
      </c>
      <c r="E5" s="5" t="s">
        <v>211</v>
      </c>
      <c r="F5" s="5" t="s">
        <v>212</v>
      </c>
      <c r="G5" s="5" t="s">
        <v>213</v>
      </c>
      <c r="H5" s="5" t="s">
        <v>196</v>
      </c>
      <c r="I5" s="5" t="s">
        <v>197</v>
      </c>
    </row>
    <row r="6" spans="1:9" ht="19" customHeight="1" x14ac:dyDescent="0.3">
      <c r="A6">
        <v>1</v>
      </c>
      <c r="B6" s="1" t="s">
        <v>214</v>
      </c>
      <c r="C6" s="1">
        <v>1.68</v>
      </c>
      <c r="D6" s="1">
        <v>3.0000000000000001E-6</v>
      </c>
      <c r="E6" s="1">
        <v>90</v>
      </c>
      <c r="F6" s="1">
        <v>0.09</v>
      </c>
      <c r="G6" s="1">
        <v>2500</v>
      </c>
      <c r="H6" s="1" t="s">
        <v>198</v>
      </c>
      <c r="I6" s="1" t="b">
        <v>1</v>
      </c>
    </row>
    <row r="7" spans="1:9" ht="19" customHeight="1" x14ac:dyDescent="0.3">
      <c r="A7">
        <v>2</v>
      </c>
      <c r="B7" s="1" t="s">
        <v>215</v>
      </c>
      <c r="C7" s="1">
        <v>1.6</v>
      </c>
      <c r="D7" s="1">
        <v>1.9999999999999999E-6</v>
      </c>
      <c r="E7" s="1">
        <v>90</v>
      </c>
      <c r="F7" s="1">
        <v>0.09</v>
      </c>
      <c r="G7" s="1">
        <v>2500</v>
      </c>
      <c r="H7" s="1" t="s">
        <v>198</v>
      </c>
      <c r="I7" s="1" t="b">
        <v>1</v>
      </c>
    </row>
    <row r="8" spans="1:9" ht="19" customHeight="1" x14ac:dyDescent="0.3">
      <c r="A8">
        <v>3</v>
      </c>
      <c r="B8" s="1" t="s">
        <v>216</v>
      </c>
      <c r="C8" s="1">
        <v>1.52</v>
      </c>
      <c r="D8" s="1">
        <v>1.3999999999999999E-6</v>
      </c>
      <c r="E8" s="1">
        <v>90</v>
      </c>
      <c r="F8" s="1">
        <v>0.09</v>
      </c>
      <c r="G8" s="1">
        <v>2500</v>
      </c>
      <c r="H8" s="1" t="s">
        <v>198</v>
      </c>
      <c r="I8" s="1" t="b">
        <v>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D5DDE5"/>
    <pageSetUpPr fitToPage="1"/>
  </sheetPr>
  <dimension ref="A2:AE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12" ht="19" customHeight="1" x14ac:dyDescent="0.35">
      <c r="A2" s="3" t="s">
        <v>23</v>
      </c>
    </row>
    <row r="3" spans="1:12" ht="19" customHeight="1" x14ac:dyDescent="0.3">
      <c r="A3" s="4" t="s">
        <v>1</v>
      </c>
    </row>
    <row r="5" spans="1:12" ht="34.049999999999997" customHeight="1" x14ac:dyDescent="0.3">
      <c r="A5" s="5" t="s">
        <v>217</v>
      </c>
      <c r="B5" s="5" t="s">
        <v>208</v>
      </c>
      <c r="C5" s="5" t="s">
        <v>218</v>
      </c>
      <c r="D5" s="5" t="s">
        <v>219</v>
      </c>
      <c r="E5" s="5" t="s">
        <v>220</v>
      </c>
      <c r="F5" s="5" t="s">
        <v>221</v>
      </c>
      <c r="G5" s="5" t="s">
        <v>222</v>
      </c>
      <c r="H5" s="5" t="s">
        <v>223</v>
      </c>
      <c r="I5" s="5" t="s">
        <v>224</v>
      </c>
      <c r="J5" s="5" t="s">
        <v>225</v>
      </c>
      <c r="K5" s="5" t="s">
        <v>196</v>
      </c>
      <c r="L5" s="5" t="s">
        <v>197</v>
      </c>
    </row>
    <row r="6" spans="1:12" ht="19" customHeight="1" x14ac:dyDescent="0.3">
      <c r="A6">
        <v>1</v>
      </c>
      <c r="B6" s="1" t="s">
        <v>226</v>
      </c>
      <c r="C6" s="1">
        <v>101325</v>
      </c>
      <c r="D6" s="1">
        <v>288.14999999999998</v>
      </c>
      <c r="E6" s="1">
        <v>1</v>
      </c>
      <c r="F6" s="1">
        <v>0</v>
      </c>
      <c r="G6" s="1">
        <v>0</v>
      </c>
      <c r="H6" s="1">
        <v>1</v>
      </c>
      <c r="I6" s="1">
        <v>1</v>
      </c>
      <c r="J6" s="1">
        <v>0</v>
      </c>
      <c r="K6" s="1" t="s">
        <v>198</v>
      </c>
      <c r="L6" s="1" t="b">
        <v>1</v>
      </c>
    </row>
    <row r="7" spans="1:12" ht="19" customHeight="1" x14ac:dyDescent="0.3">
      <c r="A7">
        <v>2</v>
      </c>
      <c r="B7" s="1" t="s">
        <v>227</v>
      </c>
      <c r="C7" s="1">
        <v>97000</v>
      </c>
      <c r="D7" s="1">
        <v>310.14999999999998</v>
      </c>
      <c r="E7" s="1">
        <v>0.97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 t="s">
        <v>198</v>
      </c>
      <c r="L7" s="1" t="b">
        <v>1</v>
      </c>
    </row>
    <row r="8" spans="1:12" ht="19" customHeight="1" x14ac:dyDescent="0.3">
      <c r="A8">
        <v>3</v>
      </c>
      <c r="B8" s="1" t="s">
        <v>228</v>
      </c>
      <c r="C8" s="1">
        <v>100500</v>
      </c>
      <c r="D8" s="1">
        <v>285.14999999999998</v>
      </c>
      <c r="E8" s="1">
        <v>0.68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 t="s">
        <v>198</v>
      </c>
      <c r="L8" s="1" t="b">
        <v>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5DDE5"/>
    <pageSetUpPr fitToPage="1"/>
  </sheetPr>
  <dimension ref="A2:AE324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14" ht="19" customHeight="1" x14ac:dyDescent="0.35">
      <c r="A2" s="3" t="s">
        <v>24</v>
      </c>
    </row>
    <row r="3" spans="1:14" ht="19" customHeight="1" x14ac:dyDescent="0.3">
      <c r="A3" s="4" t="s">
        <v>1</v>
      </c>
    </row>
    <row r="5" spans="1:14" ht="34.049999999999997" customHeight="1" x14ac:dyDescent="0.3">
      <c r="A5" s="5" t="s">
        <v>229</v>
      </c>
      <c r="B5" s="5" t="s">
        <v>44</v>
      </c>
      <c r="C5" s="5" t="s">
        <v>112</v>
      </c>
      <c r="D5" s="5" t="s">
        <v>48</v>
      </c>
      <c r="E5" s="5" t="s">
        <v>49</v>
      </c>
      <c r="F5" s="5" t="s">
        <v>230</v>
      </c>
      <c r="G5" s="5" t="s">
        <v>148</v>
      </c>
      <c r="H5" s="5" t="s">
        <v>231</v>
      </c>
      <c r="I5" s="5" t="s">
        <v>232</v>
      </c>
      <c r="J5" s="5" t="s">
        <v>233</v>
      </c>
      <c r="K5" s="5" t="s">
        <v>114</v>
      </c>
      <c r="L5" s="5" t="s">
        <v>115</v>
      </c>
      <c r="M5" s="5" t="s">
        <v>196</v>
      </c>
      <c r="N5" s="5" t="s">
        <v>197</v>
      </c>
    </row>
    <row r="6" spans="1:14" ht="19" customHeight="1" x14ac:dyDescent="0.3">
      <c r="A6">
        <v>1</v>
      </c>
      <c r="B6" s="1">
        <v>1</v>
      </c>
      <c r="C6" s="1">
        <v>0</v>
      </c>
      <c r="D6" s="1">
        <v>2.5000000000000001E-2</v>
      </c>
      <c r="E6" s="1">
        <v>0.04</v>
      </c>
      <c r="F6" s="1">
        <v>-5</v>
      </c>
      <c r="G6" s="1">
        <v>0</v>
      </c>
      <c r="H6" s="1">
        <v>1.39409979229</v>
      </c>
      <c r="I6" s="1">
        <v>1.8503784462799999</v>
      </c>
      <c r="J6" s="1">
        <v>0.76279072581100005</v>
      </c>
      <c r="K6" s="1">
        <v>0</v>
      </c>
      <c r="L6" s="1">
        <v>0</v>
      </c>
      <c r="M6" s="1" t="s">
        <v>198</v>
      </c>
      <c r="N6" s="1" t="b">
        <v>1</v>
      </c>
    </row>
    <row r="7" spans="1:14" ht="19" customHeight="1" x14ac:dyDescent="0.3">
      <c r="A7">
        <v>2</v>
      </c>
      <c r="B7" s="1">
        <v>1</v>
      </c>
      <c r="C7" s="1">
        <v>0</v>
      </c>
      <c r="D7" s="1">
        <v>2.5000000000000001E-2</v>
      </c>
      <c r="E7" s="1">
        <v>0.04</v>
      </c>
      <c r="F7" s="1">
        <v>-5</v>
      </c>
      <c r="G7" s="1">
        <v>1</v>
      </c>
      <c r="H7" s="1">
        <v>1.39409979229</v>
      </c>
      <c r="I7" s="1">
        <v>1.38778383471</v>
      </c>
      <c r="J7" s="1">
        <v>0.62548839516499999</v>
      </c>
      <c r="K7" s="1">
        <v>0</v>
      </c>
      <c r="L7" s="1">
        <v>0</v>
      </c>
      <c r="M7" s="1" t="s">
        <v>198</v>
      </c>
      <c r="N7" s="1" t="b">
        <v>1</v>
      </c>
    </row>
    <row r="8" spans="1:14" ht="19" customHeight="1" x14ac:dyDescent="0.3">
      <c r="A8">
        <v>3</v>
      </c>
      <c r="B8" s="1">
        <v>1</v>
      </c>
      <c r="C8" s="1">
        <v>0</v>
      </c>
      <c r="D8" s="1">
        <v>2.5000000000000001E-2</v>
      </c>
      <c r="E8" s="1">
        <v>0.04</v>
      </c>
      <c r="F8" s="1">
        <v>0</v>
      </c>
      <c r="G8" s="1">
        <v>0</v>
      </c>
      <c r="H8" s="1">
        <v>1.42582258069</v>
      </c>
      <c r="I8" s="1">
        <v>1.89248387104</v>
      </c>
      <c r="J8" s="1">
        <v>0.75529072581099999</v>
      </c>
      <c r="K8" s="1">
        <v>0</v>
      </c>
      <c r="L8" s="1">
        <v>0</v>
      </c>
      <c r="M8" s="1" t="s">
        <v>198</v>
      </c>
      <c r="N8" s="1" t="b">
        <v>1</v>
      </c>
    </row>
    <row r="9" spans="1:14" ht="19" customHeight="1" x14ac:dyDescent="0.3">
      <c r="A9">
        <v>4</v>
      </c>
      <c r="B9" s="1">
        <v>1</v>
      </c>
      <c r="C9" s="1">
        <v>0</v>
      </c>
      <c r="D9" s="1">
        <v>2.5000000000000001E-2</v>
      </c>
      <c r="E9" s="1">
        <v>0.04</v>
      </c>
      <c r="F9" s="1">
        <v>0</v>
      </c>
      <c r="G9" s="1">
        <v>1</v>
      </c>
      <c r="H9" s="1">
        <v>1.42582258069</v>
      </c>
      <c r="I9" s="1">
        <v>1.4193629032799999</v>
      </c>
      <c r="J9" s="1">
        <v>0.619338395165</v>
      </c>
      <c r="K9" s="1">
        <v>0</v>
      </c>
      <c r="L9" s="1">
        <v>0</v>
      </c>
      <c r="M9" s="1" t="s">
        <v>198</v>
      </c>
      <c r="N9" s="1" t="b">
        <v>1</v>
      </c>
    </row>
    <row r="10" spans="1:14" ht="19" customHeight="1" x14ac:dyDescent="0.3">
      <c r="A10">
        <v>5</v>
      </c>
      <c r="B10" s="1">
        <v>1</v>
      </c>
      <c r="C10" s="1">
        <v>0</v>
      </c>
      <c r="D10" s="1">
        <v>2.5000000000000001E-2</v>
      </c>
      <c r="E10" s="1">
        <v>0.04</v>
      </c>
      <c r="F10" s="1">
        <v>5</v>
      </c>
      <c r="G10" s="1">
        <v>0</v>
      </c>
      <c r="H10" s="1">
        <v>1.39409979229</v>
      </c>
      <c r="I10" s="1">
        <v>1.8503784462799999</v>
      </c>
      <c r="J10" s="1">
        <v>0.76279072581100005</v>
      </c>
      <c r="K10" s="1">
        <v>0</v>
      </c>
      <c r="L10" s="1">
        <v>0</v>
      </c>
      <c r="M10" s="1" t="s">
        <v>198</v>
      </c>
      <c r="N10" s="1" t="b">
        <v>1</v>
      </c>
    </row>
    <row r="11" spans="1:14" ht="19" customHeight="1" x14ac:dyDescent="0.3">
      <c r="A11">
        <v>6</v>
      </c>
      <c r="B11" s="1">
        <v>1</v>
      </c>
      <c r="C11" s="1">
        <v>0</v>
      </c>
      <c r="D11" s="1">
        <v>2.5000000000000001E-2</v>
      </c>
      <c r="E11" s="1">
        <v>0.04</v>
      </c>
      <c r="F11" s="1">
        <v>5</v>
      </c>
      <c r="G11" s="1">
        <v>1</v>
      </c>
      <c r="H11" s="1">
        <v>1.39409979229</v>
      </c>
      <c r="I11" s="1">
        <v>1.38778383471</v>
      </c>
      <c r="J11" s="1">
        <v>0.62548839516499999</v>
      </c>
      <c r="K11" s="1">
        <v>0</v>
      </c>
      <c r="L11" s="1">
        <v>0</v>
      </c>
      <c r="M11" s="1" t="s">
        <v>198</v>
      </c>
      <c r="N11" s="1" t="b">
        <v>1</v>
      </c>
    </row>
    <row r="12" spans="1:14" ht="19" customHeight="1" x14ac:dyDescent="0.3">
      <c r="A12">
        <v>7</v>
      </c>
      <c r="B12" s="1">
        <v>1</v>
      </c>
      <c r="C12" s="1">
        <v>0</v>
      </c>
      <c r="D12" s="1">
        <v>2.5000000000000001E-2</v>
      </c>
      <c r="E12" s="1">
        <v>0.06</v>
      </c>
      <c r="F12" s="1">
        <v>-5</v>
      </c>
      <c r="G12" s="1">
        <v>0</v>
      </c>
      <c r="H12" s="1">
        <v>1.4347148059299999</v>
      </c>
      <c r="I12" s="1">
        <v>1.9113009667300001</v>
      </c>
      <c r="J12" s="1">
        <v>0.76642540665600001</v>
      </c>
      <c r="K12" s="1">
        <v>0</v>
      </c>
      <c r="L12" s="1">
        <v>0</v>
      </c>
      <c r="M12" s="1" t="s">
        <v>198</v>
      </c>
      <c r="N12" s="1" t="b">
        <v>1</v>
      </c>
    </row>
    <row r="13" spans="1:14" ht="19" customHeight="1" x14ac:dyDescent="0.3">
      <c r="A13">
        <v>8</v>
      </c>
      <c r="B13" s="1">
        <v>1</v>
      </c>
      <c r="C13" s="1">
        <v>0</v>
      </c>
      <c r="D13" s="1">
        <v>2.5000000000000001E-2</v>
      </c>
      <c r="E13" s="1">
        <v>0.06</v>
      </c>
      <c r="F13" s="1">
        <v>-5</v>
      </c>
      <c r="G13" s="1">
        <v>1</v>
      </c>
      <c r="H13" s="1">
        <v>1.4347148059299999</v>
      </c>
      <c r="I13" s="1">
        <v>1.4334757250500001</v>
      </c>
      <c r="J13" s="1">
        <v>0.62846883345799998</v>
      </c>
      <c r="K13" s="1">
        <v>0</v>
      </c>
      <c r="L13" s="1">
        <v>0</v>
      </c>
      <c r="M13" s="1" t="s">
        <v>198</v>
      </c>
      <c r="N13" s="1" t="b">
        <v>1</v>
      </c>
    </row>
    <row r="14" spans="1:14" ht="19" customHeight="1" x14ac:dyDescent="0.3">
      <c r="A14">
        <v>9</v>
      </c>
      <c r="B14" s="1">
        <v>1</v>
      </c>
      <c r="C14" s="1">
        <v>0</v>
      </c>
      <c r="D14" s="1">
        <v>2.5000000000000001E-2</v>
      </c>
      <c r="E14" s="1">
        <v>0.06</v>
      </c>
      <c r="F14" s="1">
        <v>0</v>
      </c>
      <c r="G14" s="1">
        <v>0</v>
      </c>
      <c r="H14" s="1">
        <v>1.46736179035</v>
      </c>
      <c r="I14" s="1">
        <v>1.95479268553</v>
      </c>
      <c r="J14" s="1">
        <v>0.75892540665599995</v>
      </c>
      <c r="K14" s="1">
        <v>0</v>
      </c>
      <c r="L14" s="1">
        <v>0</v>
      </c>
      <c r="M14" s="1" t="s">
        <v>198</v>
      </c>
      <c r="N14" s="1" t="b">
        <v>1</v>
      </c>
    </row>
    <row r="15" spans="1:14" ht="19" customHeight="1" x14ac:dyDescent="0.3">
      <c r="A15">
        <v>10</v>
      </c>
      <c r="B15" s="1">
        <v>1</v>
      </c>
      <c r="C15" s="1">
        <v>0</v>
      </c>
      <c r="D15" s="1">
        <v>2.5000000000000001E-2</v>
      </c>
      <c r="E15" s="1">
        <v>0.06</v>
      </c>
      <c r="F15" s="1">
        <v>0</v>
      </c>
      <c r="G15" s="1">
        <v>1</v>
      </c>
      <c r="H15" s="1">
        <v>1.46736179035</v>
      </c>
      <c r="I15" s="1">
        <v>1.4660945141399999</v>
      </c>
      <c r="J15" s="1">
        <v>0.62231883345799999</v>
      </c>
      <c r="K15" s="1">
        <v>0</v>
      </c>
      <c r="L15" s="1">
        <v>0</v>
      </c>
      <c r="M15" s="1" t="s">
        <v>198</v>
      </c>
      <c r="N15" s="1" t="b">
        <v>1</v>
      </c>
    </row>
    <row r="16" spans="1:14" ht="19" customHeight="1" x14ac:dyDescent="0.3">
      <c r="A16">
        <v>11</v>
      </c>
      <c r="B16" s="1">
        <v>1</v>
      </c>
      <c r="C16" s="1">
        <v>0</v>
      </c>
      <c r="D16" s="1">
        <v>2.5000000000000001E-2</v>
      </c>
      <c r="E16" s="1">
        <v>0.06</v>
      </c>
      <c r="F16" s="1">
        <v>5</v>
      </c>
      <c r="G16" s="1">
        <v>0</v>
      </c>
      <c r="H16" s="1">
        <v>1.4347148059299999</v>
      </c>
      <c r="I16" s="1">
        <v>1.9113009667300001</v>
      </c>
      <c r="J16" s="1">
        <v>0.76642540665600001</v>
      </c>
      <c r="K16" s="1">
        <v>0</v>
      </c>
      <c r="L16" s="1">
        <v>0</v>
      </c>
      <c r="M16" s="1" t="s">
        <v>198</v>
      </c>
      <c r="N16" s="1" t="b">
        <v>1</v>
      </c>
    </row>
    <row r="17" spans="1:14" ht="19" customHeight="1" x14ac:dyDescent="0.3">
      <c r="A17">
        <v>12</v>
      </c>
      <c r="B17" s="1">
        <v>1</v>
      </c>
      <c r="C17" s="1">
        <v>0</v>
      </c>
      <c r="D17" s="1">
        <v>2.5000000000000001E-2</v>
      </c>
      <c r="E17" s="1">
        <v>0.06</v>
      </c>
      <c r="F17" s="1">
        <v>5</v>
      </c>
      <c r="G17" s="1">
        <v>1</v>
      </c>
      <c r="H17" s="1">
        <v>1.4347148059299999</v>
      </c>
      <c r="I17" s="1">
        <v>1.4334757250500001</v>
      </c>
      <c r="J17" s="1">
        <v>0.62846883345799998</v>
      </c>
      <c r="K17" s="1">
        <v>0</v>
      </c>
      <c r="L17" s="1">
        <v>0</v>
      </c>
      <c r="M17" s="1" t="s">
        <v>198</v>
      </c>
      <c r="N17" s="1" t="b">
        <v>1</v>
      </c>
    </row>
    <row r="18" spans="1:14" ht="19" customHeight="1" x14ac:dyDescent="0.3">
      <c r="A18">
        <v>13</v>
      </c>
      <c r="B18" s="1">
        <v>1</v>
      </c>
      <c r="C18" s="1">
        <v>0</v>
      </c>
      <c r="D18" s="1">
        <v>2.5000000000000001E-2</v>
      </c>
      <c r="E18" s="1">
        <v>8.5000000000000006E-2</v>
      </c>
      <c r="F18" s="1">
        <v>-5</v>
      </c>
      <c r="G18" s="1">
        <v>0</v>
      </c>
      <c r="H18" s="1">
        <v>1.33088329698</v>
      </c>
      <c r="I18" s="1">
        <v>1.7555537033099999</v>
      </c>
      <c r="J18" s="1">
        <v>0.75713341428900005</v>
      </c>
      <c r="K18" s="1">
        <v>0</v>
      </c>
      <c r="L18" s="1">
        <v>0</v>
      </c>
      <c r="M18" s="1" t="s">
        <v>198</v>
      </c>
      <c r="N18" s="1" t="b">
        <v>1</v>
      </c>
    </row>
    <row r="19" spans="1:14" ht="19" customHeight="1" x14ac:dyDescent="0.3">
      <c r="A19">
        <v>14</v>
      </c>
      <c r="B19" s="1">
        <v>1</v>
      </c>
      <c r="C19" s="1">
        <v>0</v>
      </c>
      <c r="D19" s="1">
        <v>2.5000000000000001E-2</v>
      </c>
      <c r="E19" s="1">
        <v>8.5000000000000006E-2</v>
      </c>
      <c r="F19" s="1">
        <v>-5</v>
      </c>
      <c r="G19" s="1">
        <v>1</v>
      </c>
      <c r="H19" s="1">
        <v>1.33088329698</v>
      </c>
      <c r="I19" s="1">
        <v>1.3166652774900001</v>
      </c>
      <c r="J19" s="1">
        <v>0.62084939971700004</v>
      </c>
      <c r="K19" s="1">
        <v>0</v>
      </c>
      <c r="L19" s="1">
        <v>0</v>
      </c>
      <c r="M19" s="1" t="s">
        <v>198</v>
      </c>
      <c r="N19" s="1" t="b">
        <v>1</v>
      </c>
    </row>
    <row r="20" spans="1:14" ht="19" customHeight="1" x14ac:dyDescent="0.3">
      <c r="A20">
        <v>15</v>
      </c>
      <c r="B20" s="1">
        <v>1</v>
      </c>
      <c r="C20" s="1">
        <v>0</v>
      </c>
      <c r="D20" s="1">
        <v>2.5000000000000001E-2</v>
      </c>
      <c r="E20" s="1">
        <v>8.5000000000000006E-2</v>
      </c>
      <c r="F20" s="1">
        <v>0</v>
      </c>
      <c r="G20" s="1">
        <v>0</v>
      </c>
      <c r="H20" s="1">
        <v>1.3611675918699999</v>
      </c>
      <c r="I20" s="1">
        <v>1.7955013878099999</v>
      </c>
      <c r="J20" s="1">
        <v>0.74963341428899999</v>
      </c>
      <c r="K20" s="1">
        <v>0</v>
      </c>
      <c r="L20" s="1">
        <v>0</v>
      </c>
      <c r="M20" s="1" t="s">
        <v>198</v>
      </c>
      <c r="N20" s="1" t="b">
        <v>1</v>
      </c>
    </row>
    <row r="21" spans="1:14" ht="19" customHeight="1" x14ac:dyDescent="0.3">
      <c r="A21">
        <v>16</v>
      </c>
      <c r="B21" s="1">
        <v>1</v>
      </c>
      <c r="C21" s="1">
        <v>0</v>
      </c>
      <c r="D21" s="1">
        <v>2.5000000000000001E-2</v>
      </c>
      <c r="E21" s="1">
        <v>8.5000000000000006E-2</v>
      </c>
      <c r="F21" s="1">
        <v>0</v>
      </c>
      <c r="G21" s="1">
        <v>1</v>
      </c>
      <c r="H21" s="1">
        <v>1.3611675918699999</v>
      </c>
      <c r="I21" s="1">
        <v>1.3466260408599999</v>
      </c>
      <c r="J21" s="1">
        <v>0.61469939971700005</v>
      </c>
      <c r="K21" s="1">
        <v>0</v>
      </c>
      <c r="L21" s="1">
        <v>0</v>
      </c>
      <c r="M21" s="1" t="s">
        <v>198</v>
      </c>
      <c r="N21" s="1" t="b">
        <v>1</v>
      </c>
    </row>
    <row r="22" spans="1:14" ht="19" customHeight="1" x14ac:dyDescent="0.3">
      <c r="A22">
        <v>17</v>
      </c>
      <c r="B22" s="1">
        <v>1</v>
      </c>
      <c r="C22" s="1">
        <v>0</v>
      </c>
      <c r="D22" s="1">
        <v>2.5000000000000001E-2</v>
      </c>
      <c r="E22" s="1">
        <v>8.5000000000000006E-2</v>
      </c>
      <c r="F22" s="1">
        <v>5</v>
      </c>
      <c r="G22" s="1">
        <v>0</v>
      </c>
      <c r="H22" s="1">
        <v>1.33088329698</v>
      </c>
      <c r="I22" s="1">
        <v>1.7555537033099999</v>
      </c>
      <c r="J22" s="1">
        <v>0.75713341428900005</v>
      </c>
      <c r="K22" s="1">
        <v>0</v>
      </c>
      <c r="L22" s="1">
        <v>0</v>
      </c>
      <c r="M22" s="1" t="s">
        <v>198</v>
      </c>
      <c r="N22" s="1" t="b">
        <v>1</v>
      </c>
    </row>
    <row r="23" spans="1:14" ht="19" customHeight="1" x14ac:dyDescent="0.3">
      <c r="A23">
        <v>18</v>
      </c>
      <c r="B23" s="1">
        <v>1</v>
      </c>
      <c r="C23" s="1">
        <v>0</v>
      </c>
      <c r="D23" s="1">
        <v>2.5000000000000001E-2</v>
      </c>
      <c r="E23" s="1">
        <v>8.5000000000000006E-2</v>
      </c>
      <c r="F23" s="1">
        <v>5</v>
      </c>
      <c r="G23" s="1">
        <v>1</v>
      </c>
      <c r="H23" s="1">
        <v>1.33088329698</v>
      </c>
      <c r="I23" s="1">
        <v>1.3166652774900001</v>
      </c>
      <c r="J23" s="1">
        <v>0.62084939971700004</v>
      </c>
      <c r="K23" s="1">
        <v>0</v>
      </c>
      <c r="L23" s="1">
        <v>0</v>
      </c>
      <c r="M23" s="1" t="s">
        <v>198</v>
      </c>
      <c r="N23" s="1" t="b">
        <v>1</v>
      </c>
    </row>
    <row r="24" spans="1:14" ht="19" customHeight="1" x14ac:dyDescent="0.3">
      <c r="A24">
        <v>19</v>
      </c>
      <c r="B24" s="1">
        <v>1</v>
      </c>
      <c r="C24" s="1">
        <v>0</v>
      </c>
      <c r="D24" s="1">
        <v>0.04</v>
      </c>
      <c r="E24" s="1">
        <v>0.04</v>
      </c>
      <c r="F24" s="1">
        <v>-5</v>
      </c>
      <c r="G24" s="1">
        <v>0</v>
      </c>
      <c r="H24" s="1">
        <v>1.4000886057399999</v>
      </c>
      <c r="I24" s="1">
        <v>1.8593616664599999</v>
      </c>
      <c r="J24" s="1">
        <v>0.76332667110800001</v>
      </c>
      <c r="K24" s="1">
        <v>0</v>
      </c>
      <c r="L24" s="1">
        <v>0</v>
      </c>
      <c r="M24" s="1" t="s">
        <v>198</v>
      </c>
      <c r="N24" s="1" t="b">
        <v>1</v>
      </c>
    </row>
    <row r="25" spans="1:14" ht="19" customHeight="1" x14ac:dyDescent="0.3">
      <c r="A25">
        <v>20</v>
      </c>
      <c r="B25" s="1">
        <v>1</v>
      </c>
      <c r="C25" s="1">
        <v>0</v>
      </c>
      <c r="D25" s="1">
        <v>0.04</v>
      </c>
      <c r="E25" s="1">
        <v>0.04</v>
      </c>
      <c r="F25" s="1">
        <v>-5</v>
      </c>
      <c r="G25" s="1">
        <v>1</v>
      </c>
      <c r="H25" s="1">
        <v>1.4000886057399999</v>
      </c>
      <c r="I25" s="1">
        <v>1.3945212498399999</v>
      </c>
      <c r="J25" s="1">
        <v>0.62592787030800001</v>
      </c>
      <c r="K25" s="1">
        <v>0</v>
      </c>
      <c r="L25" s="1">
        <v>0</v>
      </c>
      <c r="M25" s="1" t="s">
        <v>198</v>
      </c>
      <c r="N25" s="1" t="b">
        <v>1</v>
      </c>
    </row>
    <row r="26" spans="1:14" ht="19" customHeight="1" x14ac:dyDescent="0.3">
      <c r="A26">
        <v>21</v>
      </c>
      <c r="B26" s="1">
        <v>1</v>
      </c>
      <c r="C26" s="1">
        <v>0</v>
      </c>
      <c r="D26" s="1">
        <v>0.04</v>
      </c>
      <c r="E26" s="1">
        <v>0.04</v>
      </c>
      <c r="F26" s="1">
        <v>0</v>
      </c>
      <c r="G26" s="1">
        <v>0</v>
      </c>
      <c r="H26" s="1">
        <v>1.4319476698</v>
      </c>
      <c r="I26" s="1">
        <v>1.9016715046999999</v>
      </c>
      <c r="J26" s="1">
        <v>0.75582667110799995</v>
      </c>
      <c r="K26" s="1">
        <v>0</v>
      </c>
      <c r="L26" s="1">
        <v>0</v>
      </c>
      <c r="M26" s="1" t="s">
        <v>198</v>
      </c>
      <c r="N26" s="1" t="b">
        <v>1</v>
      </c>
    </row>
    <row r="27" spans="1:14" ht="19" customHeight="1" x14ac:dyDescent="0.3">
      <c r="A27">
        <v>22</v>
      </c>
      <c r="B27" s="1">
        <v>1</v>
      </c>
      <c r="C27" s="1">
        <v>0</v>
      </c>
      <c r="D27" s="1">
        <v>0.04</v>
      </c>
      <c r="E27" s="1">
        <v>0.04</v>
      </c>
      <c r="F27" s="1">
        <v>0</v>
      </c>
      <c r="G27" s="1">
        <v>1</v>
      </c>
      <c r="H27" s="1">
        <v>1.4319476698</v>
      </c>
      <c r="I27" s="1">
        <v>1.42625362853</v>
      </c>
      <c r="J27" s="1">
        <v>0.61977787030800002</v>
      </c>
      <c r="K27" s="1">
        <v>0</v>
      </c>
      <c r="L27" s="1">
        <v>0</v>
      </c>
      <c r="M27" s="1" t="s">
        <v>198</v>
      </c>
      <c r="N27" s="1" t="b">
        <v>1</v>
      </c>
    </row>
    <row r="28" spans="1:14" ht="19" customHeight="1" x14ac:dyDescent="0.3">
      <c r="A28">
        <v>23</v>
      </c>
      <c r="B28" s="1">
        <v>1</v>
      </c>
      <c r="C28" s="1">
        <v>0</v>
      </c>
      <c r="D28" s="1">
        <v>0.04</v>
      </c>
      <c r="E28" s="1">
        <v>0.04</v>
      </c>
      <c r="F28" s="1">
        <v>5</v>
      </c>
      <c r="G28" s="1">
        <v>0</v>
      </c>
      <c r="H28" s="1">
        <v>1.4000886057399999</v>
      </c>
      <c r="I28" s="1">
        <v>1.8593616664599999</v>
      </c>
      <c r="J28" s="1">
        <v>0.76332667110800001</v>
      </c>
      <c r="K28" s="1">
        <v>0</v>
      </c>
      <c r="L28" s="1">
        <v>0</v>
      </c>
      <c r="M28" s="1" t="s">
        <v>198</v>
      </c>
      <c r="N28" s="1" t="b">
        <v>1</v>
      </c>
    </row>
    <row r="29" spans="1:14" ht="19" customHeight="1" x14ac:dyDescent="0.3">
      <c r="A29">
        <v>24</v>
      </c>
      <c r="B29" s="1">
        <v>1</v>
      </c>
      <c r="C29" s="1">
        <v>0</v>
      </c>
      <c r="D29" s="1">
        <v>0.04</v>
      </c>
      <c r="E29" s="1">
        <v>0.04</v>
      </c>
      <c r="F29" s="1">
        <v>5</v>
      </c>
      <c r="G29" s="1">
        <v>1</v>
      </c>
      <c r="H29" s="1">
        <v>1.4000886057399999</v>
      </c>
      <c r="I29" s="1">
        <v>1.3945212498399999</v>
      </c>
      <c r="J29" s="1">
        <v>0.62592787030800001</v>
      </c>
      <c r="K29" s="1">
        <v>0</v>
      </c>
      <c r="L29" s="1">
        <v>0</v>
      </c>
      <c r="M29" s="1" t="s">
        <v>198</v>
      </c>
      <c r="N29" s="1" t="b">
        <v>1</v>
      </c>
    </row>
    <row r="30" spans="1:14" ht="19" customHeight="1" x14ac:dyDescent="0.3">
      <c r="A30">
        <v>25</v>
      </c>
      <c r="B30" s="1">
        <v>1</v>
      </c>
      <c r="C30" s="1">
        <v>0</v>
      </c>
      <c r="D30" s="1">
        <v>0.04</v>
      </c>
      <c r="E30" s="1">
        <v>0.06</v>
      </c>
      <c r="F30" s="1">
        <v>-5</v>
      </c>
      <c r="G30" s="1">
        <v>0</v>
      </c>
      <c r="H30" s="1">
        <v>1.4412844213</v>
      </c>
      <c r="I30" s="1">
        <v>1.92115538979</v>
      </c>
      <c r="J30" s="1">
        <v>0.76701332853500004</v>
      </c>
      <c r="K30" s="1">
        <v>0</v>
      </c>
      <c r="L30" s="1">
        <v>0</v>
      </c>
      <c r="M30" s="1" t="s">
        <v>198</v>
      </c>
      <c r="N30" s="1" t="b">
        <v>1</v>
      </c>
    </row>
    <row r="31" spans="1:14" ht="19" customHeight="1" x14ac:dyDescent="0.3">
      <c r="A31">
        <v>26</v>
      </c>
      <c r="B31" s="1">
        <v>1</v>
      </c>
      <c r="C31" s="1">
        <v>0</v>
      </c>
      <c r="D31" s="1">
        <v>0.04</v>
      </c>
      <c r="E31" s="1">
        <v>0.06</v>
      </c>
      <c r="F31" s="1">
        <v>-5</v>
      </c>
      <c r="G31" s="1">
        <v>1</v>
      </c>
      <c r="H31" s="1">
        <v>1.4412844213</v>
      </c>
      <c r="I31" s="1">
        <v>1.44086654234</v>
      </c>
      <c r="J31" s="1">
        <v>0.62895092939899999</v>
      </c>
      <c r="K31" s="1">
        <v>0</v>
      </c>
      <c r="L31" s="1">
        <v>0</v>
      </c>
      <c r="M31" s="1" t="s">
        <v>198</v>
      </c>
      <c r="N31" s="1" t="b">
        <v>1</v>
      </c>
    </row>
    <row r="32" spans="1:14" ht="19" customHeight="1" x14ac:dyDescent="0.3">
      <c r="A32">
        <v>27</v>
      </c>
      <c r="B32" s="1">
        <v>1</v>
      </c>
      <c r="C32" s="1">
        <v>0</v>
      </c>
      <c r="D32" s="1">
        <v>0.04</v>
      </c>
      <c r="E32" s="1">
        <v>0.06</v>
      </c>
      <c r="F32" s="1">
        <v>0</v>
      </c>
      <c r="G32" s="1">
        <v>0</v>
      </c>
      <c r="H32" s="1">
        <v>1.4740808975499999</v>
      </c>
      <c r="I32" s="1">
        <v>1.96487134632</v>
      </c>
      <c r="J32" s="1">
        <v>0.75951332853499998</v>
      </c>
      <c r="K32" s="1">
        <v>0</v>
      </c>
      <c r="L32" s="1">
        <v>0</v>
      </c>
      <c r="M32" s="1" t="s">
        <v>198</v>
      </c>
      <c r="N32" s="1" t="b">
        <v>1</v>
      </c>
    </row>
    <row r="33" spans="1:14" ht="19" customHeight="1" x14ac:dyDescent="0.3">
      <c r="A33">
        <v>28</v>
      </c>
      <c r="B33" s="1">
        <v>1</v>
      </c>
      <c r="C33" s="1">
        <v>0</v>
      </c>
      <c r="D33" s="1">
        <v>0.04</v>
      </c>
      <c r="E33" s="1">
        <v>0.06</v>
      </c>
      <c r="F33" s="1">
        <v>0</v>
      </c>
      <c r="G33" s="1">
        <v>1</v>
      </c>
      <c r="H33" s="1">
        <v>1.4740808975499999</v>
      </c>
      <c r="I33" s="1">
        <v>1.4736535097400001</v>
      </c>
      <c r="J33" s="1">
        <v>0.622800929399</v>
      </c>
      <c r="K33" s="1">
        <v>0</v>
      </c>
      <c r="L33" s="1">
        <v>0</v>
      </c>
      <c r="M33" s="1" t="s">
        <v>198</v>
      </c>
      <c r="N33" s="1" t="b">
        <v>1</v>
      </c>
    </row>
    <row r="34" spans="1:14" ht="19" customHeight="1" x14ac:dyDescent="0.3">
      <c r="A34">
        <v>29</v>
      </c>
      <c r="B34" s="1">
        <v>1</v>
      </c>
      <c r="C34" s="1">
        <v>0</v>
      </c>
      <c r="D34" s="1">
        <v>0.04</v>
      </c>
      <c r="E34" s="1">
        <v>0.06</v>
      </c>
      <c r="F34" s="1">
        <v>5</v>
      </c>
      <c r="G34" s="1">
        <v>0</v>
      </c>
      <c r="H34" s="1">
        <v>1.4412844213</v>
      </c>
      <c r="I34" s="1">
        <v>1.92115538979</v>
      </c>
      <c r="J34" s="1">
        <v>0.76701332853500004</v>
      </c>
      <c r="K34" s="1">
        <v>0</v>
      </c>
      <c r="L34" s="1">
        <v>0</v>
      </c>
      <c r="M34" s="1" t="s">
        <v>198</v>
      </c>
      <c r="N34" s="1" t="b">
        <v>1</v>
      </c>
    </row>
    <row r="35" spans="1:14" ht="19" customHeight="1" x14ac:dyDescent="0.3">
      <c r="A35">
        <v>30</v>
      </c>
      <c r="B35" s="1">
        <v>1</v>
      </c>
      <c r="C35" s="1">
        <v>0</v>
      </c>
      <c r="D35" s="1">
        <v>0.04</v>
      </c>
      <c r="E35" s="1">
        <v>0.06</v>
      </c>
      <c r="F35" s="1">
        <v>5</v>
      </c>
      <c r="G35" s="1">
        <v>1</v>
      </c>
      <c r="H35" s="1">
        <v>1.4412844213</v>
      </c>
      <c r="I35" s="1">
        <v>1.44086654234</v>
      </c>
      <c r="J35" s="1">
        <v>0.62895092939899999</v>
      </c>
      <c r="K35" s="1">
        <v>0</v>
      </c>
      <c r="L35" s="1">
        <v>0</v>
      </c>
      <c r="M35" s="1" t="s">
        <v>198</v>
      </c>
      <c r="N35" s="1" t="b">
        <v>1</v>
      </c>
    </row>
    <row r="36" spans="1:14" ht="19" customHeight="1" x14ac:dyDescent="0.3">
      <c r="A36">
        <v>31</v>
      </c>
      <c r="B36" s="1">
        <v>1</v>
      </c>
      <c r="C36" s="1">
        <v>0</v>
      </c>
      <c r="D36" s="1">
        <v>0.04</v>
      </c>
      <c r="E36" s="1">
        <v>8.5000000000000006E-2</v>
      </c>
      <c r="F36" s="1">
        <v>-5</v>
      </c>
      <c r="G36" s="1">
        <v>0</v>
      </c>
      <c r="H36" s="1">
        <v>1.3359681032999999</v>
      </c>
      <c r="I36" s="1">
        <v>1.7631809128</v>
      </c>
      <c r="J36" s="1">
        <v>0.75758845902500005</v>
      </c>
      <c r="K36" s="1">
        <v>0</v>
      </c>
      <c r="L36" s="1">
        <v>0</v>
      </c>
      <c r="M36" s="1" t="s">
        <v>198</v>
      </c>
      <c r="N36" s="1" t="b">
        <v>1</v>
      </c>
    </row>
    <row r="37" spans="1:14" ht="19" customHeight="1" x14ac:dyDescent="0.3">
      <c r="A37">
        <v>32</v>
      </c>
      <c r="B37" s="1">
        <v>1</v>
      </c>
      <c r="C37" s="1">
        <v>0</v>
      </c>
      <c r="D37" s="1">
        <v>0.04</v>
      </c>
      <c r="E37" s="1">
        <v>8.5000000000000006E-2</v>
      </c>
      <c r="F37" s="1">
        <v>-5</v>
      </c>
      <c r="G37" s="1">
        <v>1</v>
      </c>
      <c r="H37" s="1">
        <v>1.3359681032999999</v>
      </c>
      <c r="I37" s="1">
        <v>1.3223856845999999</v>
      </c>
      <c r="J37" s="1">
        <v>0.62122253640000002</v>
      </c>
      <c r="K37" s="1">
        <v>0</v>
      </c>
      <c r="L37" s="1">
        <v>0</v>
      </c>
      <c r="M37" s="1" t="s">
        <v>198</v>
      </c>
      <c r="N37" s="1" t="b">
        <v>1</v>
      </c>
    </row>
    <row r="38" spans="1:14" ht="19" customHeight="1" x14ac:dyDescent="0.3">
      <c r="A38">
        <v>33</v>
      </c>
      <c r="B38" s="1">
        <v>1</v>
      </c>
      <c r="C38" s="1">
        <v>0</v>
      </c>
      <c r="D38" s="1">
        <v>0.04</v>
      </c>
      <c r="E38" s="1">
        <v>8.5000000000000006E-2</v>
      </c>
      <c r="F38" s="1">
        <v>0</v>
      </c>
      <c r="G38" s="1">
        <v>0</v>
      </c>
      <c r="H38" s="1">
        <v>1.3663681031399999</v>
      </c>
      <c r="I38" s="1">
        <v>1.8033021547100001</v>
      </c>
      <c r="J38" s="1">
        <v>0.75008845902499999</v>
      </c>
      <c r="K38" s="1">
        <v>0</v>
      </c>
      <c r="L38" s="1">
        <v>0</v>
      </c>
      <c r="M38" s="1" t="s">
        <v>198</v>
      </c>
      <c r="N38" s="1" t="b">
        <v>1</v>
      </c>
    </row>
    <row r="39" spans="1:14" ht="19" customHeight="1" x14ac:dyDescent="0.3">
      <c r="A39">
        <v>34</v>
      </c>
      <c r="B39" s="1">
        <v>1</v>
      </c>
      <c r="C39" s="1">
        <v>0</v>
      </c>
      <c r="D39" s="1">
        <v>0.04</v>
      </c>
      <c r="E39" s="1">
        <v>8.5000000000000006E-2</v>
      </c>
      <c r="F39" s="1">
        <v>0</v>
      </c>
      <c r="G39" s="1">
        <v>1</v>
      </c>
      <c r="H39" s="1">
        <v>1.3663681031399999</v>
      </c>
      <c r="I39" s="1">
        <v>1.3524766160299999</v>
      </c>
      <c r="J39" s="1">
        <v>0.61507253640000004</v>
      </c>
      <c r="K39" s="1">
        <v>0</v>
      </c>
      <c r="L39" s="1">
        <v>0</v>
      </c>
      <c r="M39" s="1" t="s">
        <v>198</v>
      </c>
      <c r="N39" s="1" t="b">
        <v>1</v>
      </c>
    </row>
    <row r="40" spans="1:14" ht="19" customHeight="1" x14ac:dyDescent="0.3">
      <c r="A40">
        <v>35</v>
      </c>
      <c r="B40" s="1">
        <v>1</v>
      </c>
      <c r="C40" s="1">
        <v>0</v>
      </c>
      <c r="D40" s="1">
        <v>0.04</v>
      </c>
      <c r="E40" s="1">
        <v>8.5000000000000006E-2</v>
      </c>
      <c r="F40" s="1">
        <v>5</v>
      </c>
      <c r="G40" s="1">
        <v>0</v>
      </c>
      <c r="H40" s="1">
        <v>1.3359681032999999</v>
      </c>
      <c r="I40" s="1">
        <v>1.7631809128</v>
      </c>
      <c r="J40" s="1">
        <v>0.75758845902500005</v>
      </c>
      <c r="K40" s="1">
        <v>0</v>
      </c>
      <c r="L40" s="1">
        <v>0</v>
      </c>
      <c r="M40" s="1" t="s">
        <v>198</v>
      </c>
      <c r="N40" s="1" t="b">
        <v>1</v>
      </c>
    </row>
    <row r="41" spans="1:14" ht="19" customHeight="1" x14ac:dyDescent="0.3">
      <c r="A41">
        <v>36</v>
      </c>
      <c r="B41" s="1">
        <v>1</v>
      </c>
      <c r="C41" s="1">
        <v>0</v>
      </c>
      <c r="D41" s="1">
        <v>0.04</v>
      </c>
      <c r="E41" s="1">
        <v>8.5000000000000006E-2</v>
      </c>
      <c r="F41" s="1">
        <v>5</v>
      </c>
      <c r="G41" s="1">
        <v>1</v>
      </c>
      <c r="H41" s="1">
        <v>1.3359681032999999</v>
      </c>
      <c r="I41" s="1">
        <v>1.3223856845999999</v>
      </c>
      <c r="J41" s="1">
        <v>0.62122253640000002</v>
      </c>
      <c r="K41" s="1">
        <v>0</v>
      </c>
      <c r="L41" s="1">
        <v>0</v>
      </c>
      <c r="M41" s="1" t="s">
        <v>198</v>
      </c>
      <c r="N41" s="1" t="b">
        <v>1</v>
      </c>
    </row>
    <row r="42" spans="1:14" ht="19" customHeight="1" x14ac:dyDescent="0.3">
      <c r="A42">
        <v>37</v>
      </c>
      <c r="B42" s="1">
        <v>1</v>
      </c>
      <c r="C42" s="1">
        <v>0</v>
      </c>
      <c r="D42" s="1">
        <v>5.5E-2</v>
      </c>
      <c r="E42" s="1">
        <v>0.04</v>
      </c>
      <c r="F42" s="1">
        <v>-5</v>
      </c>
      <c r="G42" s="1">
        <v>0</v>
      </c>
      <c r="H42" s="1">
        <v>1.2602035036799999</v>
      </c>
      <c r="I42" s="1">
        <v>1.6495340133600001</v>
      </c>
      <c r="J42" s="1">
        <v>0.75080820427799999</v>
      </c>
      <c r="K42" s="1">
        <v>0</v>
      </c>
      <c r="L42" s="1">
        <v>0</v>
      </c>
      <c r="M42" s="1" t="s">
        <v>198</v>
      </c>
      <c r="N42" s="1" t="b">
        <v>1</v>
      </c>
    </row>
    <row r="43" spans="1:14" ht="19" customHeight="1" x14ac:dyDescent="0.3">
      <c r="A43">
        <v>38</v>
      </c>
      <c r="B43" s="1">
        <v>1</v>
      </c>
      <c r="C43" s="1">
        <v>0</v>
      </c>
      <c r="D43" s="1">
        <v>5.5E-2</v>
      </c>
      <c r="E43" s="1">
        <v>0.04</v>
      </c>
      <c r="F43" s="1">
        <v>-5</v>
      </c>
      <c r="G43" s="1">
        <v>1</v>
      </c>
      <c r="H43" s="1">
        <v>1.2602035036799999</v>
      </c>
      <c r="I43" s="1">
        <v>1.23715051002</v>
      </c>
      <c r="J43" s="1">
        <v>0.615662727508</v>
      </c>
      <c r="K43" s="1">
        <v>0</v>
      </c>
      <c r="L43" s="1">
        <v>0</v>
      </c>
      <c r="M43" s="1" t="s">
        <v>198</v>
      </c>
      <c r="N43" s="1" t="b">
        <v>1</v>
      </c>
    </row>
    <row r="44" spans="1:14" ht="19" customHeight="1" x14ac:dyDescent="0.3">
      <c r="A44">
        <v>39</v>
      </c>
      <c r="B44" s="1">
        <v>1</v>
      </c>
      <c r="C44" s="1">
        <v>0</v>
      </c>
      <c r="D44" s="1">
        <v>5.5E-2</v>
      </c>
      <c r="E44" s="1">
        <v>0.04</v>
      </c>
      <c r="F44" s="1">
        <v>0</v>
      </c>
      <c r="G44" s="1">
        <v>0</v>
      </c>
      <c r="H44" s="1">
        <v>1.2888794774600001</v>
      </c>
      <c r="I44" s="1">
        <v>1.6870692161900001</v>
      </c>
      <c r="J44" s="1">
        <v>0.74330820427800004</v>
      </c>
      <c r="K44" s="1">
        <v>0</v>
      </c>
      <c r="L44" s="1">
        <v>0</v>
      </c>
      <c r="M44" s="1" t="s">
        <v>198</v>
      </c>
      <c r="N44" s="1" t="b">
        <v>1</v>
      </c>
    </row>
    <row r="45" spans="1:14" ht="19" customHeight="1" x14ac:dyDescent="0.3">
      <c r="A45">
        <v>40</v>
      </c>
      <c r="B45" s="1">
        <v>1</v>
      </c>
      <c r="C45" s="1">
        <v>0</v>
      </c>
      <c r="D45" s="1">
        <v>5.5E-2</v>
      </c>
      <c r="E45" s="1">
        <v>0.04</v>
      </c>
      <c r="F45" s="1">
        <v>0</v>
      </c>
      <c r="G45" s="1">
        <v>1</v>
      </c>
      <c r="H45" s="1">
        <v>1.2888794774600001</v>
      </c>
      <c r="I45" s="1">
        <v>1.26530191214</v>
      </c>
      <c r="J45" s="1">
        <v>0.60951272750800001</v>
      </c>
      <c r="K45" s="1">
        <v>0</v>
      </c>
      <c r="L45" s="1">
        <v>0</v>
      </c>
      <c r="M45" s="1" t="s">
        <v>198</v>
      </c>
      <c r="N45" s="1" t="b">
        <v>1</v>
      </c>
    </row>
    <row r="46" spans="1:14" ht="19" customHeight="1" x14ac:dyDescent="0.3">
      <c r="A46">
        <v>41</v>
      </c>
      <c r="B46" s="1">
        <v>1</v>
      </c>
      <c r="C46" s="1">
        <v>0</v>
      </c>
      <c r="D46" s="1">
        <v>5.5E-2</v>
      </c>
      <c r="E46" s="1">
        <v>0.04</v>
      </c>
      <c r="F46" s="1">
        <v>5</v>
      </c>
      <c r="G46" s="1">
        <v>0</v>
      </c>
      <c r="H46" s="1">
        <v>1.2602035036799999</v>
      </c>
      <c r="I46" s="1">
        <v>1.6495340133600001</v>
      </c>
      <c r="J46" s="1">
        <v>0.75080820427799999</v>
      </c>
      <c r="K46" s="1">
        <v>0</v>
      </c>
      <c r="L46" s="1">
        <v>0</v>
      </c>
      <c r="M46" s="1" t="s">
        <v>198</v>
      </c>
      <c r="N46" s="1" t="b">
        <v>1</v>
      </c>
    </row>
    <row r="47" spans="1:14" ht="19" customHeight="1" x14ac:dyDescent="0.3">
      <c r="A47">
        <v>42</v>
      </c>
      <c r="B47" s="1">
        <v>1</v>
      </c>
      <c r="C47" s="1">
        <v>0</v>
      </c>
      <c r="D47" s="1">
        <v>5.5E-2</v>
      </c>
      <c r="E47" s="1">
        <v>0.04</v>
      </c>
      <c r="F47" s="1">
        <v>5</v>
      </c>
      <c r="G47" s="1">
        <v>1</v>
      </c>
      <c r="H47" s="1">
        <v>1.2602035036799999</v>
      </c>
      <c r="I47" s="1">
        <v>1.23715051002</v>
      </c>
      <c r="J47" s="1">
        <v>0.615662727508</v>
      </c>
      <c r="K47" s="1">
        <v>0</v>
      </c>
      <c r="L47" s="1">
        <v>0</v>
      </c>
      <c r="M47" s="1" t="s">
        <v>198</v>
      </c>
      <c r="N47" s="1" t="b">
        <v>1</v>
      </c>
    </row>
    <row r="48" spans="1:14" ht="19" customHeight="1" x14ac:dyDescent="0.3">
      <c r="A48">
        <v>43</v>
      </c>
      <c r="B48" s="1">
        <v>1</v>
      </c>
      <c r="C48" s="1">
        <v>0</v>
      </c>
      <c r="D48" s="1">
        <v>5.5E-2</v>
      </c>
      <c r="E48" s="1">
        <v>0.06</v>
      </c>
      <c r="F48" s="1">
        <v>-5</v>
      </c>
      <c r="G48" s="1">
        <v>0</v>
      </c>
      <c r="H48" s="1">
        <v>1.2878331033899999</v>
      </c>
      <c r="I48" s="1">
        <v>1.6909784129200001</v>
      </c>
      <c r="J48" s="1">
        <v>0.75328080659499996</v>
      </c>
      <c r="K48" s="1">
        <v>0</v>
      </c>
      <c r="L48" s="1">
        <v>0</v>
      </c>
      <c r="M48" s="1" t="s">
        <v>198</v>
      </c>
      <c r="N48" s="1" t="b">
        <v>1</v>
      </c>
    </row>
    <row r="49" spans="1:14" ht="19" customHeight="1" x14ac:dyDescent="0.3">
      <c r="A49">
        <v>44</v>
      </c>
      <c r="B49" s="1">
        <v>1</v>
      </c>
      <c r="C49" s="1">
        <v>0</v>
      </c>
      <c r="D49" s="1">
        <v>5.5E-2</v>
      </c>
      <c r="E49" s="1">
        <v>0.06</v>
      </c>
      <c r="F49" s="1">
        <v>-5</v>
      </c>
      <c r="G49" s="1">
        <v>1</v>
      </c>
      <c r="H49" s="1">
        <v>1.2878331033899999</v>
      </c>
      <c r="I49" s="1">
        <v>1.2682338096900001</v>
      </c>
      <c r="J49" s="1">
        <v>0.61769026140799999</v>
      </c>
      <c r="K49" s="1">
        <v>0</v>
      </c>
      <c r="L49" s="1">
        <v>0</v>
      </c>
      <c r="M49" s="1" t="s">
        <v>198</v>
      </c>
      <c r="N49" s="1" t="b">
        <v>1</v>
      </c>
    </row>
    <row r="50" spans="1:14" ht="19" customHeight="1" x14ac:dyDescent="0.3">
      <c r="A50">
        <v>45</v>
      </c>
      <c r="B50" s="1">
        <v>1</v>
      </c>
      <c r="C50" s="1">
        <v>0</v>
      </c>
      <c r="D50" s="1">
        <v>5.5E-2</v>
      </c>
      <c r="E50" s="1">
        <v>0.06</v>
      </c>
      <c r="F50" s="1">
        <v>0</v>
      </c>
      <c r="G50" s="1">
        <v>0</v>
      </c>
      <c r="H50" s="1">
        <v>1.3171377896500001</v>
      </c>
      <c r="I50" s="1">
        <v>1.7294566844799999</v>
      </c>
      <c r="J50" s="1">
        <v>0.74578080659500001</v>
      </c>
      <c r="K50" s="1">
        <v>0</v>
      </c>
      <c r="L50" s="1">
        <v>0</v>
      </c>
      <c r="M50" s="1" t="s">
        <v>198</v>
      </c>
      <c r="N50" s="1" t="b">
        <v>1</v>
      </c>
    </row>
    <row r="51" spans="1:14" ht="19" customHeight="1" x14ac:dyDescent="0.3">
      <c r="A51">
        <v>46</v>
      </c>
      <c r="B51" s="1">
        <v>1</v>
      </c>
      <c r="C51" s="1">
        <v>0</v>
      </c>
      <c r="D51" s="1">
        <v>5.5E-2</v>
      </c>
      <c r="E51" s="1">
        <v>0.06</v>
      </c>
      <c r="F51" s="1">
        <v>0</v>
      </c>
      <c r="G51" s="1">
        <v>1</v>
      </c>
      <c r="H51" s="1">
        <v>1.3171377896500001</v>
      </c>
      <c r="I51" s="1">
        <v>1.29709251336</v>
      </c>
      <c r="J51" s="1">
        <v>0.611540261408</v>
      </c>
      <c r="K51" s="1">
        <v>0</v>
      </c>
      <c r="L51" s="1">
        <v>0</v>
      </c>
      <c r="M51" s="1" t="s">
        <v>198</v>
      </c>
      <c r="N51" s="1" t="b">
        <v>1</v>
      </c>
    </row>
    <row r="52" spans="1:14" ht="19" customHeight="1" x14ac:dyDescent="0.3">
      <c r="A52">
        <v>47</v>
      </c>
      <c r="B52" s="1">
        <v>1</v>
      </c>
      <c r="C52" s="1">
        <v>0</v>
      </c>
      <c r="D52" s="1">
        <v>5.5E-2</v>
      </c>
      <c r="E52" s="1">
        <v>0.06</v>
      </c>
      <c r="F52" s="1">
        <v>5</v>
      </c>
      <c r="G52" s="1">
        <v>0</v>
      </c>
      <c r="H52" s="1">
        <v>1.2878331033899999</v>
      </c>
      <c r="I52" s="1">
        <v>1.6909784129200001</v>
      </c>
      <c r="J52" s="1">
        <v>0.75328080659499996</v>
      </c>
      <c r="K52" s="1">
        <v>0</v>
      </c>
      <c r="L52" s="1">
        <v>0</v>
      </c>
      <c r="M52" s="1" t="s">
        <v>198</v>
      </c>
      <c r="N52" s="1" t="b">
        <v>1</v>
      </c>
    </row>
    <row r="53" spans="1:14" ht="19" customHeight="1" x14ac:dyDescent="0.3">
      <c r="A53">
        <v>48</v>
      </c>
      <c r="B53" s="1">
        <v>1</v>
      </c>
      <c r="C53" s="1">
        <v>0</v>
      </c>
      <c r="D53" s="1">
        <v>5.5E-2</v>
      </c>
      <c r="E53" s="1">
        <v>0.06</v>
      </c>
      <c r="F53" s="1">
        <v>5</v>
      </c>
      <c r="G53" s="1">
        <v>1</v>
      </c>
      <c r="H53" s="1">
        <v>1.2878331033899999</v>
      </c>
      <c r="I53" s="1">
        <v>1.2682338096900001</v>
      </c>
      <c r="J53" s="1">
        <v>0.61769026140799999</v>
      </c>
      <c r="K53" s="1">
        <v>0</v>
      </c>
      <c r="L53" s="1">
        <v>0</v>
      </c>
      <c r="M53" s="1" t="s">
        <v>198</v>
      </c>
      <c r="N53" s="1" t="b">
        <v>1</v>
      </c>
    </row>
    <row r="54" spans="1:14" ht="19" customHeight="1" x14ac:dyDescent="0.3">
      <c r="A54">
        <v>49</v>
      </c>
      <c r="B54" s="1">
        <v>1</v>
      </c>
      <c r="C54" s="1">
        <v>0</v>
      </c>
      <c r="D54" s="1">
        <v>5.5E-2</v>
      </c>
      <c r="E54" s="1">
        <v>8.5000000000000006E-2</v>
      </c>
      <c r="F54" s="1">
        <v>-5</v>
      </c>
      <c r="G54" s="1">
        <v>0</v>
      </c>
      <c r="H54" s="1">
        <v>1.21719855787</v>
      </c>
      <c r="I54" s="1">
        <v>1.58502659465</v>
      </c>
      <c r="J54" s="1">
        <v>0.74695964585600005</v>
      </c>
      <c r="K54" s="1">
        <v>0</v>
      </c>
      <c r="L54" s="1">
        <v>0</v>
      </c>
      <c r="M54" s="1" t="s">
        <v>198</v>
      </c>
      <c r="N54" s="1" t="b">
        <v>1</v>
      </c>
    </row>
    <row r="55" spans="1:14" ht="19" customHeight="1" x14ac:dyDescent="0.3">
      <c r="A55">
        <v>50</v>
      </c>
      <c r="B55" s="1">
        <v>1</v>
      </c>
      <c r="C55" s="1">
        <v>0</v>
      </c>
      <c r="D55" s="1">
        <v>5.5E-2</v>
      </c>
      <c r="E55" s="1">
        <v>8.5000000000000006E-2</v>
      </c>
      <c r="F55" s="1">
        <v>-5</v>
      </c>
      <c r="G55" s="1">
        <v>1</v>
      </c>
      <c r="H55" s="1">
        <v>1.21719855787</v>
      </c>
      <c r="I55" s="1">
        <v>1.1887699459900001</v>
      </c>
      <c r="J55" s="1">
        <v>0.61250690960200005</v>
      </c>
      <c r="K55" s="1">
        <v>0</v>
      </c>
      <c r="L55" s="1">
        <v>0</v>
      </c>
      <c r="M55" s="1" t="s">
        <v>198</v>
      </c>
      <c r="N55" s="1" t="b">
        <v>1</v>
      </c>
    </row>
    <row r="56" spans="1:14" ht="19" customHeight="1" x14ac:dyDescent="0.3">
      <c r="A56">
        <v>51</v>
      </c>
      <c r="B56" s="1">
        <v>1</v>
      </c>
      <c r="C56" s="1">
        <v>0</v>
      </c>
      <c r="D56" s="1">
        <v>5.5E-2</v>
      </c>
      <c r="E56" s="1">
        <v>8.5000000000000006E-2</v>
      </c>
      <c r="F56" s="1">
        <v>0</v>
      </c>
      <c r="G56" s="1">
        <v>0</v>
      </c>
      <c r="H56" s="1">
        <v>1.2448959526400001</v>
      </c>
      <c r="I56" s="1">
        <v>1.6210939289699999</v>
      </c>
      <c r="J56" s="1">
        <v>0.73945964585599999</v>
      </c>
      <c r="K56" s="1">
        <v>0</v>
      </c>
      <c r="L56" s="1">
        <v>0</v>
      </c>
      <c r="M56" s="1" t="s">
        <v>198</v>
      </c>
      <c r="N56" s="1" t="b">
        <v>1</v>
      </c>
    </row>
    <row r="57" spans="1:14" ht="19" customHeight="1" x14ac:dyDescent="0.3">
      <c r="A57">
        <v>52</v>
      </c>
      <c r="B57" s="1">
        <v>1</v>
      </c>
      <c r="C57" s="1">
        <v>0</v>
      </c>
      <c r="D57" s="1">
        <v>5.5E-2</v>
      </c>
      <c r="E57" s="1">
        <v>8.5000000000000006E-2</v>
      </c>
      <c r="F57" s="1">
        <v>0</v>
      </c>
      <c r="G57" s="1">
        <v>1</v>
      </c>
      <c r="H57" s="1">
        <v>1.2448959526400001</v>
      </c>
      <c r="I57" s="1">
        <v>1.21582044672</v>
      </c>
      <c r="J57" s="1">
        <v>0.60635690960199995</v>
      </c>
      <c r="K57" s="1">
        <v>0</v>
      </c>
      <c r="L57" s="1">
        <v>0</v>
      </c>
      <c r="M57" s="1" t="s">
        <v>198</v>
      </c>
      <c r="N57" s="1" t="b">
        <v>1</v>
      </c>
    </row>
    <row r="58" spans="1:14" ht="19" customHeight="1" x14ac:dyDescent="0.3">
      <c r="A58">
        <v>53</v>
      </c>
      <c r="B58" s="1">
        <v>1</v>
      </c>
      <c r="C58" s="1">
        <v>0</v>
      </c>
      <c r="D58" s="1">
        <v>5.5E-2</v>
      </c>
      <c r="E58" s="1">
        <v>8.5000000000000006E-2</v>
      </c>
      <c r="F58" s="1">
        <v>5</v>
      </c>
      <c r="G58" s="1">
        <v>0</v>
      </c>
      <c r="H58" s="1">
        <v>1.21719855787</v>
      </c>
      <c r="I58" s="1">
        <v>1.58502659465</v>
      </c>
      <c r="J58" s="1">
        <v>0.74695964585600005</v>
      </c>
      <c r="K58" s="1">
        <v>0</v>
      </c>
      <c r="L58" s="1">
        <v>0</v>
      </c>
      <c r="M58" s="1" t="s">
        <v>198</v>
      </c>
      <c r="N58" s="1" t="b">
        <v>1</v>
      </c>
    </row>
    <row r="59" spans="1:14" ht="19" customHeight="1" x14ac:dyDescent="0.3">
      <c r="A59">
        <v>54</v>
      </c>
      <c r="B59" s="1">
        <v>1</v>
      </c>
      <c r="C59" s="1">
        <v>0</v>
      </c>
      <c r="D59" s="1">
        <v>5.5E-2</v>
      </c>
      <c r="E59" s="1">
        <v>8.5000000000000006E-2</v>
      </c>
      <c r="F59" s="1">
        <v>5</v>
      </c>
      <c r="G59" s="1">
        <v>1</v>
      </c>
      <c r="H59" s="1">
        <v>1.21719855787</v>
      </c>
      <c r="I59" s="1">
        <v>1.1887699459900001</v>
      </c>
      <c r="J59" s="1">
        <v>0.61250690960200005</v>
      </c>
      <c r="K59" s="1">
        <v>0</v>
      </c>
      <c r="L59" s="1">
        <v>0</v>
      </c>
      <c r="M59" s="1" t="s">
        <v>198</v>
      </c>
      <c r="N59" s="1" t="b">
        <v>1</v>
      </c>
    </row>
    <row r="60" spans="1:14" ht="19" customHeight="1" x14ac:dyDescent="0.3">
      <c r="A60">
        <v>55</v>
      </c>
      <c r="B60" s="1">
        <v>1</v>
      </c>
      <c r="C60" s="1">
        <v>30</v>
      </c>
      <c r="D60" s="1">
        <v>2.5000000000000001E-2</v>
      </c>
      <c r="E60" s="1">
        <v>0.04</v>
      </c>
      <c r="F60" s="1">
        <v>-5</v>
      </c>
      <c r="G60" s="1">
        <v>0</v>
      </c>
      <c r="H60" s="1">
        <v>1.39409979229</v>
      </c>
      <c r="I60" s="1">
        <v>1.8503784462799999</v>
      </c>
      <c r="J60" s="1">
        <v>0.76279072581100005</v>
      </c>
      <c r="K60" s="1">
        <v>2682.7779435100001</v>
      </c>
      <c r="L60" s="1">
        <v>630.73258140500002</v>
      </c>
      <c r="M60" s="1" t="s">
        <v>198</v>
      </c>
      <c r="N60" s="1" t="b">
        <v>1</v>
      </c>
    </row>
    <row r="61" spans="1:14" ht="19" customHeight="1" x14ac:dyDescent="0.3">
      <c r="A61">
        <v>56</v>
      </c>
      <c r="B61" s="1">
        <v>1</v>
      </c>
      <c r="C61" s="1">
        <v>30</v>
      </c>
      <c r="D61" s="1">
        <v>2.5000000000000001E-2</v>
      </c>
      <c r="E61" s="1">
        <v>0.04</v>
      </c>
      <c r="F61" s="1">
        <v>-5</v>
      </c>
      <c r="G61" s="1">
        <v>1</v>
      </c>
      <c r="H61" s="1">
        <v>1.39409979229</v>
      </c>
      <c r="I61" s="1">
        <v>1.38778383471</v>
      </c>
      <c r="J61" s="1">
        <v>0.62548839516499999</v>
      </c>
      <c r="K61" s="1">
        <v>2300.2700240700001</v>
      </c>
      <c r="L61" s="1">
        <v>517.20071675199995</v>
      </c>
      <c r="M61" s="1" t="s">
        <v>198</v>
      </c>
      <c r="N61" s="1" t="b">
        <v>1</v>
      </c>
    </row>
    <row r="62" spans="1:14" ht="19" customHeight="1" x14ac:dyDescent="0.3">
      <c r="A62">
        <v>57</v>
      </c>
      <c r="B62" s="1">
        <v>1</v>
      </c>
      <c r="C62" s="1">
        <v>30</v>
      </c>
      <c r="D62" s="1">
        <v>2.5000000000000001E-2</v>
      </c>
      <c r="E62" s="1">
        <v>0.04</v>
      </c>
      <c r="F62" s="1">
        <v>0</v>
      </c>
      <c r="G62" s="1">
        <v>0</v>
      </c>
      <c r="H62" s="1">
        <v>1.42582258069</v>
      </c>
      <c r="I62" s="1">
        <v>1.89248387104</v>
      </c>
      <c r="J62" s="1">
        <v>0.75529072581099999</v>
      </c>
      <c r="K62" s="1">
        <v>2743.8246472699998</v>
      </c>
      <c r="L62" s="1">
        <v>624.531018905</v>
      </c>
      <c r="M62" s="1" t="s">
        <v>198</v>
      </c>
      <c r="N62" s="1" t="b">
        <v>1</v>
      </c>
    </row>
    <row r="63" spans="1:14" ht="19" customHeight="1" x14ac:dyDescent="0.3">
      <c r="A63">
        <v>58</v>
      </c>
      <c r="B63" s="1">
        <v>1</v>
      </c>
      <c r="C63" s="1">
        <v>30</v>
      </c>
      <c r="D63" s="1">
        <v>2.5000000000000001E-2</v>
      </c>
      <c r="E63" s="1">
        <v>0.04</v>
      </c>
      <c r="F63" s="1">
        <v>0</v>
      </c>
      <c r="G63" s="1">
        <v>1</v>
      </c>
      <c r="H63" s="1">
        <v>1.42582258069</v>
      </c>
      <c r="I63" s="1">
        <v>1.4193629032799999</v>
      </c>
      <c r="J63" s="1">
        <v>0.619338395165</v>
      </c>
      <c r="K63" s="1">
        <v>2352.6127470599999</v>
      </c>
      <c r="L63" s="1">
        <v>512.11543550199997</v>
      </c>
      <c r="M63" s="1" t="s">
        <v>198</v>
      </c>
      <c r="N63" s="1" t="b">
        <v>1</v>
      </c>
    </row>
    <row r="64" spans="1:14" ht="19" customHeight="1" x14ac:dyDescent="0.3">
      <c r="A64">
        <v>59</v>
      </c>
      <c r="B64" s="1">
        <v>1</v>
      </c>
      <c r="C64" s="1">
        <v>30</v>
      </c>
      <c r="D64" s="1">
        <v>2.5000000000000001E-2</v>
      </c>
      <c r="E64" s="1">
        <v>0.04</v>
      </c>
      <c r="F64" s="1">
        <v>5</v>
      </c>
      <c r="G64" s="1">
        <v>0</v>
      </c>
      <c r="H64" s="1">
        <v>1.39409979229</v>
      </c>
      <c r="I64" s="1">
        <v>1.8503784462799999</v>
      </c>
      <c r="J64" s="1">
        <v>0.76279072581100005</v>
      </c>
      <c r="K64" s="1">
        <v>2682.7779435100001</v>
      </c>
      <c r="L64" s="1">
        <v>630.73258140500002</v>
      </c>
      <c r="M64" s="1" t="s">
        <v>198</v>
      </c>
      <c r="N64" s="1" t="b">
        <v>1</v>
      </c>
    </row>
    <row r="65" spans="1:14" ht="19" customHeight="1" x14ac:dyDescent="0.3">
      <c r="A65">
        <v>60</v>
      </c>
      <c r="B65" s="1">
        <v>1</v>
      </c>
      <c r="C65" s="1">
        <v>30</v>
      </c>
      <c r="D65" s="1">
        <v>2.5000000000000001E-2</v>
      </c>
      <c r="E65" s="1">
        <v>0.04</v>
      </c>
      <c r="F65" s="1">
        <v>5</v>
      </c>
      <c r="G65" s="1">
        <v>1</v>
      </c>
      <c r="H65" s="1">
        <v>1.39409979229</v>
      </c>
      <c r="I65" s="1">
        <v>1.38778383471</v>
      </c>
      <c r="J65" s="1">
        <v>0.62548839516499999</v>
      </c>
      <c r="K65" s="1">
        <v>2300.2700240700001</v>
      </c>
      <c r="L65" s="1">
        <v>517.20071675199995</v>
      </c>
      <c r="M65" s="1" t="s">
        <v>198</v>
      </c>
      <c r="N65" s="1" t="b">
        <v>1</v>
      </c>
    </row>
    <row r="66" spans="1:14" ht="19" customHeight="1" x14ac:dyDescent="0.3">
      <c r="A66">
        <v>61</v>
      </c>
      <c r="B66" s="1">
        <v>1</v>
      </c>
      <c r="C66" s="1">
        <v>30</v>
      </c>
      <c r="D66" s="1">
        <v>2.5000000000000001E-2</v>
      </c>
      <c r="E66" s="1">
        <v>0.06</v>
      </c>
      <c r="F66" s="1">
        <v>-5</v>
      </c>
      <c r="G66" s="1">
        <v>0</v>
      </c>
      <c r="H66" s="1">
        <v>1.4347148059299999</v>
      </c>
      <c r="I66" s="1">
        <v>1.9113009667300001</v>
      </c>
      <c r="J66" s="1">
        <v>0.76642540665600001</v>
      </c>
      <c r="K66" s="1">
        <v>2766.73679201</v>
      </c>
      <c r="L66" s="1">
        <v>633.73800812800005</v>
      </c>
      <c r="M66" s="1" t="s">
        <v>198</v>
      </c>
      <c r="N66" s="1" t="b">
        <v>1</v>
      </c>
    </row>
    <row r="67" spans="1:14" ht="19" customHeight="1" x14ac:dyDescent="0.3">
      <c r="A67">
        <v>62</v>
      </c>
      <c r="B67" s="1">
        <v>1</v>
      </c>
      <c r="C67" s="1">
        <v>30</v>
      </c>
      <c r="D67" s="1">
        <v>2.5000000000000001E-2</v>
      </c>
      <c r="E67" s="1">
        <v>0.06</v>
      </c>
      <c r="F67" s="1">
        <v>-5</v>
      </c>
      <c r="G67" s="1">
        <v>1</v>
      </c>
      <c r="H67" s="1">
        <v>1.4347148059299999</v>
      </c>
      <c r="I67" s="1">
        <v>1.4334757250500001</v>
      </c>
      <c r="J67" s="1">
        <v>0.62846883345799998</v>
      </c>
      <c r="K67" s="1">
        <v>2371.6350453</v>
      </c>
      <c r="L67" s="1">
        <v>519.66516666500002</v>
      </c>
      <c r="M67" s="1" t="s">
        <v>198</v>
      </c>
      <c r="N67" s="1" t="b">
        <v>1</v>
      </c>
    </row>
    <row r="68" spans="1:14" ht="19" customHeight="1" x14ac:dyDescent="0.3">
      <c r="A68">
        <v>63</v>
      </c>
      <c r="B68" s="1">
        <v>1</v>
      </c>
      <c r="C68" s="1">
        <v>30</v>
      </c>
      <c r="D68" s="1">
        <v>2.5000000000000001E-2</v>
      </c>
      <c r="E68" s="1">
        <v>0.06</v>
      </c>
      <c r="F68" s="1">
        <v>0</v>
      </c>
      <c r="G68" s="1">
        <v>0</v>
      </c>
      <c r="H68" s="1">
        <v>1.46736179035</v>
      </c>
      <c r="I68" s="1">
        <v>1.95479268553</v>
      </c>
      <c r="J68" s="1">
        <v>0.75892540665599995</v>
      </c>
      <c r="K68" s="1">
        <v>2829.69398224</v>
      </c>
      <c r="L68" s="1">
        <v>627.53644562800002</v>
      </c>
      <c r="M68" s="1" t="s">
        <v>198</v>
      </c>
      <c r="N68" s="1" t="b">
        <v>1</v>
      </c>
    </row>
    <row r="69" spans="1:14" ht="19" customHeight="1" x14ac:dyDescent="0.3">
      <c r="A69">
        <v>64</v>
      </c>
      <c r="B69" s="1">
        <v>1</v>
      </c>
      <c r="C69" s="1">
        <v>30</v>
      </c>
      <c r="D69" s="1">
        <v>2.5000000000000001E-2</v>
      </c>
      <c r="E69" s="1">
        <v>0.06</v>
      </c>
      <c r="F69" s="1">
        <v>0</v>
      </c>
      <c r="G69" s="1">
        <v>1</v>
      </c>
      <c r="H69" s="1">
        <v>1.46736179035</v>
      </c>
      <c r="I69" s="1">
        <v>1.4660945141399999</v>
      </c>
      <c r="J69" s="1">
        <v>0.62231883345799999</v>
      </c>
      <c r="K69" s="1">
        <v>2425.60168178</v>
      </c>
      <c r="L69" s="1">
        <v>514.57988541500004</v>
      </c>
      <c r="M69" s="1" t="s">
        <v>198</v>
      </c>
      <c r="N69" s="1" t="b">
        <v>1</v>
      </c>
    </row>
    <row r="70" spans="1:14" ht="19" customHeight="1" x14ac:dyDescent="0.3">
      <c r="A70">
        <v>65</v>
      </c>
      <c r="B70" s="1">
        <v>1</v>
      </c>
      <c r="C70" s="1">
        <v>30</v>
      </c>
      <c r="D70" s="1">
        <v>2.5000000000000001E-2</v>
      </c>
      <c r="E70" s="1">
        <v>0.06</v>
      </c>
      <c r="F70" s="1">
        <v>5</v>
      </c>
      <c r="G70" s="1">
        <v>0</v>
      </c>
      <c r="H70" s="1">
        <v>1.4347148059299999</v>
      </c>
      <c r="I70" s="1">
        <v>1.9113009667300001</v>
      </c>
      <c r="J70" s="1">
        <v>0.76642540665600001</v>
      </c>
      <c r="K70" s="1">
        <v>2766.73679201</v>
      </c>
      <c r="L70" s="1">
        <v>633.73800812800005</v>
      </c>
      <c r="M70" s="1" t="s">
        <v>198</v>
      </c>
      <c r="N70" s="1" t="b">
        <v>1</v>
      </c>
    </row>
    <row r="71" spans="1:14" ht="19" customHeight="1" x14ac:dyDescent="0.3">
      <c r="A71">
        <v>66</v>
      </c>
      <c r="B71" s="1">
        <v>1</v>
      </c>
      <c r="C71" s="1">
        <v>30</v>
      </c>
      <c r="D71" s="1">
        <v>2.5000000000000001E-2</v>
      </c>
      <c r="E71" s="1">
        <v>0.06</v>
      </c>
      <c r="F71" s="1">
        <v>5</v>
      </c>
      <c r="G71" s="1">
        <v>1</v>
      </c>
      <c r="H71" s="1">
        <v>1.4347148059299999</v>
      </c>
      <c r="I71" s="1">
        <v>1.4334757250500001</v>
      </c>
      <c r="J71" s="1">
        <v>0.62846883345799998</v>
      </c>
      <c r="K71" s="1">
        <v>2371.6350453</v>
      </c>
      <c r="L71" s="1">
        <v>519.66516666500002</v>
      </c>
      <c r="M71" s="1" t="s">
        <v>198</v>
      </c>
      <c r="N71" s="1" t="b">
        <v>1</v>
      </c>
    </row>
    <row r="72" spans="1:14" ht="19" customHeight="1" x14ac:dyDescent="0.3">
      <c r="A72">
        <v>67</v>
      </c>
      <c r="B72" s="1">
        <v>1</v>
      </c>
      <c r="C72" s="1">
        <v>30</v>
      </c>
      <c r="D72" s="1">
        <v>2.5000000000000001E-2</v>
      </c>
      <c r="E72" s="1">
        <v>8.5000000000000006E-2</v>
      </c>
      <c r="F72" s="1">
        <v>-5</v>
      </c>
      <c r="G72" s="1">
        <v>0</v>
      </c>
      <c r="H72" s="1">
        <v>1.33088329698</v>
      </c>
      <c r="I72" s="1">
        <v>1.7555537033099999</v>
      </c>
      <c r="J72" s="1">
        <v>0.75713341428900005</v>
      </c>
      <c r="K72" s="1">
        <v>2552.0975946200001</v>
      </c>
      <c r="L72" s="1">
        <v>626.05469194</v>
      </c>
      <c r="M72" s="1" t="s">
        <v>198</v>
      </c>
      <c r="N72" s="1" t="b">
        <v>1</v>
      </c>
    </row>
    <row r="73" spans="1:14" ht="19" customHeight="1" x14ac:dyDescent="0.3">
      <c r="A73">
        <v>68</v>
      </c>
      <c r="B73" s="1">
        <v>1</v>
      </c>
      <c r="C73" s="1">
        <v>30</v>
      </c>
      <c r="D73" s="1">
        <v>2.5000000000000001E-2</v>
      </c>
      <c r="E73" s="1">
        <v>8.5000000000000006E-2</v>
      </c>
      <c r="F73" s="1">
        <v>-5</v>
      </c>
      <c r="G73" s="1">
        <v>1</v>
      </c>
      <c r="H73" s="1">
        <v>1.33088329698</v>
      </c>
      <c r="I73" s="1">
        <v>1.3166652774900001</v>
      </c>
      <c r="J73" s="1">
        <v>0.62084939971700004</v>
      </c>
      <c r="K73" s="1">
        <v>2189.19172751</v>
      </c>
      <c r="L73" s="1">
        <v>513.36484739100001</v>
      </c>
      <c r="M73" s="1" t="s">
        <v>198</v>
      </c>
      <c r="N73" s="1" t="b">
        <v>1</v>
      </c>
    </row>
    <row r="74" spans="1:14" ht="19" customHeight="1" x14ac:dyDescent="0.3">
      <c r="A74">
        <v>69</v>
      </c>
      <c r="B74" s="1">
        <v>1</v>
      </c>
      <c r="C74" s="1">
        <v>30</v>
      </c>
      <c r="D74" s="1">
        <v>2.5000000000000001E-2</v>
      </c>
      <c r="E74" s="1">
        <v>8.5000000000000006E-2</v>
      </c>
      <c r="F74" s="1">
        <v>0</v>
      </c>
      <c r="G74" s="1">
        <v>0</v>
      </c>
      <c r="H74" s="1">
        <v>1.3611675918699999</v>
      </c>
      <c r="I74" s="1">
        <v>1.7955013878099999</v>
      </c>
      <c r="J74" s="1">
        <v>0.74963341428899999</v>
      </c>
      <c r="K74" s="1">
        <v>2610.1706625800002</v>
      </c>
      <c r="L74" s="1">
        <v>619.85312943999998</v>
      </c>
      <c r="M74" s="1" t="s">
        <v>198</v>
      </c>
      <c r="N74" s="1" t="b">
        <v>1</v>
      </c>
    </row>
    <row r="75" spans="1:14" ht="19" customHeight="1" x14ac:dyDescent="0.3">
      <c r="A75">
        <v>70</v>
      </c>
      <c r="B75" s="1">
        <v>1</v>
      </c>
      <c r="C75" s="1">
        <v>30</v>
      </c>
      <c r="D75" s="1">
        <v>2.5000000000000001E-2</v>
      </c>
      <c r="E75" s="1">
        <v>8.5000000000000006E-2</v>
      </c>
      <c r="F75" s="1">
        <v>0</v>
      </c>
      <c r="G75" s="1">
        <v>1</v>
      </c>
      <c r="H75" s="1">
        <v>1.3611675918699999</v>
      </c>
      <c r="I75" s="1">
        <v>1.3466260408599999</v>
      </c>
      <c r="J75" s="1">
        <v>0.61469939971700005</v>
      </c>
      <c r="K75" s="1">
        <v>2239.0068600599998</v>
      </c>
      <c r="L75" s="1">
        <v>508.27956614099998</v>
      </c>
      <c r="M75" s="1" t="s">
        <v>198</v>
      </c>
      <c r="N75" s="1" t="b">
        <v>1</v>
      </c>
    </row>
    <row r="76" spans="1:14" ht="19" customHeight="1" x14ac:dyDescent="0.3">
      <c r="A76">
        <v>71</v>
      </c>
      <c r="B76" s="1">
        <v>1</v>
      </c>
      <c r="C76" s="1">
        <v>30</v>
      </c>
      <c r="D76" s="1">
        <v>2.5000000000000001E-2</v>
      </c>
      <c r="E76" s="1">
        <v>8.5000000000000006E-2</v>
      </c>
      <c r="F76" s="1">
        <v>5</v>
      </c>
      <c r="G76" s="1">
        <v>0</v>
      </c>
      <c r="H76" s="1">
        <v>1.33088329698</v>
      </c>
      <c r="I76" s="1">
        <v>1.7555537033099999</v>
      </c>
      <c r="J76" s="1">
        <v>0.75713341428900005</v>
      </c>
      <c r="K76" s="1">
        <v>2552.0975946200001</v>
      </c>
      <c r="L76" s="1">
        <v>626.05469194</v>
      </c>
      <c r="M76" s="1" t="s">
        <v>198</v>
      </c>
      <c r="N76" s="1" t="b">
        <v>1</v>
      </c>
    </row>
    <row r="77" spans="1:14" ht="19" customHeight="1" x14ac:dyDescent="0.3">
      <c r="A77">
        <v>72</v>
      </c>
      <c r="B77" s="1">
        <v>1</v>
      </c>
      <c r="C77" s="1">
        <v>30</v>
      </c>
      <c r="D77" s="1">
        <v>2.5000000000000001E-2</v>
      </c>
      <c r="E77" s="1">
        <v>8.5000000000000006E-2</v>
      </c>
      <c r="F77" s="1">
        <v>5</v>
      </c>
      <c r="G77" s="1">
        <v>1</v>
      </c>
      <c r="H77" s="1">
        <v>1.33088329698</v>
      </c>
      <c r="I77" s="1">
        <v>1.3166652774900001</v>
      </c>
      <c r="J77" s="1">
        <v>0.62084939971700004</v>
      </c>
      <c r="K77" s="1">
        <v>2189.19172751</v>
      </c>
      <c r="L77" s="1">
        <v>513.36484739100001</v>
      </c>
      <c r="M77" s="1" t="s">
        <v>198</v>
      </c>
      <c r="N77" s="1" t="b">
        <v>1</v>
      </c>
    </row>
    <row r="78" spans="1:14" ht="19" customHeight="1" x14ac:dyDescent="0.3">
      <c r="A78">
        <v>73</v>
      </c>
      <c r="B78" s="1">
        <v>1</v>
      </c>
      <c r="C78" s="1">
        <v>30</v>
      </c>
      <c r="D78" s="1">
        <v>0.04</v>
      </c>
      <c r="E78" s="1">
        <v>0.04</v>
      </c>
      <c r="F78" s="1">
        <v>-5</v>
      </c>
      <c r="G78" s="1">
        <v>0</v>
      </c>
      <c r="H78" s="1">
        <v>1.4000886057399999</v>
      </c>
      <c r="I78" s="1">
        <v>1.8593616664599999</v>
      </c>
      <c r="J78" s="1">
        <v>0.76332667110800001</v>
      </c>
      <c r="K78" s="1">
        <v>2695.1579438200001</v>
      </c>
      <c r="L78" s="1">
        <v>631.17574117200002</v>
      </c>
      <c r="M78" s="1" t="s">
        <v>198</v>
      </c>
      <c r="N78" s="1" t="b">
        <v>1</v>
      </c>
    </row>
    <row r="79" spans="1:14" ht="19" customHeight="1" x14ac:dyDescent="0.3">
      <c r="A79">
        <v>74</v>
      </c>
      <c r="B79" s="1">
        <v>1</v>
      </c>
      <c r="C79" s="1">
        <v>30</v>
      </c>
      <c r="D79" s="1">
        <v>0.04</v>
      </c>
      <c r="E79" s="1">
        <v>0.04</v>
      </c>
      <c r="F79" s="1">
        <v>-5</v>
      </c>
      <c r="G79" s="1">
        <v>1</v>
      </c>
      <c r="H79" s="1">
        <v>1.4000886057399999</v>
      </c>
      <c r="I79" s="1">
        <v>1.3945212498399999</v>
      </c>
      <c r="J79" s="1">
        <v>0.62592787030800001</v>
      </c>
      <c r="K79" s="1">
        <v>2310.7930243400001</v>
      </c>
      <c r="L79" s="1">
        <v>517.56410776099995</v>
      </c>
      <c r="M79" s="1" t="s">
        <v>198</v>
      </c>
      <c r="N79" s="1" t="b">
        <v>1</v>
      </c>
    </row>
    <row r="80" spans="1:14" ht="19" customHeight="1" x14ac:dyDescent="0.3">
      <c r="A80">
        <v>75</v>
      </c>
      <c r="B80" s="1">
        <v>1</v>
      </c>
      <c r="C80" s="1">
        <v>30</v>
      </c>
      <c r="D80" s="1">
        <v>0.04</v>
      </c>
      <c r="E80" s="1">
        <v>0.04</v>
      </c>
      <c r="F80" s="1">
        <v>0</v>
      </c>
      <c r="G80" s="1">
        <v>0</v>
      </c>
      <c r="H80" s="1">
        <v>1.4319476698</v>
      </c>
      <c r="I80" s="1">
        <v>1.9016715046999999</v>
      </c>
      <c r="J80" s="1">
        <v>0.75582667110799995</v>
      </c>
      <c r="K80" s="1">
        <v>2756.48635491</v>
      </c>
      <c r="L80" s="1">
        <v>624.97417867199999</v>
      </c>
      <c r="M80" s="1" t="s">
        <v>198</v>
      </c>
      <c r="N80" s="1" t="b">
        <v>1</v>
      </c>
    </row>
    <row r="81" spans="1:14" ht="19" customHeight="1" x14ac:dyDescent="0.3">
      <c r="A81">
        <v>76</v>
      </c>
      <c r="B81" s="1">
        <v>1</v>
      </c>
      <c r="C81" s="1">
        <v>30</v>
      </c>
      <c r="D81" s="1">
        <v>0.04</v>
      </c>
      <c r="E81" s="1">
        <v>0.04</v>
      </c>
      <c r="F81" s="1">
        <v>0</v>
      </c>
      <c r="G81" s="1">
        <v>1</v>
      </c>
      <c r="H81" s="1">
        <v>1.4319476698</v>
      </c>
      <c r="I81" s="1">
        <v>1.42625362853</v>
      </c>
      <c r="J81" s="1">
        <v>0.61977787030800002</v>
      </c>
      <c r="K81" s="1">
        <v>2363.3751985499998</v>
      </c>
      <c r="L81" s="1">
        <v>512.47882651099997</v>
      </c>
      <c r="M81" s="1" t="s">
        <v>198</v>
      </c>
      <c r="N81" s="1" t="b">
        <v>1</v>
      </c>
    </row>
    <row r="82" spans="1:14" ht="19" customHeight="1" x14ac:dyDescent="0.3">
      <c r="A82">
        <v>77</v>
      </c>
      <c r="B82" s="1">
        <v>1</v>
      </c>
      <c r="C82" s="1">
        <v>30</v>
      </c>
      <c r="D82" s="1">
        <v>0.04</v>
      </c>
      <c r="E82" s="1">
        <v>0.04</v>
      </c>
      <c r="F82" s="1">
        <v>5</v>
      </c>
      <c r="G82" s="1">
        <v>0</v>
      </c>
      <c r="H82" s="1">
        <v>1.4000886057399999</v>
      </c>
      <c r="I82" s="1">
        <v>1.8593616664599999</v>
      </c>
      <c r="J82" s="1">
        <v>0.76332667110800001</v>
      </c>
      <c r="K82" s="1">
        <v>2695.1579438200001</v>
      </c>
      <c r="L82" s="1">
        <v>631.17574117200002</v>
      </c>
      <c r="M82" s="1" t="s">
        <v>198</v>
      </c>
      <c r="N82" s="1" t="b">
        <v>1</v>
      </c>
    </row>
    <row r="83" spans="1:14" ht="19" customHeight="1" x14ac:dyDescent="0.3">
      <c r="A83">
        <v>78</v>
      </c>
      <c r="B83" s="1">
        <v>1</v>
      </c>
      <c r="C83" s="1">
        <v>30</v>
      </c>
      <c r="D83" s="1">
        <v>0.04</v>
      </c>
      <c r="E83" s="1">
        <v>0.04</v>
      </c>
      <c r="F83" s="1">
        <v>5</v>
      </c>
      <c r="G83" s="1">
        <v>1</v>
      </c>
      <c r="H83" s="1">
        <v>1.4000886057399999</v>
      </c>
      <c r="I83" s="1">
        <v>1.3945212498399999</v>
      </c>
      <c r="J83" s="1">
        <v>0.62592787030800001</v>
      </c>
      <c r="K83" s="1">
        <v>2310.7930243400001</v>
      </c>
      <c r="L83" s="1">
        <v>517.56410776099995</v>
      </c>
      <c r="M83" s="1" t="s">
        <v>198</v>
      </c>
      <c r="N83" s="1" t="b">
        <v>1</v>
      </c>
    </row>
    <row r="84" spans="1:14" ht="19" customHeight="1" x14ac:dyDescent="0.3">
      <c r="A84">
        <v>79</v>
      </c>
      <c r="B84" s="1">
        <v>1</v>
      </c>
      <c r="C84" s="1">
        <v>30</v>
      </c>
      <c r="D84" s="1">
        <v>0.04</v>
      </c>
      <c r="E84" s="1">
        <v>0.06</v>
      </c>
      <c r="F84" s="1">
        <v>-5</v>
      </c>
      <c r="G84" s="1">
        <v>0</v>
      </c>
      <c r="H84" s="1">
        <v>1.4412844213</v>
      </c>
      <c r="I84" s="1">
        <v>1.92115538979</v>
      </c>
      <c r="J84" s="1">
        <v>0.76701332853500004</v>
      </c>
      <c r="K84" s="1">
        <v>2780.3174187899999</v>
      </c>
      <c r="L84" s="1">
        <v>634.22414603300001</v>
      </c>
      <c r="M84" s="1" t="s">
        <v>198</v>
      </c>
      <c r="N84" s="1" t="b">
        <v>1</v>
      </c>
    </row>
    <row r="85" spans="1:14" ht="19" customHeight="1" x14ac:dyDescent="0.3">
      <c r="A85">
        <v>80</v>
      </c>
      <c r="B85" s="1">
        <v>1</v>
      </c>
      <c r="C85" s="1">
        <v>30</v>
      </c>
      <c r="D85" s="1">
        <v>0.04</v>
      </c>
      <c r="E85" s="1">
        <v>0.06</v>
      </c>
      <c r="F85" s="1">
        <v>-5</v>
      </c>
      <c r="G85" s="1">
        <v>1</v>
      </c>
      <c r="H85" s="1">
        <v>1.4412844213</v>
      </c>
      <c r="I85" s="1">
        <v>1.44086654234</v>
      </c>
      <c r="J85" s="1">
        <v>0.62895092939899999</v>
      </c>
      <c r="K85" s="1">
        <v>2383.1785780599998</v>
      </c>
      <c r="L85" s="1">
        <v>520.06379974699996</v>
      </c>
      <c r="M85" s="1" t="s">
        <v>198</v>
      </c>
      <c r="N85" s="1" t="b">
        <v>1</v>
      </c>
    </row>
    <row r="86" spans="1:14" ht="19" customHeight="1" x14ac:dyDescent="0.3">
      <c r="A86">
        <v>81</v>
      </c>
      <c r="B86" s="1">
        <v>1</v>
      </c>
      <c r="C86" s="1">
        <v>30</v>
      </c>
      <c r="D86" s="1">
        <v>0.04</v>
      </c>
      <c r="E86" s="1">
        <v>0.06</v>
      </c>
      <c r="F86" s="1">
        <v>0</v>
      </c>
      <c r="G86" s="1">
        <v>0</v>
      </c>
      <c r="H86" s="1">
        <v>1.4740808975499999</v>
      </c>
      <c r="I86" s="1">
        <v>1.96487134632</v>
      </c>
      <c r="J86" s="1">
        <v>0.75951332853499998</v>
      </c>
      <c r="K86" s="1">
        <v>2843.5836366499998</v>
      </c>
      <c r="L86" s="1">
        <v>628.02258353299999</v>
      </c>
      <c r="M86" s="1" t="s">
        <v>198</v>
      </c>
      <c r="N86" s="1" t="b">
        <v>1</v>
      </c>
    </row>
    <row r="87" spans="1:14" ht="19" customHeight="1" x14ac:dyDescent="0.3">
      <c r="A87">
        <v>82</v>
      </c>
      <c r="B87" s="1">
        <v>1</v>
      </c>
      <c r="C87" s="1">
        <v>30</v>
      </c>
      <c r="D87" s="1">
        <v>0.04</v>
      </c>
      <c r="E87" s="1">
        <v>0.06</v>
      </c>
      <c r="F87" s="1">
        <v>0</v>
      </c>
      <c r="G87" s="1">
        <v>1</v>
      </c>
      <c r="H87" s="1">
        <v>1.4740808975499999</v>
      </c>
      <c r="I87" s="1">
        <v>1.4736535097400001</v>
      </c>
      <c r="J87" s="1">
        <v>0.622800929399</v>
      </c>
      <c r="K87" s="1">
        <v>2437.4078880299999</v>
      </c>
      <c r="L87" s="1">
        <v>514.97851849699998</v>
      </c>
      <c r="M87" s="1" t="s">
        <v>198</v>
      </c>
      <c r="N87" s="1" t="b">
        <v>1</v>
      </c>
    </row>
    <row r="88" spans="1:14" ht="19" customHeight="1" x14ac:dyDescent="0.3">
      <c r="A88">
        <v>83</v>
      </c>
      <c r="B88" s="1">
        <v>1</v>
      </c>
      <c r="C88" s="1">
        <v>30</v>
      </c>
      <c r="D88" s="1">
        <v>0.04</v>
      </c>
      <c r="E88" s="1">
        <v>0.06</v>
      </c>
      <c r="F88" s="1">
        <v>5</v>
      </c>
      <c r="G88" s="1">
        <v>0</v>
      </c>
      <c r="H88" s="1">
        <v>1.4412844213</v>
      </c>
      <c r="I88" s="1">
        <v>1.92115538979</v>
      </c>
      <c r="J88" s="1">
        <v>0.76701332853500004</v>
      </c>
      <c r="K88" s="1">
        <v>2780.3174187899999</v>
      </c>
      <c r="L88" s="1">
        <v>634.22414603300001</v>
      </c>
      <c r="M88" s="1" t="s">
        <v>198</v>
      </c>
      <c r="N88" s="1" t="b">
        <v>1</v>
      </c>
    </row>
    <row r="89" spans="1:14" ht="19" customHeight="1" x14ac:dyDescent="0.3">
      <c r="A89">
        <v>84</v>
      </c>
      <c r="B89" s="1">
        <v>1</v>
      </c>
      <c r="C89" s="1">
        <v>30</v>
      </c>
      <c r="D89" s="1">
        <v>0.04</v>
      </c>
      <c r="E89" s="1">
        <v>0.06</v>
      </c>
      <c r="F89" s="1">
        <v>5</v>
      </c>
      <c r="G89" s="1">
        <v>1</v>
      </c>
      <c r="H89" s="1">
        <v>1.4412844213</v>
      </c>
      <c r="I89" s="1">
        <v>1.44086654234</v>
      </c>
      <c r="J89" s="1">
        <v>0.62895092939899999</v>
      </c>
      <c r="K89" s="1">
        <v>2383.1785780599998</v>
      </c>
      <c r="L89" s="1">
        <v>520.06379974699996</v>
      </c>
      <c r="M89" s="1" t="s">
        <v>198</v>
      </c>
      <c r="N89" s="1" t="b">
        <v>1</v>
      </c>
    </row>
    <row r="90" spans="1:14" ht="19" customHeight="1" x14ac:dyDescent="0.3">
      <c r="A90">
        <v>85</v>
      </c>
      <c r="B90" s="1">
        <v>1</v>
      </c>
      <c r="C90" s="1">
        <v>30</v>
      </c>
      <c r="D90" s="1">
        <v>0.04</v>
      </c>
      <c r="E90" s="1">
        <v>8.5000000000000006E-2</v>
      </c>
      <c r="F90" s="1">
        <v>-5</v>
      </c>
      <c r="G90" s="1">
        <v>0</v>
      </c>
      <c r="H90" s="1">
        <v>1.3359681032999999</v>
      </c>
      <c r="I90" s="1">
        <v>1.7631809128</v>
      </c>
      <c r="J90" s="1">
        <v>0.75758845902500005</v>
      </c>
      <c r="K90" s="1">
        <v>2562.6088426900001</v>
      </c>
      <c r="L90" s="1">
        <v>626.43095705600001</v>
      </c>
      <c r="M90" s="1" t="s">
        <v>198</v>
      </c>
      <c r="N90" s="1" t="b">
        <v>1</v>
      </c>
    </row>
    <row r="91" spans="1:14" ht="19" customHeight="1" x14ac:dyDescent="0.3">
      <c r="A91">
        <v>86</v>
      </c>
      <c r="B91" s="1">
        <v>1</v>
      </c>
      <c r="C91" s="1">
        <v>30</v>
      </c>
      <c r="D91" s="1">
        <v>0.04</v>
      </c>
      <c r="E91" s="1">
        <v>8.5000000000000006E-2</v>
      </c>
      <c r="F91" s="1">
        <v>-5</v>
      </c>
      <c r="G91" s="1">
        <v>1</v>
      </c>
      <c r="H91" s="1">
        <v>1.3359681032999999</v>
      </c>
      <c r="I91" s="1">
        <v>1.3223856845999999</v>
      </c>
      <c r="J91" s="1">
        <v>0.62122253640000002</v>
      </c>
      <c r="K91" s="1">
        <v>2198.1262883700001</v>
      </c>
      <c r="L91" s="1">
        <v>513.67338478600004</v>
      </c>
      <c r="M91" s="1" t="s">
        <v>198</v>
      </c>
      <c r="N91" s="1" t="b">
        <v>1</v>
      </c>
    </row>
    <row r="92" spans="1:14" ht="19" customHeight="1" x14ac:dyDescent="0.3">
      <c r="A92">
        <v>87</v>
      </c>
      <c r="B92" s="1">
        <v>1</v>
      </c>
      <c r="C92" s="1">
        <v>30</v>
      </c>
      <c r="D92" s="1">
        <v>0.04</v>
      </c>
      <c r="E92" s="1">
        <v>8.5000000000000006E-2</v>
      </c>
      <c r="F92" s="1">
        <v>0</v>
      </c>
      <c r="G92" s="1">
        <v>0</v>
      </c>
      <c r="H92" s="1">
        <v>1.3663681031399999</v>
      </c>
      <c r="I92" s="1">
        <v>1.8033021547100001</v>
      </c>
      <c r="J92" s="1">
        <v>0.75008845902499999</v>
      </c>
      <c r="K92" s="1">
        <v>2620.9210944599999</v>
      </c>
      <c r="L92" s="1">
        <v>620.22939455599999</v>
      </c>
      <c r="M92" s="1" t="s">
        <v>198</v>
      </c>
      <c r="N92" s="1" t="b">
        <v>1</v>
      </c>
    </row>
    <row r="93" spans="1:14" ht="19" customHeight="1" x14ac:dyDescent="0.3">
      <c r="A93">
        <v>88</v>
      </c>
      <c r="B93" s="1">
        <v>1</v>
      </c>
      <c r="C93" s="1">
        <v>30</v>
      </c>
      <c r="D93" s="1">
        <v>0.04</v>
      </c>
      <c r="E93" s="1">
        <v>8.5000000000000006E-2</v>
      </c>
      <c r="F93" s="1">
        <v>0</v>
      </c>
      <c r="G93" s="1">
        <v>1</v>
      </c>
      <c r="H93" s="1">
        <v>1.3663681031399999</v>
      </c>
      <c r="I93" s="1">
        <v>1.3524766160299999</v>
      </c>
      <c r="J93" s="1">
        <v>0.61507253640000004</v>
      </c>
      <c r="K93" s="1">
        <v>2248.14472716</v>
      </c>
      <c r="L93" s="1">
        <v>508.58810353600001</v>
      </c>
      <c r="M93" s="1" t="s">
        <v>198</v>
      </c>
      <c r="N93" s="1" t="b">
        <v>1</v>
      </c>
    </row>
    <row r="94" spans="1:14" ht="19" customHeight="1" x14ac:dyDescent="0.3">
      <c r="A94">
        <v>89</v>
      </c>
      <c r="B94" s="1">
        <v>1</v>
      </c>
      <c r="C94" s="1">
        <v>30</v>
      </c>
      <c r="D94" s="1">
        <v>0.04</v>
      </c>
      <c r="E94" s="1">
        <v>8.5000000000000006E-2</v>
      </c>
      <c r="F94" s="1">
        <v>5</v>
      </c>
      <c r="G94" s="1">
        <v>0</v>
      </c>
      <c r="H94" s="1">
        <v>1.3359681032999999</v>
      </c>
      <c r="I94" s="1">
        <v>1.7631809128</v>
      </c>
      <c r="J94" s="1">
        <v>0.75758845902500005</v>
      </c>
      <c r="K94" s="1">
        <v>2562.6088426900001</v>
      </c>
      <c r="L94" s="1">
        <v>626.43095705600001</v>
      </c>
      <c r="M94" s="1" t="s">
        <v>198</v>
      </c>
      <c r="N94" s="1" t="b">
        <v>1</v>
      </c>
    </row>
    <row r="95" spans="1:14" ht="19" customHeight="1" x14ac:dyDescent="0.3">
      <c r="A95">
        <v>90</v>
      </c>
      <c r="B95" s="1">
        <v>1</v>
      </c>
      <c r="C95" s="1">
        <v>30</v>
      </c>
      <c r="D95" s="1">
        <v>0.04</v>
      </c>
      <c r="E95" s="1">
        <v>8.5000000000000006E-2</v>
      </c>
      <c r="F95" s="1">
        <v>5</v>
      </c>
      <c r="G95" s="1">
        <v>1</v>
      </c>
      <c r="H95" s="1">
        <v>1.3359681032999999</v>
      </c>
      <c r="I95" s="1">
        <v>1.3223856845999999</v>
      </c>
      <c r="J95" s="1">
        <v>0.62122253640000002</v>
      </c>
      <c r="K95" s="1">
        <v>2198.1262883700001</v>
      </c>
      <c r="L95" s="1">
        <v>513.67338478600004</v>
      </c>
      <c r="M95" s="1" t="s">
        <v>198</v>
      </c>
      <c r="N95" s="1" t="b">
        <v>1</v>
      </c>
    </row>
    <row r="96" spans="1:14" ht="19" customHeight="1" x14ac:dyDescent="0.3">
      <c r="A96">
        <v>91</v>
      </c>
      <c r="B96" s="1">
        <v>1</v>
      </c>
      <c r="C96" s="1">
        <v>30</v>
      </c>
      <c r="D96" s="1">
        <v>5.5E-2</v>
      </c>
      <c r="E96" s="1">
        <v>0.04</v>
      </c>
      <c r="F96" s="1">
        <v>-5</v>
      </c>
      <c r="G96" s="1">
        <v>0</v>
      </c>
      <c r="H96" s="1">
        <v>1.2602035036799999</v>
      </c>
      <c r="I96" s="1">
        <v>1.6495340133600001</v>
      </c>
      <c r="J96" s="1">
        <v>0.75080820427799999</v>
      </c>
      <c r="K96" s="1">
        <v>2405.9892094000002</v>
      </c>
      <c r="L96" s="1">
        <v>620.82453391199999</v>
      </c>
      <c r="M96" s="1" t="s">
        <v>198</v>
      </c>
      <c r="N96" s="1" t="b">
        <v>1</v>
      </c>
    </row>
    <row r="97" spans="1:14" ht="19" customHeight="1" x14ac:dyDescent="0.3">
      <c r="A97">
        <v>92</v>
      </c>
      <c r="B97" s="1">
        <v>1</v>
      </c>
      <c r="C97" s="1">
        <v>30</v>
      </c>
      <c r="D97" s="1">
        <v>5.5E-2</v>
      </c>
      <c r="E97" s="1">
        <v>0.04</v>
      </c>
      <c r="F97" s="1">
        <v>-5</v>
      </c>
      <c r="G97" s="1">
        <v>1</v>
      </c>
      <c r="H97" s="1">
        <v>1.2602035036799999</v>
      </c>
      <c r="I97" s="1">
        <v>1.23715051002</v>
      </c>
      <c r="J97" s="1">
        <v>0.615662727508</v>
      </c>
      <c r="K97" s="1">
        <v>2064.9996000800002</v>
      </c>
      <c r="L97" s="1">
        <v>509.07611780799999</v>
      </c>
      <c r="M97" s="1" t="s">
        <v>198</v>
      </c>
      <c r="N97" s="1" t="b">
        <v>1</v>
      </c>
    </row>
    <row r="98" spans="1:14" ht="19" customHeight="1" x14ac:dyDescent="0.3">
      <c r="A98">
        <v>93</v>
      </c>
      <c r="B98" s="1">
        <v>1</v>
      </c>
      <c r="C98" s="1">
        <v>30</v>
      </c>
      <c r="D98" s="1">
        <v>5.5E-2</v>
      </c>
      <c r="E98" s="1">
        <v>0.04</v>
      </c>
      <c r="F98" s="1">
        <v>0</v>
      </c>
      <c r="G98" s="1">
        <v>0</v>
      </c>
      <c r="H98" s="1">
        <v>1.2888794774600001</v>
      </c>
      <c r="I98" s="1">
        <v>1.6870692161900001</v>
      </c>
      <c r="J98" s="1">
        <v>0.74330820427800004</v>
      </c>
      <c r="K98" s="1">
        <v>2460.7375760599998</v>
      </c>
      <c r="L98" s="1">
        <v>614.62297141199997</v>
      </c>
      <c r="M98" s="1" t="s">
        <v>198</v>
      </c>
      <c r="N98" s="1" t="b">
        <v>1</v>
      </c>
    </row>
    <row r="99" spans="1:14" ht="19" customHeight="1" x14ac:dyDescent="0.3">
      <c r="A99">
        <v>94</v>
      </c>
      <c r="B99" s="1">
        <v>1</v>
      </c>
      <c r="C99" s="1">
        <v>30</v>
      </c>
      <c r="D99" s="1">
        <v>5.5E-2</v>
      </c>
      <c r="E99" s="1">
        <v>0.04</v>
      </c>
      <c r="F99" s="1">
        <v>0</v>
      </c>
      <c r="G99" s="1">
        <v>1</v>
      </c>
      <c r="H99" s="1">
        <v>1.2888794774600001</v>
      </c>
      <c r="I99" s="1">
        <v>1.26530191214</v>
      </c>
      <c r="J99" s="1">
        <v>0.60951272750800001</v>
      </c>
      <c r="K99" s="1">
        <v>2111.9887365300001</v>
      </c>
      <c r="L99" s="1">
        <v>503.99083655800001</v>
      </c>
      <c r="M99" s="1" t="s">
        <v>198</v>
      </c>
      <c r="N99" s="1" t="b">
        <v>1</v>
      </c>
    </row>
    <row r="100" spans="1:14" ht="19" customHeight="1" x14ac:dyDescent="0.3">
      <c r="A100">
        <v>95</v>
      </c>
      <c r="B100" s="1">
        <v>1</v>
      </c>
      <c r="C100" s="1">
        <v>30</v>
      </c>
      <c r="D100" s="1">
        <v>5.5E-2</v>
      </c>
      <c r="E100" s="1">
        <v>0.04</v>
      </c>
      <c r="F100" s="1">
        <v>5</v>
      </c>
      <c r="G100" s="1">
        <v>0</v>
      </c>
      <c r="H100" s="1">
        <v>1.2602035036799999</v>
      </c>
      <c r="I100" s="1">
        <v>1.6495340133600001</v>
      </c>
      <c r="J100" s="1">
        <v>0.75080820427799999</v>
      </c>
      <c r="K100" s="1">
        <v>2405.9892094000002</v>
      </c>
      <c r="L100" s="1">
        <v>620.82453391199999</v>
      </c>
      <c r="M100" s="1" t="s">
        <v>198</v>
      </c>
      <c r="N100" s="1" t="b">
        <v>1</v>
      </c>
    </row>
    <row r="101" spans="1:14" ht="19" customHeight="1" x14ac:dyDescent="0.3">
      <c r="A101">
        <v>96</v>
      </c>
      <c r="B101" s="1">
        <v>1</v>
      </c>
      <c r="C101" s="1">
        <v>30</v>
      </c>
      <c r="D101" s="1">
        <v>5.5E-2</v>
      </c>
      <c r="E101" s="1">
        <v>0.04</v>
      </c>
      <c r="F101" s="1">
        <v>5</v>
      </c>
      <c r="G101" s="1">
        <v>1</v>
      </c>
      <c r="H101" s="1">
        <v>1.2602035036799999</v>
      </c>
      <c r="I101" s="1">
        <v>1.23715051002</v>
      </c>
      <c r="J101" s="1">
        <v>0.615662727508</v>
      </c>
      <c r="K101" s="1">
        <v>2064.9996000800002</v>
      </c>
      <c r="L101" s="1">
        <v>509.07611780799999</v>
      </c>
      <c r="M101" s="1" t="s">
        <v>198</v>
      </c>
      <c r="N101" s="1" t="b">
        <v>1</v>
      </c>
    </row>
    <row r="102" spans="1:14" ht="19" customHeight="1" x14ac:dyDescent="0.3">
      <c r="A102">
        <v>97</v>
      </c>
      <c r="B102" s="1">
        <v>1</v>
      </c>
      <c r="C102" s="1">
        <v>30</v>
      </c>
      <c r="D102" s="1">
        <v>5.5E-2</v>
      </c>
      <c r="E102" s="1">
        <v>0.06</v>
      </c>
      <c r="F102" s="1">
        <v>-5</v>
      </c>
      <c r="G102" s="1">
        <v>0</v>
      </c>
      <c r="H102" s="1">
        <v>1.2878331033899999</v>
      </c>
      <c r="I102" s="1">
        <v>1.6909784129200001</v>
      </c>
      <c r="J102" s="1">
        <v>0.75328080659499996</v>
      </c>
      <c r="K102" s="1">
        <v>2463.1047725499998</v>
      </c>
      <c r="L102" s="1">
        <v>622.86906695300002</v>
      </c>
      <c r="M102" s="1" t="s">
        <v>198</v>
      </c>
      <c r="N102" s="1" t="b">
        <v>1</v>
      </c>
    </row>
    <row r="103" spans="1:14" ht="19" customHeight="1" x14ac:dyDescent="0.3">
      <c r="A103">
        <v>98</v>
      </c>
      <c r="B103" s="1">
        <v>1</v>
      </c>
      <c r="C103" s="1">
        <v>30</v>
      </c>
      <c r="D103" s="1">
        <v>5.5E-2</v>
      </c>
      <c r="E103" s="1">
        <v>0.06</v>
      </c>
      <c r="F103" s="1">
        <v>-5</v>
      </c>
      <c r="G103" s="1">
        <v>1</v>
      </c>
      <c r="H103" s="1">
        <v>1.2878331033899999</v>
      </c>
      <c r="I103" s="1">
        <v>1.2682338096900001</v>
      </c>
      <c r="J103" s="1">
        <v>0.61769026140799999</v>
      </c>
      <c r="K103" s="1">
        <v>2113.54782875</v>
      </c>
      <c r="L103" s="1">
        <v>510.75263490100002</v>
      </c>
      <c r="M103" s="1" t="s">
        <v>198</v>
      </c>
      <c r="N103" s="1" t="b">
        <v>1</v>
      </c>
    </row>
    <row r="104" spans="1:14" ht="19" customHeight="1" x14ac:dyDescent="0.3">
      <c r="A104">
        <v>99</v>
      </c>
      <c r="B104" s="1">
        <v>1</v>
      </c>
      <c r="C104" s="1">
        <v>30</v>
      </c>
      <c r="D104" s="1">
        <v>5.5E-2</v>
      </c>
      <c r="E104" s="1">
        <v>0.06</v>
      </c>
      <c r="F104" s="1">
        <v>0</v>
      </c>
      <c r="G104" s="1">
        <v>0</v>
      </c>
      <c r="H104" s="1">
        <v>1.3171377896500001</v>
      </c>
      <c r="I104" s="1">
        <v>1.7294566844799999</v>
      </c>
      <c r="J104" s="1">
        <v>0.74578080659500001</v>
      </c>
      <c r="K104" s="1">
        <v>2519.1528057999999</v>
      </c>
      <c r="L104" s="1">
        <v>616.66750445299999</v>
      </c>
      <c r="M104" s="1" t="s">
        <v>198</v>
      </c>
      <c r="N104" s="1" t="b">
        <v>1</v>
      </c>
    </row>
    <row r="105" spans="1:14" ht="19" customHeight="1" x14ac:dyDescent="0.3">
      <c r="A105">
        <v>100</v>
      </c>
      <c r="B105" s="1">
        <v>1</v>
      </c>
      <c r="C105" s="1">
        <v>30</v>
      </c>
      <c r="D105" s="1">
        <v>5.5E-2</v>
      </c>
      <c r="E105" s="1">
        <v>0.06</v>
      </c>
      <c r="F105" s="1">
        <v>0</v>
      </c>
      <c r="G105" s="1">
        <v>1</v>
      </c>
      <c r="H105" s="1">
        <v>1.3171377896500001</v>
      </c>
      <c r="I105" s="1">
        <v>1.29709251336</v>
      </c>
      <c r="J105" s="1">
        <v>0.611540261408</v>
      </c>
      <c r="K105" s="1">
        <v>2161.6416817999998</v>
      </c>
      <c r="L105" s="1">
        <v>505.66735365099998</v>
      </c>
      <c r="M105" s="1" t="s">
        <v>198</v>
      </c>
      <c r="N105" s="1" t="b">
        <v>1</v>
      </c>
    </row>
    <row r="106" spans="1:14" ht="19" customHeight="1" x14ac:dyDescent="0.3">
      <c r="A106">
        <v>101</v>
      </c>
      <c r="B106" s="1">
        <v>1</v>
      </c>
      <c r="C106" s="1">
        <v>30</v>
      </c>
      <c r="D106" s="1">
        <v>5.5E-2</v>
      </c>
      <c r="E106" s="1">
        <v>0.06</v>
      </c>
      <c r="F106" s="1">
        <v>5</v>
      </c>
      <c r="G106" s="1">
        <v>0</v>
      </c>
      <c r="H106" s="1">
        <v>1.2878331033899999</v>
      </c>
      <c r="I106" s="1">
        <v>1.6909784129200001</v>
      </c>
      <c r="J106" s="1">
        <v>0.75328080659499996</v>
      </c>
      <c r="K106" s="1">
        <v>2463.1047725499998</v>
      </c>
      <c r="L106" s="1">
        <v>622.86906695300002</v>
      </c>
      <c r="M106" s="1" t="s">
        <v>198</v>
      </c>
      <c r="N106" s="1" t="b">
        <v>1</v>
      </c>
    </row>
    <row r="107" spans="1:14" ht="19" customHeight="1" x14ac:dyDescent="0.3">
      <c r="A107">
        <v>102</v>
      </c>
      <c r="B107" s="1">
        <v>1</v>
      </c>
      <c r="C107" s="1">
        <v>30</v>
      </c>
      <c r="D107" s="1">
        <v>5.5E-2</v>
      </c>
      <c r="E107" s="1">
        <v>0.06</v>
      </c>
      <c r="F107" s="1">
        <v>5</v>
      </c>
      <c r="G107" s="1">
        <v>1</v>
      </c>
      <c r="H107" s="1">
        <v>1.2878331033899999</v>
      </c>
      <c r="I107" s="1">
        <v>1.2682338096900001</v>
      </c>
      <c r="J107" s="1">
        <v>0.61769026140799999</v>
      </c>
      <c r="K107" s="1">
        <v>2113.54782875</v>
      </c>
      <c r="L107" s="1">
        <v>510.75263490100002</v>
      </c>
      <c r="M107" s="1" t="s">
        <v>198</v>
      </c>
      <c r="N107" s="1" t="b">
        <v>1</v>
      </c>
    </row>
    <row r="108" spans="1:14" ht="19" customHeight="1" x14ac:dyDescent="0.3">
      <c r="A108">
        <v>103</v>
      </c>
      <c r="B108" s="1">
        <v>1</v>
      </c>
      <c r="C108" s="1">
        <v>30</v>
      </c>
      <c r="D108" s="1">
        <v>5.5E-2</v>
      </c>
      <c r="E108" s="1">
        <v>8.5000000000000006E-2</v>
      </c>
      <c r="F108" s="1">
        <v>-5</v>
      </c>
      <c r="G108" s="1">
        <v>0</v>
      </c>
      <c r="H108" s="1">
        <v>1.21719855787</v>
      </c>
      <c r="I108" s="1">
        <v>1.58502659465</v>
      </c>
      <c r="J108" s="1">
        <v>0.74695964585600005</v>
      </c>
      <c r="K108" s="1">
        <v>2317.089923</v>
      </c>
      <c r="L108" s="1">
        <v>617.64225716700003</v>
      </c>
      <c r="M108" s="1" t="s">
        <v>198</v>
      </c>
      <c r="N108" s="1" t="b">
        <v>1</v>
      </c>
    </row>
    <row r="109" spans="1:14" ht="19" customHeight="1" x14ac:dyDescent="0.3">
      <c r="A109">
        <v>104</v>
      </c>
      <c r="B109" s="1">
        <v>1</v>
      </c>
      <c r="C109" s="1">
        <v>30</v>
      </c>
      <c r="D109" s="1">
        <v>5.5E-2</v>
      </c>
      <c r="E109" s="1">
        <v>8.5000000000000006E-2</v>
      </c>
      <c r="F109" s="1">
        <v>-5</v>
      </c>
      <c r="G109" s="1">
        <v>1</v>
      </c>
      <c r="H109" s="1">
        <v>1.21719855787</v>
      </c>
      <c r="I109" s="1">
        <v>1.1887699459900001</v>
      </c>
      <c r="J109" s="1">
        <v>0.61250690960200005</v>
      </c>
      <c r="K109" s="1">
        <v>1989.43520663</v>
      </c>
      <c r="L109" s="1">
        <v>506.46665087700001</v>
      </c>
      <c r="M109" s="1" t="s">
        <v>198</v>
      </c>
      <c r="N109" s="1" t="b">
        <v>1</v>
      </c>
    </row>
    <row r="110" spans="1:14" ht="19" customHeight="1" x14ac:dyDescent="0.3">
      <c r="A110">
        <v>105</v>
      </c>
      <c r="B110" s="1">
        <v>1</v>
      </c>
      <c r="C110" s="1">
        <v>30</v>
      </c>
      <c r="D110" s="1">
        <v>5.5E-2</v>
      </c>
      <c r="E110" s="1">
        <v>8.5000000000000006E-2</v>
      </c>
      <c r="F110" s="1">
        <v>0</v>
      </c>
      <c r="G110" s="1">
        <v>0</v>
      </c>
      <c r="H110" s="1">
        <v>1.2448959526400001</v>
      </c>
      <c r="I110" s="1">
        <v>1.6210939289699999</v>
      </c>
      <c r="J110" s="1">
        <v>0.73945964585599999</v>
      </c>
      <c r="K110" s="1">
        <v>2369.8153833599999</v>
      </c>
      <c r="L110" s="1">
        <v>611.440694667</v>
      </c>
      <c r="M110" s="1" t="s">
        <v>198</v>
      </c>
      <c r="N110" s="1" t="b">
        <v>1</v>
      </c>
    </row>
    <row r="111" spans="1:14" ht="19" customHeight="1" x14ac:dyDescent="0.3">
      <c r="A111">
        <v>106</v>
      </c>
      <c r="B111" s="1">
        <v>1</v>
      </c>
      <c r="C111" s="1">
        <v>30</v>
      </c>
      <c r="D111" s="1">
        <v>5.5E-2</v>
      </c>
      <c r="E111" s="1">
        <v>8.5000000000000006E-2</v>
      </c>
      <c r="F111" s="1">
        <v>0</v>
      </c>
      <c r="G111" s="1">
        <v>1</v>
      </c>
      <c r="H111" s="1">
        <v>1.2448959526400001</v>
      </c>
      <c r="I111" s="1">
        <v>1.21582044672</v>
      </c>
      <c r="J111" s="1">
        <v>0.60635690960199995</v>
      </c>
      <c r="K111" s="1">
        <v>2034.70487273</v>
      </c>
      <c r="L111" s="1">
        <v>501.38136962700003</v>
      </c>
      <c r="M111" s="1" t="s">
        <v>198</v>
      </c>
      <c r="N111" s="1" t="b">
        <v>1</v>
      </c>
    </row>
    <row r="112" spans="1:14" ht="19" customHeight="1" x14ac:dyDescent="0.3">
      <c r="A112">
        <v>107</v>
      </c>
      <c r="B112" s="1">
        <v>1</v>
      </c>
      <c r="C112" s="1">
        <v>30</v>
      </c>
      <c r="D112" s="1">
        <v>5.5E-2</v>
      </c>
      <c r="E112" s="1">
        <v>8.5000000000000006E-2</v>
      </c>
      <c r="F112" s="1">
        <v>5</v>
      </c>
      <c r="G112" s="1">
        <v>0</v>
      </c>
      <c r="H112" s="1">
        <v>1.21719855787</v>
      </c>
      <c r="I112" s="1">
        <v>1.58502659465</v>
      </c>
      <c r="J112" s="1">
        <v>0.74695964585600005</v>
      </c>
      <c r="K112" s="1">
        <v>2317.089923</v>
      </c>
      <c r="L112" s="1">
        <v>617.64225716700003</v>
      </c>
      <c r="M112" s="1" t="s">
        <v>198</v>
      </c>
      <c r="N112" s="1" t="b">
        <v>1</v>
      </c>
    </row>
    <row r="113" spans="1:14" ht="19" customHeight="1" x14ac:dyDescent="0.3">
      <c r="A113">
        <v>108</v>
      </c>
      <c r="B113" s="1">
        <v>1</v>
      </c>
      <c r="C113" s="1">
        <v>30</v>
      </c>
      <c r="D113" s="1">
        <v>5.5E-2</v>
      </c>
      <c r="E113" s="1">
        <v>8.5000000000000006E-2</v>
      </c>
      <c r="F113" s="1">
        <v>5</v>
      </c>
      <c r="G113" s="1">
        <v>1</v>
      </c>
      <c r="H113" s="1">
        <v>1.21719855787</v>
      </c>
      <c r="I113" s="1">
        <v>1.1887699459900001</v>
      </c>
      <c r="J113" s="1">
        <v>0.61250690960200005</v>
      </c>
      <c r="K113" s="1">
        <v>1989.43520663</v>
      </c>
      <c r="L113" s="1">
        <v>506.46665087700001</v>
      </c>
      <c r="M113" s="1" t="s">
        <v>198</v>
      </c>
      <c r="N113" s="1" t="b">
        <v>1</v>
      </c>
    </row>
    <row r="114" spans="1:14" ht="19" customHeight="1" x14ac:dyDescent="0.3">
      <c r="A114">
        <v>109</v>
      </c>
      <c r="B114" s="1">
        <v>1</v>
      </c>
      <c r="C114" s="1">
        <v>50</v>
      </c>
      <c r="D114" s="1">
        <v>2.5000000000000001E-2</v>
      </c>
      <c r="E114" s="1">
        <v>0.04</v>
      </c>
      <c r="F114" s="1">
        <v>-5</v>
      </c>
      <c r="G114" s="1">
        <v>0</v>
      </c>
      <c r="H114" s="1">
        <v>1.39409979229</v>
      </c>
      <c r="I114" s="1">
        <v>1.8503784462799999</v>
      </c>
      <c r="J114" s="1">
        <v>0.76279072581100005</v>
      </c>
      <c r="K114" s="1">
        <v>7452.1609542099995</v>
      </c>
      <c r="L114" s="1">
        <v>1752.0349483499999</v>
      </c>
      <c r="M114" s="1" t="s">
        <v>198</v>
      </c>
      <c r="N114" s="1" t="b">
        <v>1</v>
      </c>
    </row>
    <row r="115" spans="1:14" ht="19" customHeight="1" x14ac:dyDescent="0.3">
      <c r="A115">
        <v>110</v>
      </c>
      <c r="B115" s="1">
        <v>1</v>
      </c>
      <c r="C115" s="1">
        <v>50</v>
      </c>
      <c r="D115" s="1">
        <v>2.5000000000000001E-2</v>
      </c>
      <c r="E115" s="1">
        <v>0.04</v>
      </c>
      <c r="F115" s="1">
        <v>-5</v>
      </c>
      <c r="G115" s="1">
        <v>1</v>
      </c>
      <c r="H115" s="1">
        <v>1.39409979229</v>
      </c>
      <c r="I115" s="1">
        <v>1.38778383471</v>
      </c>
      <c r="J115" s="1">
        <v>0.62548839516499999</v>
      </c>
      <c r="K115" s="1">
        <v>6389.6389557599996</v>
      </c>
      <c r="L115" s="1">
        <v>1436.66865764</v>
      </c>
      <c r="M115" s="1" t="s">
        <v>198</v>
      </c>
      <c r="N115" s="1" t="b">
        <v>1</v>
      </c>
    </row>
    <row r="116" spans="1:14" ht="19" customHeight="1" x14ac:dyDescent="0.3">
      <c r="A116">
        <v>111</v>
      </c>
      <c r="B116" s="1">
        <v>1</v>
      </c>
      <c r="C116" s="1">
        <v>50</v>
      </c>
      <c r="D116" s="1">
        <v>2.5000000000000001E-2</v>
      </c>
      <c r="E116" s="1">
        <v>0.04</v>
      </c>
      <c r="F116" s="1">
        <v>0</v>
      </c>
      <c r="G116" s="1">
        <v>0</v>
      </c>
      <c r="H116" s="1">
        <v>1.42582258069</v>
      </c>
      <c r="I116" s="1">
        <v>1.89248387104</v>
      </c>
      <c r="J116" s="1">
        <v>0.75529072581099999</v>
      </c>
      <c r="K116" s="1">
        <v>7621.7351313199997</v>
      </c>
      <c r="L116" s="1">
        <v>1734.8083858499999</v>
      </c>
      <c r="M116" s="1" t="s">
        <v>198</v>
      </c>
      <c r="N116" s="1" t="b">
        <v>1</v>
      </c>
    </row>
    <row r="117" spans="1:14" ht="19" customHeight="1" x14ac:dyDescent="0.3">
      <c r="A117">
        <v>112</v>
      </c>
      <c r="B117" s="1">
        <v>1</v>
      </c>
      <c r="C117" s="1">
        <v>50</v>
      </c>
      <c r="D117" s="1">
        <v>2.5000000000000001E-2</v>
      </c>
      <c r="E117" s="1">
        <v>0.04</v>
      </c>
      <c r="F117" s="1">
        <v>0</v>
      </c>
      <c r="G117" s="1">
        <v>1</v>
      </c>
      <c r="H117" s="1">
        <v>1.42582258069</v>
      </c>
      <c r="I117" s="1">
        <v>1.4193629032799999</v>
      </c>
      <c r="J117" s="1">
        <v>0.619338395165</v>
      </c>
      <c r="K117" s="1">
        <v>6535.0354084999999</v>
      </c>
      <c r="L117" s="1">
        <v>1422.5428763899999</v>
      </c>
      <c r="M117" s="1" t="s">
        <v>198</v>
      </c>
      <c r="N117" s="1" t="b">
        <v>1</v>
      </c>
    </row>
    <row r="118" spans="1:14" ht="19" customHeight="1" x14ac:dyDescent="0.3">
      <c r="A118">
        <v>113</v>
      </c>
      <c r="B118" s="1">
        <v>1</v>
      </c>
      <c r="C118" s="1">
        <v>50</v>
      </c>
      <c r="D118" s="1">
        <v>2.5000000000000001E-2</v>
      </c>
      <c r="E118" s="1">
        <v>0.04</v>
      </c>
      <c r="F118" s="1">
        <v>5</v>
      </c>
      <c r="G118" s="1">
        <v>0</v>
      </c>
      <c r="H118" s="1">
        <v>1.39409979229</v>
      </c>
      <c r="I118" s="1">
        <v>1.8503784462799999</v>
      </c>
      <c r="J118" s="1">
        <v>0.76279072581100005</v>
      </c>
      <c r="K118" s="1">
        <v>7452.1609542099995</v>
      </c>
      <c r="L118" s="1">
        <v>1752.0349483499999</v>
      </c>
      <c r="M118" s="1" t="s">
        <v>198</v>
      </c>
      <c r="N118" s="1" t="b">
        <v>1</v>
      </c>
    </row>
    <row r="119" spans="1:14" ht="19" customHeight="1" x14ac:dyDescent="0.3">
      <c r="A119">
        <v>114</v>
      </c>
      <c r="B119" s="1">
        <v>1</v>
      </c>
      <c r="C119" s="1">
        <v>50</v>
      </c>
      <c r="D119" s="1">
        <v>2.5000000000000001E-2</v>
      </c>
      <c r="E119" s="1">
        <v>0.04</v>
      </c>
      <c r="F119" s="1">
        <v>5</v>
      </c>
      <c r="G119" s="1">
        <v>1</v>
      </c>
      <c r="H119" s="1">
        <v>1.39409979229</v>
      </c>
      <c r="I119" s="1">
        <v>1.38778383471</v>
      </c>
      <c r="J119" s="1">
        <v>0.62548839516499999</v>
      </c>
      <c r="K119" s="1">
        <v>6389.6389557599996</v>
      </c>
      <c r="L119" s="1">
        <v>1436.66865764</v>
      </c>
      <c r="M119" s="1" t="s">
        <v>198</v>
      </c>
      <c r="N119" s="1" t="b">
        <v>1</v>
      </c>
    </row>
    <row r="120" spans="1:14" ht="19" customHeight="1" x14ac:dyDescent="0.3">
      <c r="A120">
        <v>115</v>
      </c>
      <c r="B120" s="1">
        <v>1</v>
      </c>
      <c r="C120" s="1">
        <v>50</v>
      </c>
      <c r="D120" s="1">
        <v>2.5000000000000001E-2</v>
      </c>
      <c r="E120" s="1">
        <v>0.06</v>
      </c>
      <c r="F120" s="1">
        <v>-5</v>
      </c>
      <c r="G120" s="1">
        <v>0</v>
      </c>
      <c r="H120" s="1">
        <v>1.4347148059299999</v>
      </c>
      <c r="I120" s="1">
        <v>1.9113009667300001</v>
      </c>
      <c r="J120" s="1">
        <v>0.76642540665600001</v>
      </c>
      <c r="K120" s="1">
        <v>7685.37997782</v>
      </c>
      <c r="L120" s="1">
        <v>1760.3833559100001</v>
      </c>
      <c r="M120" s="1" t="s">
        <v>198</v>
      </c>
      <c r="N120" s="1" t="b">
        <v>1</v>
      </c>
    </row>
    <row r="121" spans="1:14" ht="19" customHeight="1" x14ac:dyDescent="0.3">
      <c r="A121">
        <v>116</v>
      </c>
      <c r="B121" s="1">
        <v>1</v>
      </c>
      <c r="C121" s="1">
        <v>50</v>
      </c>
      <c r="D121" s="1">
        <v>2.5000000000000001E-2</v>
      </c>
      <c r="E121" s="1">
        <v>0.06</v>
      </c>
      <c r="F121" s="1">
        <v>-5</v>
      </c>
      <c r="G121" s="1">
        <v>1</v>
      </c>
      <c r="H121" s="1">
        <v>1.4347148059299999</v>
      </c>
      <c r="I121" s="1">
        <v>1.4334757250500001</v>
      </c>
      <c r="J121" s="1">
        <v>0.62846883345799998</v>
      </c>
      <c r="K121" s="1">
        <v>6587.8751258299999</v>
      </c>
      <c r="L121" s="1">
        <v>1443.5143518499999</v>
      </c>
      <c r="M121" s="1" t="s">
        <v>198</v>
      </c>
      <c r="N121" s="1" t="b">
        <v>1</v>
      </c>
    </row>
    <row r="122" spans="1:14" ht="19" customHeight="1" x14ac:dyDescent="0.3">
      <c r="A122">
        <v>117</v>
      </c>
      <c r="B122" s="1">
        <v>1</v>
      </c>
      <c r="C122" s="1">
        <v>50</v>
      </c>
      <c r="D122" s="1">
        <v>2.5000000000000001E-2</v>
      </c>
      <c r="E122" s="1">
        <v>0.06</v>
      </c>
      <c r="F122" s="1">
        <v>0</v>
      </c>
      <c r="G122" s="1">
        <v>0</v>
      </c>
      <c r="H122" s="1">
        <v>1.46736179035</v>
      </c>
      <c r="I122" s="1">
        <v>1.95479268553</v>
      </c>
      <c r="J122" s="1">
        <v>0.75892540665599995</v>
      </c>
      <c r="K122" s="1">
        <v>7860.2610617800001</v>
      </c>
      <c r="L122" s="1">
        <v>1743.1567934100001</v>
      </c>
      <c r="M122" s="1" t="s">
        <v>198</v>
      </c>
      <c r="N122" s="1" t="b">
        <v>1</v>
      </c>
    </row>
    <row r="123" spans="1:14" ht="19" customHeight="1" x14ac:dyDescent="0.3">
      <c r="A123">
        <v>118</v>
      </c>
      <c r="B123" s="1">
        <v>1</v>
      </c>
      <c r="C123" s="1">
        <v>50</v>
      </c>
      <c r="D123" s="1">
        <v>2.5000000000000001E-2</v>
      </c>
      <c r="E123" s="1">
        <v>0.06</v>
      </c>
      <c r="F123" s="1">
        <v>0</v>
      </c>
      <c r="G123" s="1">
        <v>1</v>
      </c>
      <c r="H123" s="1">
        <v>1.46736179035</v>
      </c>
      <c r="I123" s="1">
        <v>1.4660945141399999</v>
      </c>
      <c r="J123" s="1">
        <v>0.62231883345799999</v>
      </c>
      <c r="K123" s="1">
        <v>6737.7824493899998</v>
      </c>
      <c r="L123" s="1">
        <v>1429.3885706000001</v>
      </c>
      <c r="M123" s="1" t="s">
        <v>198</v>
      </c>
      <c r="N123" s="1" t="b">
        <v>1</v>
      </c>
    </row>
    <row r="124" spans="1:14" ht="19" customHeight="1" x14ac:dyDescent="0.3">
      <c r="A124">
        <v>119</v>
      </c>
      <c r="B124" s="1">
        <v>1</v>
      </c>
      <c r="C124" s="1">
        <v>50</v>
      </c>
      <c r="D124" s="1">
        <v>2.5000000000000001E-2</v>
      </c>
      <c r="E124" s="1">
        <v>0.06</v>
      </c>
      <c r="F124" s="1">
        <v>5</v>
      </c>
      <c r="G124" s="1">
        <v>0</v>
      </c>
      <c r="H124" s="1">
        <v>1.4347148059299999</v>
      </c>
      <c r="I124" s="1">
        <v>1.9113009667300001</v>
      </c>
      <c r="J124" s="1">
        <v>0.76642540665600001</v>
      </c>
      <c r="K124" s="1">
        <v>7685.37997782</v>
      </c>
      <c r="L124" s="1">
        <v>1760.3833559100001</v>
      </c>
      <c r="M124" s="1" t="s">
        <v>198</v>
      </c>
      <c r="N124" s="1" t="b">
        <v>1</v>
      </c>
    </row>
    <row r="125" spans="1:14" ht="19" customHeight="1" x14ac:dyDescent="0.3">
      <c r="A125">
        <v>120</v>
      </c>
      <c r="B125" s="1">
        <v>1</v>
      </c>
      <c r="C125" s="1">
        <v>50</v>
      </c>
      <c r="D125" s="1">
        <v>2.5000000000000001E-2</v>
      </c>
      <c r="E125" s="1">
        <v>0.06</v>
      </c>
      <c r="F125" s="1">
        <v>5</v>
      </c>
      <c r="G125" s="1">
        <v>1</v>
      </c>
      <c r="H125" s="1">
        <v>1.4347148059299999</v>
      </c>
      <c r="I125" s="1">
        <v>1.4334757250500001</v>
      </c>
      <c r="J125" s="1">
        <v>0.62846883345799998</v>
      </c>
      <c r="K125" s="1">
        <v>6587.8751258299999</v>
      </c>
      <c r="L125" s="1">
        <v>1443.5143518499999</v>
      </c>
      <c r="M125" s="1" t="s">
        <v>198</v>
      </c>
      <c r="N125" s="1" t="b">
        <v>1</v>
      </c>
    </row>
    <row r="126" spans="1:14" ht="19" customHeight="1" x14ac:dyDescent="0.3">
      <c r="A126">
        <v>121</v>
      </c>
      <c r="B126" s="1">
        <v>1</v>
      </c>
      <c r="C126" s="1">
        <v>50</v>
      </c>
      <c r="D126" s="1">
        <v>2.5000000000000001E-2</v>
      </c>
      <c r="E126" s="1">
        <v>8.5000000000000006E-2</v>
      </c>
      <c r="F126" s="1">
        <v>-5</v>
      </c>
      <c r="G126" s="1">
        <v>0</v>
      </c>
      <c r="H126" s="1">
        <v>1.33088329698</v>
      </c>
      <c r="I126" s="1">
        <v>1.7555537033099999</v>
      </c>
      <c r="J126" s="1">
        <v>0.75713341428900005</v>
      </c>
      <c r="K126" s="1">
        <v>7089.1599850499997</v>
      </c>
      <c r="L126" s="1">
        <v>1739.04081094</v>
      </c>
      <c r="M126" s="1" t="s">
        <v>198</v>
      </c>
      <c r="N126" s="1" t="b">
        <v>1</v>
      </c>
    </row>
    <row r="127" spans="1:14" ht="19" customHeight="1" x14ac:dyDescent="0.3">
      <c r="A127">
        <v>122</v>
      </c>
      <c r="B127" s="1">
        <v>1</v>
      </c>
      <c r="C127" s="1">
        <v>50</v>
      </c>
      <c r="D127" s="1">
        <v>2.5000000000000001E-2</v>
      </c>
      <c r="E127" s="1">
        <v>8.5000000000000006E-2</v>
      </c>
      <c r="F127" s="1">
        <v>-5</v>
      </c>
      <c r="G127" s="1">
        <v>1</v>
      </c>
      <c r="H127" s="1">
        <v>1.33088329698</v>
      </c>
      <c r="I127" s="1">
        <v>1.3166652774900001</v>
      </c>
      <c r="J127" s="1">
        <v>0.62084939971700004</v>
      </c>
      <c r="K127" s="1">
        <v>6081.0881319800001</v>
      </c>
      <c r="L127" s="1">
        <v>1426.0134649700001</v>
      </c>
      <c r="M127" s="1" t="s">
        <v>198</v>
      </c>
      <c r="N127" s="1" t="b">
        <v>1</v>
      </c>
    </row>
    <row r="128" spans="1:14" ht="19" customHeight="1" x14ac:dyDescent="0.3">
      <c r="A128">
        <v>123</v>
      </c>
      <c r="B128" s="1">
        <v>1</v>
      </c>
      <c r="C128" s="1">
        <v>50</v>
      </c>
      <c r="D128" s="1">
        <v>2.5000000000000001E-2</v>
      </c>
      <c r="E128" s="1">
        <v>8.5000000000000006E-2</v>
      </c>
      <c r="F128" s="1">
        <v>0</v>
      </c>
      <c r="G128" s="1">
        <v>0</v>
      </c>
      <c r="H128" s="1">
        <v>1.3611675918699999</v>
      </c>
      <c r="I128" s="1">
        <v>1.7955013878099999</v>
      </c>
      <c r="J128" s="1">
        <v>0.74963341428899999</v>
      </c>
      <c r="K128" s="1">
        <v>7250.47406271</v>
      </c>
      <c r="L128" s="1">
        <v>1721.81424844</v>
      </c>
      <c r="M128" s="1" t="s">
        <v>198</v>
      </c>
      <c r="N128" s="1" t="b">
        <v>1</v>
      </c>
    </row>
    <row r="129" spans="1:14" ht="19" customHeight="1" x14ac:dyDescent="0.3">
      <c r="A129">
        <v>124</v>
      </c>
      <c r="B129" s="1">
        <v>1</v>
      </c>
      <c r="C129" s="1">
        <v>50</v>
      </c>
      <c r="D129" s="1">
        <v>2.5000000000000001E-2</v>
      </c>
      <c r="E129" s="1">
        <v>8.5000000000000006E-2</v>
      </c>
      <c r="F129" s="1">
        <v>0</v>
      </c>
      <c r="G129" s="1">
        <v>1</v>
      </c>
      <c r="H129" s="1">
        <v>1.3611675918699999</v>
      </c>
      <c r="I129" s="1">
        <v>1.3466260408599999</v>
      </c>
      <c r="J129" s="1">
        <v>0.61469939971700005</v>
      </c>
      <c r="K129" s="1">
        <v>6219.4635001799998</v>
      </c>
      <c r="L129" s="1">
        <v>1411.88768372</v>
      </c>
      <c r="M129" s="1" t="s">
        <v>198</v>
      </c>
      <c r="N129" s="1" t="b">
        <v>1</v>
      </c>
    </row>
    <row r="130" spans="1:14" ht="19" customHeight="1" x14ac:dyDescent="0.3">
      <c r="A130">
        <v>125</v>
      </c>
      <c r="B130" s="1">
        <v>1</v>
      </c>
      <c r="C130" s="1">
        <v>50</v>
      </c>
      <c r="D130" s="1">
        <v>2.5000000000000001E-2</v>
      </c>
      <c r="E130" s="1">
        <v>8.5000000000000006E-2</v>
      </c>
      <c r="F130" s="1">
        <v>5</v>
      </c>
      <c r="G130" s="1">
        <v>0</v>
      </c>
      <c r="H130" s="1">
        <v>1.33088329698</v>
      </c>
      <c r="I130" s="1">
        <v>1.7555537033099999</v>
      </c>
      <c r="J130" s="1">
        <v>0.75713341428900005</v>
      </c>
      <c r="K130" s="1">
        <v>7089.1599850499997</v>
      </c>
      <c r="L130" s="1">
        <v>1739.04081094</v>
      </c>
      <c r="M130" s="1" t="s">
        <v>198</v>
      </c>
      <c r="N130" s="1" t="b">
        <v>1</v>
      </c>
    </row>
    <row r="131" spans="1:14" ht="19" customHeight="1" x14ac:dyDescent="0.3">
      <c r="A131">
        <v>126</v>
      </c>
      <c r="B131" s="1">
        <v>1</v>
      </c>
      <c r="C131" s="1">
        <v>50</v>
      </c>
      <c r="D131" s="1">
        <v>2.5000000000000001E-2</v>
      </c>
      <c r="E131" s="1">
        <v>8.5000000000000006E-2</v>
      </c>
      <c r="F131" s="1">
        <v>5</v>
      </c>
      <c r="G131" s="1">
        <v>1</v>
      </c>
      <c r="H131" s="1">
        <v>1.33088329698</v>
      </c>
      <c r="I131" s="1">
        <v>1.3166652774900001</v>
      </c>
      <c r="J131" s="1">
        <v>0.62084939971700004</v>
      </c>
      <c r="K131" s="1">
        <v>6081.0881319800001</v>
      </c>
      <c r="L131" s="1">
        <v>1426.0134649700001</v>
      </c>
      <c r="M131" s="1" t="s">
        <v>198</v>
      </c>
      <c r="N131" s="1" t="b">
        <v>1</v>
      </c>
    </row>
    <row r="132" spans="1:14" ht="19" customHeight="1" x14ac:dyDescent="0.3">
      <c r="A132">
        <v>127</v>
      </c>
      <c r="B132" s="1">
        <v>1</v>
      </c>
      <c r="C132" s="1">
        <v>50</v>
      </c>
      <c r="D132" s="1">
        <v>0.04</v>
      </c>
      <c r="E132" s="1">
        <v>0.04</v>
      </c>
      <c r="F132" s="1">
        <v>-5</v>
      </c>
      <c r="G132" s="1">
        <v>0</v>
      </c>
      <c r="H132" s="1">
        <v>1.4000886057399999</v>
      </c>
      <c r="I132" s="1">
        <v>1.8593616664599999</v>
      </c>
      <c r="J132" s="1">
        <v>0.76332667110800001</v>
      </c>
      <c r="K132" s="1">
        <v>7486.5498439599996</v>
      </c>
      <c r="L132" s="1">
        <v>1753.2659477</v>
      </c>
      <c r="M132" s="1" t="s">
        <v>198</v>
      </c>
      <c r="N132" s="1" t="b">
        <v>1</v>
      </c>
    </row>
    <row r="133" spans="1:14" ht="19" customHeight="1" x14ac:dyDescent="0.3">
      <c r="A133">
        <v>128</v>
      </c>
      <c r="B133" s="1">
        <v>1</v>
      </c>
      <c r="C133" s="1">
        <v>50</v>
      </c>
      <c r="D133" s="1">
        <v>0.04</v>
      </c>
      <c r="E133" s="1">
        <v>0.04</v>
      </c>
      <c r="F133" s="1">
        <v>-5</v>
      </c>
      <c r="G133" s="1">
        <v>1</v>
      </c>
      <c r="H133" s="1">
        <v>1.4000886057399999</v>
      </c>
      <c r="I133" s="1">
        <v>1.3945212498399999</v>
      </c>
      <c r="J133" s="1">
        <v>0.62592787030800001</v>
      </c>
      <c r="K133" s="1">
        <v>6418.8695120499997</v>
      </c>
      <c r="L133" s="1">
        <v>1437.67807711</v>
      </c>
      <c r="M133" s="1" t="s">
        <v>198</v>
      </c>
      <c r="N133" s="1" t="b">
        <v>1</v>
      </c>
    </row>
    <row r="134" spans="1:14" ht="19" customHeight="1" x14ac:dyDescent="0.3">
      <c r="A134">
        <v>129</v>
      </c>
      <c r="B134" s="1">
        <v>1</v>
      </c>
      <c r="C134" s="1">
        <v>50</v>
      </c>
      <c r="D134" s="1">
        <v>0.04</v>
      </c>
      <c r="E134" s="1">
        <v>0.04</v>
      </c>
      <c r="F134" s="1">
        <v>0</v>
      </c>
      <c r="G134" s="1">
        <v>0</v>
      </c>
      <c r="H134" s="1">
        <v>1.4319476698</v>
      </c>
      <c r="I134" s="1">
        <v>1.9016715046999999</v>
      </c>
      <c r="J134" s="1">
        <v>0.75582667110799995</v>
      </c>
      <c r="K134" s="1">
        <v>7656.9065414300003</v>
      </c>
      <c r="L134" s="1">
        <v>1736.0393852</v>
      </c>
      <c r="M134" s="1" t="s">
        <v>198</v>
      </c>
      <c r="N134" s="1" t="b">
        <v>1</v>
      </c>
    </row>
    <row r="135" spans="1:14" ht="19" customHeight="1" x14ac:dyDescent="0.3">
      <c r="A135">
        <v>130</v>
      </c>
      <c r="B135" s="1">
        <v>1</v>
      </c>
      <c r="C135" s="1">
        <v>50</v>
      </c>
      <c r="D135" s="1">
        <v>0.04</v>
      </c>
      <c r="E135" s="1">
        <v>0.04</v>
      </c>
      <c r="F135" s="1">
        <v>0</v>
      </c>
      <c r="G135" s="1">
        <v>1</v>
      </c>
      <c r="H135" s="1">
        <v>1.4319476698</v>
      </c>
      <c r="I135" s="1">
        <v>1.42625362853</v>
      </c>
      <c r="J135" s="1">
        <v>0.61977787030800002</v>
      </c>
      <c r="K135" s="1">
        <v>6564.9311070900003</v>
      </c>
      <c r="L135" s="1">
        <v>1423.55229586</v>
      </c>
      <c r="M135" s="1" t="s">
        <v>198</v>
      </c>
      <c r="N135" s="1" t="b">
        <v>1</v>
      </c>
    </row>
    <row r="136" spans="1:14" ht="19" customHeight="1" x14ac:dyDescent="0.3">
      <c r="A136">
        <v>131</v>
      </c>
      <c r="B136" s="1">
        <v>1</v>
      </c>
      <c r="C136" s="1">
        <v>50</v>
      </c>
      <c r="D136" s="1">
        <v>0.04</v>
      </c>
      <c r="E136" s="1">
        <v>0.04</v>
      </c>
      <c r="F136" s="1">
        <v>5</v>
      </c>
      <c r="G136" s="1">
        <v>0</v>
      </c>
      <c r="H136" s="1">
        <v>1.4000886057399999</v>
      </c>
      <c r="I136" s="1">
        <v>1.8593616664599999</v>
      </c>
      <c r="J136" s="1">
        <v>0.76332667110800001</v>
      </c>
      <c r="K136" s="1">
        <v>7486.5498439599996</v>
      </c>
      <c r="L136" s="1">
        <v>1753.2659477</v>
      </c>
      <c r="M136" s="1" t="s">
        <v>198</v>
      </c>
      <c r="N136" s="1" t="b">
        <v>1</v>
      </c>
    </row>
    <row r="137" spans="1:14" ht="19" customHeight="1" x14ac:dyDescent="0.3">
      <c r="A137">
        <v>132</v>
      </c>
      <c r="B137" s="1">
        <v>1</v>
      </c>
      <c r="C137" s="1">
        <v>50</v>
      </c>
      <c r="D137" s="1">
        <v>0.04</v>
      </c>
      <c r="E137" s="1">
        <v>0.04</v>
      </c>
      <c r="F137" s="1">
        <v>5</v>
      </c>
      <c r="G137" s="1">
        <v>1</v>
      </c>
      <c r="H137" s="1">
        <v>1.4000886057399999</v>
      </c>
      <c r="I137" s="1">
        <v>1.3945212498399999</v>
      </c>
      <c r="J137" s="1">
        <v>0.62592787030800001</v>
      </c>
      <c r="K137" s="1">
        <v>6418.8695120499997</v>
      </c>
      <c r="L137" s="1">
        <v>1437.67807711</v>
      </c>
      <c r="M137" s="1" t="s">
        <v>198</v>
      </c>
      <c r="N137" s="1" t="b">
        <v>1</v>
      </c>
    </row>
    <row r="138" spans="1:14" ht="19" customHeight="1" x14ac:dyDescent="0.3">
      <c r="A138">
        <v>133</v>
      </c>
      <c r="B138" s="1">
        <v>1</v>
      </c>
      <c r="C138" s="1">
        <v>50</v>
      </c>
      <c r="D138" s="1">
        <v>0.04</v>
      </c>
      <c r="E138" s="1">
        <v>0.06</v>
      </c>
      <c r="F138" s="1">
        <v>-5</v>
      </c>
      <c r="G138" s="1">
        <v>0</v>
      </c>
      <c r="H138" s="1">
        <v>1.4412844213</v>
      </c>
      <c r="I138" s="1">
        <v>1.92115538979</v>
      </c>
      <c r="J138" s="1">
        <v>0.76701332853500004</v>
      </c>
      <c r="K138" s="1">
        <v>7723.1039411000002</v>
      </c>
      <c r="L138" s="1">
        <v>1761.73373898</v>
      </c>
      <c r="M138" s="1" t="s">
        <v>198</v>
      </c>
      <c r="N138" s="1" t="b">
        <v>1</v>
      </c>
    </row>
    <row r="139" spans="1:14" ht="19" customHeight="1" x14ac:dyDescent="0.3">
      <c r="A139">
        <v>134</v>
      </c>
      <c r="B139" s="1">
        <v>1</v>
      </c>
      <c r="C139" s="1">
        <v>50</v>
      </c>
      <c r="D139" s="1">
        <v>0.04</v>
      </c>
      <c r="E139" s="1">
        <v>0.06</v>
      </c>
      <c r="F139" s="1">
        <v>-5</v>
      </c>
      <c r="G139" s="1">
        <v>1</v>
      </c>
      <c r="H139" s="1">
        <v>1.4412844213</v>
      </c>
      <c r="I139" s="1">
        <v>1.44086654234</v>
      </c>
      <c r="J139" s="1">
        <v>0.62895092939899999</v>
      </c>
      <c r="K139" s="1">
        <v>6619.9404946200002</v>
      </c>
      <c r="L139" s="1">
        <v>1444.62166596</v>
      </c>
      <c r="M139" s="1" t="s">
        <v>198</v>
      </c>
      <c r="N139" s="1" t="b">
        <v>1</v>
      </c>
    </row>
    <row r="140" spans="1:14" ht="19" customHeight="1" x14ac:dyDescent="0.3">
      <c r="A140">
        <v>135</v>
      </c>
      <c r="B140" s="1">
        <v>1</v>
      </c>
      <c r="C140" s="1">
        <v>50</v>
      </c>
      <c r="D140" s="1">
        <v>0.04</v>
      </c>
      <c r="E140" s="1">
        <v>0.06</v>
      </c>
      <c r="F140" s="1">
        <v>0</v>
      </c>
      <c r="G140" s="1">
        <v>0</v>
      </c>
      <c r="H140" s="1">
        <v>1.4740808975499999</v>
      </c>
      <c r="I140" s="1">
        <v>1.96487134632</v>
      </c>
      <c r="J140" s="1">
        <v>0.75951332853499998</v>
      </c>
      <c r="K140" s="1">
        <v>7898.8434351300002</v>
      </c>
      <c r="L140" s="1">
        <v>1744.50717648</v>
      </c>
      <c r="M140" s="1" t="s">
        <v>198</v>
      </c>
      <c r="N140" s="1" t="b">
        <v>1</v>
      </c>
    </row>
    <row r="141" spans="1:14" ht="19" customHeight="1" x14ac:dyDescent="0.3">
      <c r="A141">
        <v>136</v>
      </c>
      <c r="B141" s="1">
        <v>1</v>
      </c>
      <c r="C141" s="1">
        <v>50</v>
      </c>
      <c r="D141" s="1">
        <v>0.04</v>
      </c>
      <c r="E141" s="1">
        <v>0.06</v>
      </c>
      <c r="F141" s="1">
        <v>0</v>
      </c>
      <c r="G141" s="1">
        <v>1</v>
      </c>
      <c r="H141" s="1">
        <v>1.4740808975499999</v>
      </c>
      <c r="I141" s="1">
        <v>1.4736535097400001</v>
      </c>
      <c r="J141" s="1">
        <v>0.622800929399</v>
      </c>
      <c r="K141" s="1">
        <v>6770.5774667400001</v>
      </c>
      <c r="L141" s="1">
        <v>1430.4958847099999</v>
      </c>
      <c r="M141" s="1" t="s">
        <v>198</v>
      </c>
      <c r="N141" s="1" t="b">
        <v>1</v>
      </c>
    </row>
    <row r="142" spans="1:14" ht="19" customHeight="1" x14ac:dyDescent="0.3">
      <c r="A142">
        <v>137</v>
      </c>
      <c r="B142" s="1">
        <v>1</v>
      </c>
      <c r="C142" s="1">
        <v>50</v>
      </c>
      <c r="D142" s="1">
        <v>0.04</v>
      </c>
      <c r="E142" s="1">
        <v>0.06</v>
      </c>
      <c r="F142" s="1">
        <v>5</v>
      </c>
      <c r="G142" s="1">
        <v>0</v>
      </c>
      <c r="H142" s="1">
        <v>1.4412844213</v>
      </c>
      <c r="I142" s="1">
        <v>1.92115538979</v>
      </c>
      <c r="J142" s="1">
        <v>0.76701332853500004</v>
      </c>
      <c r="K142" s="1">
        <v>7723.1039411000002</v>
      </c>
      <c r="L142" s="1">
        <v>1761.73373898</v>
      </c>
      <c r="M142" s="1" t="s">
        <v>198</v>
      </c>
      <c r="N142" s="1" t="b">
        <v>1</v>
      </c>
    </row>
    <row r="143" spans="1:14" ht="19" customHeight="1" x14ac:dyDescent="0.3">
      <c r="A143">
        <v>138</v>
      </c>
      <c r="B143" s="1">
        <v>1</v>
      </c>
      <c r="C143" s="1">
        <v>50</v>
      </c>
      <c r="D143" s="1">
        <v>0.04</v>
      </c>
      <c r="E143" s="1">
        <v>0.06</v>
      </c>
      <c r="F143" s="1">
        <v>5</v>
      </c>
      <c r="G143" s="1">
        <v>1</v>
      </c>
      <c r="H143" s="1">
        <v>1.4412844213</v>
      </c>
      <c r="I143" s="1">
        <v>1.44086654234</v>
      </c>
      <c r="J143" s="1">
        <v>0.62895092939899999</v>
      </c>
      <c r="K143" s="1">
        <v>6619.9404946200002</v>
      </c>
      <c r="L143" s="1">
        <v>1444.62166596</v>
      </c>
      <c r="M143" s="1" t="s">
        <v>198</v>
      </c>
      <c r="N143" s="1" t="b">
        <v>1</v>
      </c>
    </row>
    <row r="144" spans="1:14" ht="19" customHeight="1" x14ac:dyDescent="0.3">
      <c r="A144">
        <v>139</v>
      </c>
      <c r="B144" s="1">
        <v>1</v>
      </c>
      <c r="C144" s="1">
        <v>50</v>
      </c>
      <c r="D144" s="1">
        <v>0.04</v>
      </c>
      <c r="E144" s="1">
        <v>8.5000000000000006E-2</v>
      </c>
      <c r="F144" s="1">
        <v>-5</v>
      </c>
      <c r="G144" s="1">
        <v>0</v>
      </c>
      <c r="H144" s="1">
        <v>1.3359681032999999</v>
      </c>
      <c r="I144" s="1">
        <v>1.7631809128</v>
      </c>
      <c r="J144" s="1">
        <v>0.75758845902500005</v>
      </c>
      <c r="K144" s="1">
        <v>7118.3578963600003</v>
      </c>
      <c r="L144" s="1">
        <v>1740.0859918199999</v>
      </c>
      <c r="M144" s="1" t="s">
        <v>198</v>
      </c>
      <c r="N144" s="1" t="b">
        <v>1</v>
      </c>
    </row>
    <row r="145" spans="1:14" ht="19" customHeight="1" x14ac:dyDescent="0.3">
      <c r="A145">
        <v>140</v>
      </c>
      <c r="B145" s="1">
        <v>1</v>
      </c>
      <c r="C145" s="1">
        <v>50</v>
      </c>
      <c r="D145" s="1">
        <v>0.04</v>
      </c>
      <c r="E145" s="1">
        <v>8.5000000000000006E-2</v>
      </c>
      <c r="F145" s="1">
        <v>-5</v>
      </c>
      <c r="G145" s="1">
        <v>1</v>
      </c>
      <c r="H145" s="1">
        <v>1.3359681032999999</v>
      </c>
      <c r="I145" s="1">
        <v>1.3223856845999999</v>
      </c>
      <c r="J145" s="1">
        <v>0.62122253640000002</v>
      </c>
      <c r="K145" s="1">
        <v>6105.9063565899996</v>
      </c>
      <c r="L145" s="1">
        <v>1426.87051329</v>
      </c>
      <c r="M145" s="1" t="s">
        <v>198</v>
      </c>
      <c r="N145" s="1" t="b">
        <v>1</v>
      </c>
    </row>
    <row r="146" spans="1:14" ht="19" customHeight="1" x14ac:dyDescent="0.3">
      <c r="A146">
        <v>141</v>
      </c>
      <c r="B146" s="1">
        <v>1</v>
      </c>
      <c r="C146" s="1">
        <v>50</v>
      </c>
      <c r="D146" s="1">
        <v>0.04</v>
      </c>
      <c r="E146" s="1">
        <v>8.5000000000000006E-2</v>
      </c>
      <c r="F146" s="1">
        <v>0</v>
      </c>
      <c r="G146" s="1">
        <v>0</v>
      </c>
      <c r="H146" s="1">
        <v>1.3663681031399999</v>
      </c>
      <c r="I146" s="1">
        <v>1.8033021547100001</v>
      </c>
      <c r="J146" s="1">
        <v>0.75008845902499999</v>
      </c>
      <c r="K146" s="1">
        <v>7280.3363734900004</v>
      </c>
      <c r="L146" s="1">
        <v>1722.8594293199999</v>
      </c>
      <c r="M146" s="1" t="s">
        <v>198</v>
      </c>
      <c r="N146" s="1" t="b">
        <v>1</v>
      </c>
    </row>
    <row r="147" spans="1:14" ht="19" customHeight="1" x14ac:dyDescent="0.3">
      <c r="A147">
        <v>142</v>
      </c>
      <c r="B147" s="1">
        <v>1</v>
      </c>
      <c r="C147" s="1">
        <v>50</v>
      </c>
      <c r="D147" s="1">
        <v>0.04</v>
      </c>
      <c r="E147" s="1">
        <v>8.5000000000000006E-2</v>
      </c>
      <c r="F147" s="1">
        <v>0</v>
      </c>
      <c r="G147" s="1">
        <v>1</v>
      </c>
      <c r="H147" s="1">
        <v>1.3663681031399999</v>
      </c>
      <c r="I147" s="1">
        <v>1.3524766160299999</v>
      </c>
      <c r="J147" s="1">
        <v>0.61507253640000004</v>
      </c>
      <c r="K147" s="1">
        <v>6244.8464643400002</v>
      </c>
      <c r="L147" s="1">
        <v>1412.7447320399999</v>
      </c>
      <c r="M147" s="1" t="s">
        <v>198</v>
      </c>
      <c r="N147" s="1" t="b">
        <v>1</v>
      </c>
    </row>
    <row r="148" spans="1:14" ht="19" customHeight="1" x14ac:dyDescent="0.3">
      <c r="A148">
        <v>143</v>
      </c>
      <c r="B148" s="1">
        <v>1</v>
      </c>
      <c r="C148" s="1">
        <v>50</v>
      </c>
      <c r="D148" s="1">
        <v>0.04</v>
      </c>
      <c r="E148" s="1">
        <v>8.5000000000000006E-2</v>
      </c>
      <c r="F148" s="1">
        <v>5</v>
      </c>
      <c r="G148" s="1">
        <v>0</v>
      </c>
      <c r="H148" s="1">
        <v>1.3359681032999999</v>
      </c>
      <c r="I148" s="1">
        <v>1.7631809128</v>
      </c>
      <c r="J148" s="1">
        <v>0.75758845902500005</v>
      </c>
      <c r="K148" s="1">
        <v>7118.3578963600003</v>
      </c>
      <c r="L148" s="1">
        <v>1740.0859918199999</v>
      </c>
      <c r="M148" s="1" t="s">
        <v>198</v>
      </c>
      <c r="N148" s="1" t="b">
        <v>1</v>
      </c>
    </row>
    <row r="149" spans="1:14" ht="19" customHeight="1" x14ac:dyDescent="0.3">
      <c r="A149">
        <v>144</v>
      </c>
      <c r="B149" s="1">
        <v>1</v>
      </c>
      <c r="C149" s="1">
        <v>50</v>
      </c>
      <c r="D149" s="1">
        <v>0.04</v>
      </c>
      <c r="E149" s="1">
        <v>8.5000000000000006E-2</v>
      </c>
      <c r="F149" s="1">
        <v>5</v>
      </c>
      <c r="G149" s="1">
        <v>1</v>
      </c>
      <c r="H149" s="1">
        <v>1.3359681032999999</v>
      </c>
      <c r="I149" s="1">
        <v>1.3223856845999999</v>
      </c>
      <c r="J149" s="1">
        <v>0.62122253640000002</v>
      </c>
      <c r="K149" s="1">
        <v>6105.9063565899996</v>
      </c>
      <c r="L149" s="1">
        <v>1426.87051329</v>
      </c>
      <c r="M149" s="1" t="s">
        <v>198</v>
      </c>
      <c r="N149" s="1" t="b">
        <v>1</v>
      </c>
    </row>
    <row r="150" spans="1:14" ht="19" customHeight="1" x14ac:dyDescent="0.3">
      <c r="A150">
        <v>145</v>
      </c>
      <c r="B150" s="1">
        <v>1</v>
      </c>
      <c r="C150" s="1">
        <v>50</v>
      </c>
      <c r="D150" s="1">
        <v>5.5E-2</v>
      </c>
      <c r="E150" s="1">
        <v>0.04</v>
      </c>
      <c r="F150" s="1">
        <v>-5</v>
      </c>
      <c r="G150" s="1">
        <v>0</v>
      </c>
      <c r="H150" s="1">
        <v>1.2602035036799999</v>
      </c>
      <c r="I150" s="1">
        <v>1.6495340133600001</v>
      </c>
      <c r="J150" s="1">
        <v>0.75080820427799999</v>
      </c>
      <c r="K150" s="1">
        <v>6683.3033594500002</v>
      </c>
      <c r="L150" s="1">
        <v>1724.5125942</v>
      </c>
      <c r="M150" s="1" t="s">
        <v>198</v>
      </c>
      <c r="N150" s="1" t="b">
        <v>1</v>
      </c>
    </row>
    <row r="151" spans="1:14" ht="19" customHeight="1" x14ac:dyDescent="0.3">
      <c r="A151">
        <v>146</v>
      </c>
      <c r="B151" s="1">
        <v>1</v>
      </c>
      <c r="C151" s="1">
        <v>50</v>
      </c>
      <c r="D151" s="1">
        <v>5.5E-2</v>
      </c>
      <c r="E151" s="1">
        <v>0.04</v>
      </c>
      <c r="F151" s="1">
        <v>-5</v>
      </c>
      <c r="G151" s="1">
        <v>1</v>
      </c>
      <c r="H151" s="1">
        <v>1.2602035036799999</v>
      </c>
      <c r="I151" s="1">
        <v>1.23715051002</v>
      </c>
      <c r="J151" s="1">
        <v>0.615662727508</v>
      </c>
      <c r="K151" s="1">
        <v>5736.1100002200001</v>
      </c>
      <c r="L151" s="1">
        <v>1414.1003272400001</v>
      </c>
      <c r="M151" s="1" t="s">
        <v>198</v>
      </c>
      <c r="N151" s="1" t="b">
        <v>1</v>
      </c>
    </row>
    <row r="152" spans="1:14" ht="19" customHeight="1" x14ac:dyDescent="0.3">
      <c r="A152">
        <v>147</v>
      </c>
      <c r="B152" s="1">
        <v>1</v>
      </c>
      <c r="C152" s="1">
        <v>50</v>
      </c>
      <c r="D152" s="1">
        <v>5.5E-2</v>
      </c>
      <c r="E152" s="1">
        <v>0.04</v>
      </c>
      <c r="F152" s="1">
        <v>0</v>
      </c>
      <c r="G152" s="1">
        <v>0</v>
      </c>
      <c r="H152" s="1">
        <v>1.2888794774600001</v>
      </c>
      <c r="I152" s="1">
        <v>1.6870692161900001</v>
      </c>
      <c r="J152" s="1">
        <v>0.74330820427800004</v>
      </c>
      <c r="K152" s="1">
        <v>6835.3821557299998</v>
      </c>
      <c r="L152" s="1">
        <v>1707.2860317</v>
      </c>
      <c r="M152" s="1" t="s">
        <v>198</v>
      </c>
      <c r="N152" s="1" t="b">
        <v>1</v>
      </c>
    </row>
    <row r="153" spans="1:14" ht="19" customHeight="1" x14ac:dyDescent="0.3">
      <c r="A153">
        <v>148</v>
      </c>
      <c r="B153" s="1">
        <v>1</v>
      </c>
      <c r="C153" s="1">
        <v>50</v>
      </c>
      <c r="D153" s="1">
        <v>5.5E-2</v>
      </c>
      <c r="E153" s="1">
        <v>0.04</v>
      </c>
      <c r="F153" s="1">
        <v>0</v>
      </c>
      <c r="G153" s="1">
        <v>1</v>
      </c>
      <c r="H153" s="1">
        <v>1.2888794774600001</v>
      </c>
      <c r="I153" s="1">
        <v>1.26530191214</v>
      </c>
      <c r="J153" s="1">
        <v>0.60951272750800001</v>
      </c>
      <c r="K153" s="1">
        <v>5866.6353792399996</v>
      </c>
      <c r="L153" s="1">
        <v>1399.97454599</v>
      </c>
      <c r="M153" s="1" t="s">
        <v>198</v>
      </c>
      <c r="N153" s="1" t="b">
        <v>1</v>
      </c>
    </row>
    <row r="154" spans="1:14" ht="19" customHeight="1" x14ac:dyDescent="0.3">
      <c r="A154">
        <v>149</v>
      </c>
      <c r="B154" s="1">
        <v>1</v>
      </c>
      <c r="C154" s="1">
        <v>50</v>
      </c>
      <c r="D154" s="1">
        <v>5.5E-2</v>
      </c>
      <c r="E154" s="1">
        <v>0.04</v>
      </c>
      <c r="F154" s="1">
        <v>5</v>
      </c>
      <c r="G154" s="1">
        <v>0</v>
      </c>
      <c r="H154" s="1">
        <v>1.2602035036799999</v>
      </c>
      <c r="I154" s="1">
        <v>1.6495340133600001</v>
      </c>
      <c r="J154" s="1">
        <v>0.75080820427799999</v>
      </c>
      <c r="K154" s="1">
        <v>6683.3033594500002</v>
      </c>
      <c r="L154" s="1">
        <v>1724.5125942</v>
      </c>
      <c r="M154" s="1" t="s">
        <v>198</v>
      </c>
      <c r="N154" s="1" t="b">
        <v>1</v>
      </c>
    </row>
    <row r="155" spans="1:14" ht="19" customHeight="1" x14ac:dyDescent="0.3">
      <c r="A155">
        <v>150</v>
      </c>
      <c r="B155" s="1">
        <v>1</v>
      </c>
      <c r="C155" s="1">
        <v>50</v>
      </c>
      <c r="D155" s="1">
        <v>5.5E-2</v>
      </c>
      <c r="E155" s="1">
        <v>0.04</v>
      </c>
      <c r="F155" s="1">
        <v>5</v>
      </c>
      <c r="G155" s="1">
        <v>1</v>
      </c>
      <c r="H155" s="1">
        <v>1.2602035036799999</v>
      </c>
      <c r="I155" s="1">
        <v>1.23715051002</v>
      </c>
      <c r="J155" s="1">
        <v>0.615662727508</v>
      </c>
      <c r="K155" s="1">
        <v>5736.1100002200001</v>
      </c>
      <c r="L155" s="1">
        <v>1414.1003272400001</v>
      </c>
      <c r="M155" s="1" t="s">
        <v>198</v>
      </c>
      <c r="N155" s="1" t="b">
        <v>1</v>
      </c>
    </row>
    <row r="156" spans="1:14" ht="19" customHeight="1" x14ac:dyDescent="0.3">
      <c r="A156">
        <v>151</v>
      </c>
      <c r="B156" s="1">
        <v>1</v>
      </c>
      <c r="C156" s="1">
        <v>50</v>
      </c>
      <c r="D156" s="1">
        <v>5.5E-2</v>
      </c>
      <c r="E156" s="1">
        <v>0.06</v>
      </c>
      <c r="F156" s="1">
        <v>-5</v>
      </c>
      <c r="G156" s="1">
        <v>0</v>
      </c>
      <c r="H156" s="1">
        <v>1.2878331033899999</v>
      </c>
      <c r="I156" s="1">
        <v>1.6909784129200001</v>
      </c>
      <c r="J156" s="1">
        <v>0.75328080659499996</v>
      </c>
      <c r="K156" s="1">
        <v>6841.9577015200002</v>
      </c>
      <c r="L156" s="1">
        <v>1730.1918526500001</v>
      </c>
      <c r="M156" s="1" t="s">
        <v>198</v>
      </c>
      <c r="N156" s="1" t="b">
        <v>1</v>
      </c>
    </row>
    <row r="157" spans="1:14" ht="19" customHeight="1" x14ac:dyDescent="0.3">
      <c r="A157">
        <v>152</v>
      </c>
      <c r="B157" s="1">
        <v>1</v>
      </c>
      <c r="C157" s="1">
        <v>50</v>
      </c>
      <c r="D157" s="1">
        <v>5.5E-2</v>
      </c>
      <c r="E157" s="1">
        <v>0.06</v>
      </c>
      <c r="F157" s="1">
        <v>-5</v>
      </c>
      <c r="G157" s="1">
        <v>1</v>
      </c>
      <c r="H157" s="1">
        <v>1.2878331033899999</v>
      </c>
      <c r="I157" s="1">
        <v>1.2682338096900001</v>
      </c>
      <c r="J157" s="1">
        <v>0.61769026140799999</v>
      </c>
      <c r="K157" s="1">
        <v>5870.9661909699998</v>
      </c>
      <c r="L157" s="1">
        <v>1418.7573191700001</v>
      </c>
      <c r="M157" s="1" t="s">
        <v>198</v>
      </c>
      <c r="N157" s="1" t="b">
        <v>1</v>
      </c>
    </row>
    <row r="158" spans="1:14" ht="19" customHeight="1" x14ac:dyDescent="0.3">
      <c r="A158">
        <v>153</v>
      </c>
      <c r="B158" s="1">
        <v>1</v>
      </c>
      <c r="C158" s="1">
        <v>50</v>
      </c>
      <c r="D158" s="1">
        <v>5.5E-2</v>
      </c>
      <c r="E158" s="1">
        <v>0.06</v>
      </c>
      <c r="F158" s="1">
        <v>0</v>
      </c>
      <c r="G158" s="1">
        <v>0</v>
      </c>
      <c r="H158" s="1">
        <v>1.3171377896500001</v>
      </c>
      <c r="I158" s="1">
        <v>1.7294566844799999</v>
      </c>
      <c r="J158" s="1">
        <v>0.74578080659500001</v>
      </c>
      <c r="K158" s="1">
        <v>6997.6466827699996</v>
      </c>
      <c r="L158" s="1">
        <v>1712.9652901500001</v>
      </c>
      <c r="M158" s="1" t="s">
        <v>198</v>
      </c>
      <c r="N158" s="1" t="b">
        <v>1</v>
      </c>
    </row>
    <row r="159" spans="1:14" ht="19" customHeight="1" x14ac:dyDescent="0.3">
      <c r="A159">
        <v>154</v>
      </c>
      <c r="B159" s="1">
        <v>1</v>
      </c>
      <c r="C159" s="1">
        <v>50</v>
      </c>
      <c r="D159" s="1">
        <v>5.5E-2</v>
      </c>
      <c r="E159" s="1">
        <v>0.06</v>
      </c>
      <c r="F159" s="1">
        <v>0</v>
      </c>
      <c r="G159" s="1">
        <v>1</v>
      </c>
      <c r="H159" s="1">
        <v>1.3171377896500001</v>
      </c>
      <c r="I159" s="1">
        <v>1.29709251336</v>
      </c>
      <c r="J159" s="1">
        <v>0.611540261408</v>
      </c>
      <c r="K159" s="1">
        <v>6004.5602272300002</v>
      </c>
      <c r="L159" s="1">
        <v>1404.63153792</v>
      </c>
      <c r="M159" s="1" t="s">
        <v>198</v>
      </c>
      <c r="N159" s="1" t="b">
        <v>1</v>
      </c>
    </row>
    <row r="160" spans="1:14" ht="19" customHeight="1" x14ac:dyDescent="0.3">
      <c r="A160">
        <v>155</v>
      </c>
      <c r="B160" s="1">
        <v>1</v>
      </c>
      <c r="C160" s="1">
        <v>50</v>
      </c>
      <c r="D160" s="1">
        <v>5.5E-2</v>
      </c>
      <c r="E160" s="1">
        <v>0.06</v>
      </c>
      <c r="F160" s="1">
        <v>5</v>
      </c>
      <c r="G160" s="1">
        <v>0</v>
      </c>
      <c r="H160" s="1">
        <v>1.2878331033899999</v>
      </c>
      <c r="I160" s="1">
        <v>1.6909784129200001</v>
      </c>
      <c r="J160" s="1">
        <v>0.75328080659499996</v>
      </c>
      <c r="K160" s="1">
        <v>6841.9577015200002</v>
      </c>
      <c r="L160" s="1">
        <v>1730.1918526500001</v>
      </c>
      <c r="M160" s="1" t="s">
        <v>198</v>
      </c>
      <c r="N160" s="1" t="b">
        <v>1</v>
      </c>
    </row>
    <row r="161" spans="1:14" ht="19" customHeight="1" x14ac:dyDescent="0.3">
      <c r="A161">
        <v>156</v>
      </c>
      <c r="B161" s="1">
        <v>1</v>
      </c>
      <c r="C161" s="1">
        <v>50</v>
      </c>
      <c r="D161" s="1">
        <v>5.5E-2</v>
      </c>
      <c r="E161" s="1">
        <v>0.06</v>
      </c>
      <c r="F161" s="1">
        <v>5</v>
      </c>
      <c r="G161" s="1">
        <v>1</v>
      </c>
      <c r="H161" s="1">
        <v>1.2878331033899999</v>
      </c>
      <c r="I161" s="1">
        <v>1.2682338096900001</v>
      </c>
      <c r="J161" s="1">
        <v>0.61769026140799999</v>
      </c>
      <c r="K161" s="1">
        <v>5870.9661909699998</v>
      </c>
      <c r="L161" s="1">
        <v>1418.7573191700001</v>
      </c>
      <c r="M161" s="1" t="s">
        <v>198</v>
      </c>
      <c r="N161" s="1" t="b">
        <v>1</v>
      </c>
    </row>
    <row r="162" spans="1:14" ht="19" customHeight="1" x14ac:dyDescent="0.3">
      <c r="A162">
        <v>157</v>
      </c>
      <c r="B162" s="1">
        <v>1</v>
      </c>
      <c r="C162" s="1">
        <v>50</v>
      </c>
      <c r="D162" s="1">
        <v>5.5E-2</v>
      </c>
      <c r="E162" s="1">
        <v>8.5000000000000006E-2</v>
      </c>
      <c r="F162" s="1">
        <v>-5</v>
      </c>
      <c r="G162" s="1">
        <v>0</v>
      </c>
      <c r="H162" s="1">
        <v>1.21719855787</v>
      </c>
      <c r="I162" s="1">
        <v>1.58502659465</v>
      </c>
      <c r="J162" s="1">
        <v>0.74695964585600005</v>
      </c>
      <c r="K162" s="1">
        <v>6436.3608972100001</v>
      </c>
      <c r="L162" s="1">
        <v>1715.6729365799999</v>
      </c>
      <c r="M162" s="1" t="s">
        <v>198</v>
      </c>
      <c r="N162" s="1" t="b">
        <v>1</v>
      </c>
    </row>
    <row r="163" spans="1:14" ht="19" customHeight="1" x14ac:dyDescent="0.3">
      <c r="A163">
        <v>158</v>
      </c>
      <c r="B163" s="1">
        <v>1</v>
      </c>
      <c r="C163" s="1">
        <v>50</v>
      </c>
      <c r="D163" s="1">
        <v>5.5E-2</v>
      </c>
      <c r="E163" s="1">
        <v>8.5000000000000006E-2</v>
      </c>
      <c r="F163" s="1">
        <v>-5</v>
      </c>
      <c r="G163" s="1">
        <v>1</v>
      </c>
      <c r="H163" s="1">
        <v>1.21719855787</v>
      </c>
      <c r="I163" s="1">
        <v>1.1887699459900001</v>
      </c>
      <c r="J163" s="1">
        <v>0.61250690960200005</v>
      </c>
      <c r="K163" s="1">
        <v>5526.2089073099996</v>
      </c>
      <c r="L163" s="1">
        <v>1406.85180799</v>
      </c>
      <c r="M163" s="1" t="s">
        <v>198</v>
      </c>
      <c r="N163" s="1" t="b">
        <v>1</v>
      </c>
    </row>
    <row r="164" spans="1:14" ht="19" customHeight="1" x14ac:dyDescent="0.3">
      <c r="A164">
        <v>159</v>
      </c>
      <c r="B164" s="1">
        <v>1</v>
      </c>
      <c r="C164" s="1">
        <v>50</v>
      </c>
      <c r="D164" s="1">
        <v>5.5E-2</v>
      </c>
      <c r="E164" s="1">
        <v>8.5000000000000006E-2</v>
      </c>
      <c r="F164" s="1">
        <v>0</v>
      </c>
      <c r="G164" s="1">
        <v>0</v>
      </c>
      <c r="H164" s="1">
        <v>1.2448959526400001</v>
      </c>
      <c r="I164" s="1">
        <v>1.6210939289699999</v>
      </c>
      <c r="J164" s="1">
        <v>0.73945964585599999</v>
      </c>
      <c r="K164" s="1">
        <v>6582.8205093200004</v>
      </c>
      <c r="L164" s="1">
        <v>1698.4463740799999</v>
      </c>
      <c r="M164" s="1" t="s">
        <v>198</v>
      </c>
      <c r="N164" s="1" t="b">
        <v>1</v>
      </c>
    </row>
    <row r="165" spans="1:14" ht="19" customHeight="1" x14ac:dyDescent="0.3">
      <c r="A165">
        <v>160</v>
      </c>
      <c r="B165" s="1">
        <v>1</v>
      </c>
      <c r="C165" s="1">
        <v>50</v>
      </c>
      <c r="D165" s="1">
        <v>5.5E-2</v>
      </c>
      <c r="E165" s="1">
        <v>8.5000000000000006E-2</v>
      </c>
      <c r="F165" s="1">
        <v>0</v>
      </c>
      <c r="G165" s="1">
        <v>1</v>
      </c>
      <c r="H165" s="1">
        <v>1.2448959526400001</v>
      </c>
      <c r="I165" s="1">
        <v>1.21582044672</v>
      </c>
      <c r="J165" s="1">
        <v>0.60635690960199995</v>
      </c>
      <c r="K165" s="1">
        <v>5651.9579798000004</v>
      </c>
      <c r="L165" s="1">
        <v>1392.72602674</v>
      </c>
      <c r="M165" s="1" t="s">
        <v>198</v>
      </c>
      <c r="N165" s="1" t="b">
        <v>1</v>
      </c>
    </row>
    <row r="166" spans="1:14" ht="19" customHeight="1" x14ac:dyDescent="0.3">
      <c r="A166">
        <v>161</v>
      </c>
      <c r="B166" s="1">
        <v>1</v>
      </c>
      <c r="C166" s="1">
        <v>50</v>
      </c>
      <c r="D166" s="1">
        <v>5.5E-2</v>
      </c>
      <c r="E166" s="1">
        <v>8.5000000000000006E-2</v>
      </c>
      <c r="F166" s="1">
        <v>5</v>
      </c>
      <c r="G166" s="1">
        <v>0</v>
      </c>
      <c r="H166" s="1">
        <v>1.21719855787</v>
      </c>
      <c r="I166" s="1">
        <v>1.58502659465</v>
      </c>
      <c r="J166" s="1">
        <v>0.74695964585600005</v>
      </c>
      <c r="K166" s="1">
        <v>6436.3608972100001</v>
      </c>
      <c r="L166" s="1">
        <v>1715.6729365799999</v>
      </c>
      <c r="M166" s="1" t="s">
        <v>198</v>
      </c>
      <c r="N166" s="1" t="b">
        <v>1</v>
      </c>
    </row>
    <row r="167" spans="1:14" ht="19" customHeight="1" x14ac:dyDescent="0.3">
      <c r="A167">
        <v>162</v>
      </c>
      <c r="B167" s="1">
        <v>1</v>
      </c>
      <c r="C167" s="1">
        <v>50</v>
      </c>
      <c r="D167" s="1">
        <v>5.5E-2</v>
      </c>
      <c r="E167" s="1">
        <v>8.5000000000000006E-2</v>
      </c>
      <c r="F167" s="1">
        <v>5</v>
      </c>
      <c r="G167" s="1">
        <v>1</v>
      </c>
      <c r="H167" s="1">
        <v>1.21719855787</v>
      </c>
      <c r="I167" s="1">
        <v>1.1887699459900001</v>
      </c>
      <c r="J167" s="1">
        <v>0.61250690960200005</v>
      </c>
      <c r="K167" s="1">
        <v>5526.2089073099996</v>
      </c>
      <c r="L167" s="1">
        <v>1406.85180799</v>
      </c>
      <c r="M167" s="1" t="s">
        <v>198</v>
      </c>
      <c r="N167" s="1" t="b">
        <v>1</v>
      </c>
    </row>
    <row r="168" spans="1:14" ht="19" customHeight="1" x14ac:dyDescent="0.3">
      <c r="A168">
        <v>163</v>
      </c>
      <c r="B168" s="1">
        <v>1</v>
      </c>
      <c r="C168" s="1">
        <v>70</v>
      </c>
      <c r="D168" s="1">
        <v>2.5000000000000001E-2</v>
      </c>
      <c r="E168" s="1">
        <v>0.04</v>
      </c>
      <c r="F168" s="1">
        <v>-5</v>
      </c>
      <c r="G168" s="1">
        <v>0</v>
      </c>
      <c r="H168" s="1">
        <v>1.39409979229</v>
      </c>
      <c r="I168" s="1">
        <v>1.8503784462799999</v>
      </c>
      <c r="J168" s="1">
        <v>0.76279072581100005</v>
      </c>
      <c r="K168" s="1">
        <v>14606.235470199999</v>
      </c>
      <c r="L168" s="1">
        <v>3433.9884987599999</v>
      </c>
      <c r="M168" s="1" t="s">
        <v>198</v>
      </c>
      <c r="N168" s="1" t="b">
        <v>1</v>
      </c>
    </row>
    <row r="169" spans="1:14" ht="19" customHeight="1" x14ac:dyDescent="0.3">
      <c r="A169">
        <v>164</v>
      </c>
      <c r="B169" s="1">
        <v>1</v>
      </c>
      <c r="C169" s="1">
        <v>70</v>
      </c>
      <c r="D169" s="1">
        <v>2.5000000000000001E-2</v>
      </c>
      <c r="E169" s="1">
        <v>0.04</v>
      </c>
      <c r="F169" s="1">
        <v>-5</v>
      </c>
      <c r="G169" s="1">
        <v>1</v>
      </c>
      <c r="H169" s="1">
        <v>1.39409979229</v>
      </c>
      <c r="I169" s="1">
        <v>1.38778383471</v>
      </c>
      <c r="J169" s="1">
        <v>0.62548839516499999</v>
      </c>
      <c r="K169" s="1">
        <v>12523.692353300001</v>
      </c>
      <c r="L169" s="1">
        <v>2815.8705689799999</v>
      </c>
      <c r="M169" s="1" t="s">
        <v>198</v>
      </c>
      <c r="N169" s="1" t="b">
        <v>1</v>
      </c>
    </row>
    <row r="170" spans="1:14" ht="19" customHeight="1" x14ac:dyDescent="0.3">
      <c r="A170">
        <v>165</v>
      </c>
      <c r="B170" s="1">
        <v>1</v>
      </c>
      <c r="C170" s="1">
        <v>70</v>
      </c>
      <c r="D170" s="1">
        <v>2.5000000000000001E-2</v>
      </c>
      <c r="E170" s="1">
        <v>0.04</v>
      </c>
      <c r="F170" s="1">
        <v>0</v>
      </c>
      <c r="G170" s="1">
        <v>0</v>
      </c>
      <c r="H170" s="1">
        <v>1.42582258069</v>
      </c>
      <c r="I170" s="1">
        <v>1.89248387104</v>
      </c>
      <c r="J170" s="1">
        <v>0.75529072581099999</v>
      </c>
      <c r="K170" s="1">
        <v>14938.600857400001</v>
      </c>
      <c r="L170" s="1">
        <v>3400.2244362599999</v>
      </c>
      <c r="M170" s="1" t="s">
        <v>198</v>
      </c>
      <c r="N170" s="1" t="b">
        <v>1</v>
      </c>
    </row>
    <row r="171" spans="1:14" ht="19" customHeight="1" x14ac:dyDescent="0.3">
      <c r="A171">
        <v>166</v>
      </c>
      <c r="B171" s="1">
        <v>1</v>
      </c>
      <c r="C171" s="1">
        <v>70</v>
      </c>
      <c r="D171" s="1">
        <v>2.5000000000000001E-2</v>
      </c>
      <c r="E171" s="1">
        <v>0.04</v>
      </c>
      <c r="F171" s="1">
        <v>0</v>
      </c>
      <c r="G171" s="1">
        <v>1</v>
      </c>
      <c r="H171" s="1">
        <v>1.42582258069</v>
      </c>
      <c r="I171" s="1">
        <v>1.4193629032799999</v>
      </c>
      <c r="J171" s="1">
        <v>0.619338395165</v>
      </c>
      <c r="K171" s="1">
        <v>12808.669400700001</v>
      </c>
      <c r="L171" s="1">
        <v>2788.18403773</v>
      </c>
      <c r="M171" s="1" t="s">
        <v>198</v>
      </c>
      <c r="N171" s="1" t="b">
        <v>1</v>
      </c>
    </row>
    <row r="172" spans="1:14" ht="19" customHeight="1" x14ac:dyDescent="0.3">
      <c r="A172">
        <v>167</v>
      </c>
      <c r="B172" s="1">
        <v>1</v>
      </c>
      <c r="C172" s="1">
        <v>70</v>
      </c>
      <c r="D172" s="1">
        <v>2.5000000000000001E-2</v>
      </c>
      <c r="E172" s="1">
        <v>0.04</v>
      </c>
      <c r="F172" s="1">
        <v>5</v>
      </c>
      <c r="G172" s="1">
        <v>0</v>
      </c>
      <c r="H172" s="1">
        <v>1.39409979229</v>
      </c>
      <c r="I172" s="1">
        <v>1.8503784462799999</v>
      </c>
      <c r="J172" s="1">
        <v>0.76279072581100005</v>
      </c>
      <c r="K172" s="1">
        <v>14606.235470199999</v>
      </c>
      <c r="L172" s="1">
        <v>3433.9884987599999</v>
      </c>
      <c r="M172" s="1" t="s">
        <v>198</v>
      </c>
      <c r="N172" s="1" t="b">
        <v>1</v>
      </c>
    </row>
    <row r="173" spans="1:14" ht="19" customHeight="1" x14ac:dyDescent="0.3">
      <c r="A173">
        <v>168</v>
      </c>
      <c r="B173" s="1">
        <v>1</v>
      </c>
      <c r="C173" s="1">
        <v>70</v>
      </c>
      <c r="D173" s="1">
        <v>2.5000000000000001E-2</v>
      </c>
      <c r="E173" s="1">
        <v>0.04</v>
      </c>
      <c r="F173" s="1">
        <v>5</v>
      </c>
      <c r="G173" s="1">
        <v>1</v>
      </c>
      <c r="H173" s="1">
        <v>1.39409979229</v>
      </c>
      <c r="I173" s="1">
        <v>1.38778383471</v>
      </c>
      <c r="J173" s="1">
        <v>0.62548839516499999</v>
      </c>
      <c r="K173" s="1">
        <v>12523.692353300001</v>
      </c>
      <c r="L173" s="1">
        <v>2815.8705689799999</v>
      </c>
      <c r="M173" s="1" t="s">
        <v>198</v>
      </c>
      <c r="N173" s="1" t="b">
        <v>1</v>
      </c>
    </row>
    <row r="174" spans="1:14" ht="19" customHeight="1" x14ac:dyDescent="0.3">
      <c r="A174">
        <v>169</v>
      </c>
      <c r="B174" s="1">
        <v>1</v>
      </c>
      <c r="C174" s="1">
        <v>70</v>
      </c>
      <c r="D174" s="1">
        <v>2.5000000000000001E-2</v>
      </c>
      <c r="E174" s="1">
        <v>0.06</v>
      </c>
      <c r="F174" s="1">
        <v>-5</v>
      </c>
      <c r="G174" s="1">
        <v>0</v>
      </c>
      <c r="H174" s="1">
        <v>1.4347148059299999</v>
      </c>
      <c r="I174" s="1">
        <v>1.9113009667300001</v>
      </c>
      <c r="J174" s="1">
        <v>0.76642540665600001</v>
      </c>
      <c r="K174" s="1">
        <v>15063.344756500001</v>
      </c>
      <c r="L174" s="1">
        <v>3450.3513775900001</v>
      </c>
      <c r="M174" s="1" t="s">
        <v>198</v>
      </c>
      <c r="N174" s="1" t="b">
        <v>1</v>
      </c>
    </row>
    <row r="175" spans="1:14" ht="19" customHeight="1" x14ac:dyDescent="0.3">
      <c r="A175">
        <v>170</v>
      </c>
      <c r="B175" s="1">
        <v>1</v>
      </c>
      <c r="C175" s="1">
        <v>70</v>
      </c>
      <c r="D175" s="1">
        <v>2.5000000000000001E-2</v>
      </c>
      <c r="E175" s="1">
        <v>0.06</v>
      </c>
      <c r="F175" s="1">
        <v>-5</v>
      </c>
      <c r="G175" s="1">
        <v>1</v>
      </c>
      <c r="H175" s="1">
        <v>1.4347148059299999</v>
      </c>
      <c r="I175" s="1">
        <v>1.4334757250500001</v>
      </c>
      <c r="J175" s="1">
        <v>0.62846883345799998</v>
      </c>
      <c r="K175" s="1">
        <v>12912.235246599999</v>
      </c>
      <c r="L175" s="1">
        <v>2829.2881296199998</v>
      </c>
      <c r="M175" s="1" t="s">
        <v>198</v>
      </c>
      <c r="N175" s="1" t="b">
        <v>1</v>
      </c>
    </row>
    <row r="176" spans="1:14" ht="19" customHeight="1" x14ac:dyDescent="0.3">
      <c r="A176">
        <v>171</v>
      </c>
      <c r="B176" s="1">
        <v>1</v>
      </c>
      <c r="C176" s="1">
        <v>70</v>
      </c>
      <c r="D176" s="1">
        <v>2.5000000000000001E-2</v>
      </c>
      <c r="E176" s="1">
        <v>0.06</v>
      </c>
      <c r="F176" s="1">
        <v>0</v>
      </c>
      <c r="G176" s="1">
        <v>0</v>
      </c>
      <c r="H176" s="1">
        <v>1.46736179035</v>
      </c>
      <c r="I176" s="1">
        <v>1.95479268553</v>
      </c>
      <c r="J176" s="1">
        <v>0.75892540665599995</v>
      </c>
      <c r="K176" s="1">
        <v>15406.111681099999</v>
      </c>
      <c r="L176" s="1">
        <v>3416.5873150900002</v>
      </c>
      <c r="M176" s="1" t="s">
        <v>198</v>
      </c>
      <c r="N176" s="1" t="b">
        <v>1</v>
      </c>
    </row>
    <row r="177" spans="1:14" ht="19" customHeight="1" x14ac:dyDescent="0.3">
      <c r="A177">
        <v>172</v>
      </c>
      <c r="B177" s="1">
        <v>1</v>
      </c>
      <c r="C177" s="1">
        <v>70</v>
      </c>
      <c r="D177" s="1">
        <v>2.5000000000000001E-2</v>
      </c>
      <c r="E177" s="1">
        <v>0.06</v>
      </c>
      <c r="F177" s="1">
        <v>0</v>
      </c>
      <c r="G177" s="1">
        <v>1</v>
      </c>
      <c r="H177" s="1">
        <v>1.46736179035</v>
      </c>
      <c r="I177" s="1">
        <v>1.4660945141399999</v>
      </c>
      <c r="J177" s="1">
        <v>0.62231883345799999</v>
      </c>
      <c r="K177" s="1">
        <v>13206.0536008</v>
      </c>
      <c r="L177" s="1">
        <v>2801.6015983699999</v>
      </c>
      <c r="M177" s="1" t="s">
        <v>198</v>
      </c>
      <c r="N177" s="1" t="b">
        <v>1</v>
      </c>
    </row>
    <row r="178" spans="1:14" ht="19" customHeight="1" x14ac:dyDescent="0.3">
      <c r="A178">
        <v>173</v>
      </c>
      <c r="B178" s="1">
        <v>1</v>
      </c>
      <c r="C178" s="1">
        <v>70</v>
      </c>
      <c r="D178" s="1">
        <v>2.5000000000000001E-2</v>
      </c>
      <c r="E178" s="1">
        <v>0.06</v>
      </c>
      <c r="F178" s="1">
        <v>5</v>
      </c>
      <c r="G178" s="1">
        <v>0</v>
      </c>
      <c r="H178" s="1">
        <v>1.4347148059299999</v>
      </c>
      <c r="I178" s="1">
        <v>1.9113009667300001</v>
      </c>
      <c r="J178" s="1">
        <v>0.76642540665600001</v>
      </c>
      <c r="K178" s="1">
        <v>15063.344756500001</v>
      </c>
      <c r="L178" s="1">
        <v>3450.3513775900001</v>
      </c>
      <c r="M178" s="1" t="s">
        <v>198</v>
      </c>
      <c r="N178" s="1" t="b">
        <v>1</v>
      </c>
    </row>
    <row r="179" spans="1:14" ht="19" customHeight="1" x14ac:dyDescent="0.3">
      <c r="A179">
        <v>174</v>
      </c>
      <c r="B179" s="1">
        <v>1</v>
      </c>
      <c r="C179" s="1">
        <v>70</v>
      </c>
      <c r="D179" s="1">
        <v>2.5000000000000001E-2</v>
      </c>
      <c r="E179" s="1">
        <v>0.06</v>
      </c>
      <c r="F179" s="1">
        <v>5</v>
      </c>
      <c r="G179" s="1">
        <v>1</v>
      </c>
      <c r="H179" s="1">
        <v>1.4347148059299999</v>
      </c>
      <c r="I179" s="1">
        <v>1.4334757250500001</v>
      </c>
      <c r="J179" s="1">
        <v>0.62846883345799998</v>
      </c>
      <c r="K179" s="1">
        <v>12912.235246599999</v>
      </c>
      <c r="L179" s="1">
        <v>2829.2881296199998</v>
      </c>
      <c r="M179" s="1" t="s">
        <v>198</v>
      </c>
      <c r="N179" s="1" t="b">
        <v>1</v>
      </c>
    </row>
    <row r="180" spans="1:14" ht="19" customHeight="1" x14ac:dyDescent="0.3">
      <c r="A180">
        <v>175</v>
      </c>
      <c r="B180" s="1">
        <v>1</v>
      </c>
      <c r="C180" s="1">
        <v>70</v>
      </c>
      <c r="D180" s="1">
        <v>2.5000000000000001E-2</v>
      </c>
      <c r="E180" s="1">
        <v>8.5000000000000006E-2</v>
      </c>
      <c r="F180" s="1">
        <v>-5</v>
      </c>
      <c r="G180" s="1">
        <v>0</v>
      </c>
      <c r="H180" s="1">
        <v>1.33088329698</v>
      </c>
      <c r="I180" s="1">
        <v>1.7555537033099999</v>
      </c>
      <c r="J180" s="1">
        <v>0.75713341428900005</v>
      </c>
      <c r="K180" s="1">
        <v>13894.753570700001</v>
      </c>
      <c r="L180" s="1">
        <v>3408.5199894500001</v>
      </c>
      <c r="M180" s="1" t="s">
        <v>198</v>
      </c>
      <c r="N180" s="1" t="b">
        <v>1</v>
      </c>
    </row>
    <row r="181" spans="1:14" ht="19" customHeight="1" x14ac:dyDescent="0.3">
      <c r="A181">
        <v>176</v>
      </c>
      <c r="B181" s="1">
        <v>1</v>
      </c>
      <c r="C181" s="1">
        <v>70</v>
      </c>
      <c r="D181" s="1">
        <v>2.5000000000000001E-2</v>
      </c>
      <c r="E181" s="1">
        <v>8.5000000000000006E-2</v>
      </c>
      <c r="F181" s="1">
        <v>-5</v>
      </c>
      <c r="G181" s="1">
        <v>1</v>
      </c>
      <c r="H181" s="1">
        <v>1.33088329698</v>
      </c>
      <c r="I181" s="1">
        <v>1.3166652774900001</v>
      </c>
      <c r="J181" s="1">
        <v>0.62084939971700004</v>
      </c>
      <c r="K181" s="1">
        <v>11918.932738699999</v>
      </c>
      <c r="L181" s="1">
        <v>2794.9863913499998</v>
      </c>
      <c r="M181" s="1" t="s">
        <v>198</v>
      </c>
      <c r="N181" s="1" t="b">
        <v>1</v>
      </c>
    </row>
    <row r="182" spans="1:14" ht="19" customHeight="1" x14ac:dyDescent="0.3">
      <c r="A182">
        <v>177</v>
      </c>
      <c r="B182" s="1">
        <v>1</v>
      </c>
      <c r="C182" s="1">
        <v>70</v>
      </c>
      <c r="D182" s="1">
        <v>2.5000000000000001E-2</v>
      </c>
      <c r="E182" s="1">
        <v>8.5000000000000006E-2</v>
      </c>
      <c r="F182" s="1">
        <v>0</v>
      </c>
      <c r="G182" s="1">
        <v>0</v>
      </c>
      <c r="H182" s="1">
        <v>1.3611675918699999</v>
      </c>
      <c r="I182" s="1">
        <v>1.7955013878099999</v>
      </c>
      <c r="J182" s="1">
        <v>0.74963341428899999</v>
      </c>
      <c r="K182" s="1">
        <v>14210.9291629</v>
      </c>
      <c r="L182" s="1">
        <v>3374.7559269499998</v>
      </c>
      <c r="M182" s="1" t="s">
        <v>198</v>
      </c>
      <c r="N182" s="1" t="b">
        <v>1</v>
      </c>
    </row>
    <row r="183" spans="1:14" ht="19" customHeight="1" x14ac:dyDescent="0.3">
      <c r="A183">
        <v>178</v>
      </c>
      <c r="B183" s="1">
        <v>1</v>
      </c>
      <c r="C183" s="1">
        <v>70</v>
      </c>
      <c r="D183" s="1">
        <v>2.5000000000000001E-2</v>
      </c>
      <c r="E183" s="1">
        <v>8.5000000000000006E-2</v>
      </c>
      <c r="F183" s="1">
        <v>0</v>
      </c>
      <c r="G183" s="1">
        <v>1</v>
      </c>
      <c r="H183" s="1">
        <v>1.3611675918699999</v>
      </c>
      <c r="I183" s="1">
        <v>1.3466260408599999</v>
      </c>
      <c r="J183" s="1">
        <v>0.61469939971700005</v>
      </c>
      <c r="K183" s="1">
        <v>12190.148460300001</v>
      </c>
      <c r="L183" s="1">
        <v>2767.2998600999999</v>
      </c>
      <c r="M183" s="1" t="s">
        <v>198</v>
      </c>
      <c r="N183" s="1" t="b">
        <v>1</v>
      </c>
    </row>
    <row r="184" spans="1:14" ht="19" customHeight="1" x14ac:dyDescent="0.3">
      <c r="A184">
        <v>179</v>
      </c>
      <c r="B184" s="1">
        <v>1</v>
      </c>
      <c r="C184" s="1">
        <v>70</v>
      </c>
      <c r="D184" s="1">
        <v>2.5000000000000001E-2</v>
      </c>
      <c r="E184" s="1">
        <v>8.5000000000000006E-2</v>
      </c>
      <c r="F184" s="1">
        <v>5</v>
      </c>
      <c r="G184" s="1">
        <v>0</v>
      </c>
      <c r="H184" s="1">
        <v>1.33088329698</v>
      </c>
      <c r="I184" s="1">
        <v>1.7555537033099999</v>
      </c>
      <c r="J184" s="1">
        <v>0.75713341428900005</v>
      </c>
      <c r="K184" s="1">
        <v>13894.753570700001</v>
      </c>
      <c r="L184" s="1">
        <v>3408.5199894500001</v>
      </c>
      <c r="M184" s="1" t="s">
        <v>198</v>
      </c>
      <c r="N184" s="1" t="b">
        <v>1</v>
      </c>
    </row>
    <row r="185" spans="1:14" ht="19" customHeight="1" x14ac:dyDescent="0.3">
      <c r="A185">
        <v>180</v>
      </c>
      <c r="B185" s="1">
        <v>1</v>
      </c>
      <c r="C185" s="1">
        <v>70</v>
      </c>
      <c r="D185" s="1">
        <v>2.5000000000000001E-2</v>
      </c>
      <c r="E185" s="1">
        <v>8.5000000000000006E-2</v>
      </c>
      <c r="F185" s="1">
        <v>5</v>
      </c>
      <c r="G185" s="1">
        <v>1</v>
      </c>
      <c r="H185" s="1">
        <v>1.33088329698</v>
      </c>
      <c r="I185" s="1">
        <v>1.3166652774900001</v>
      </c>
      <c r="J185" s="1">
        <v>0.62084939971700004</v>
      </c>
      <c r="K185" s="1">
        <v>11918.932738699999</v>
      </c>
      <c r="L185" s="1">
        <v>2794.9863913499998</v>
      </c>
      <c r="M185" s="1" t="s">
        <v>198</v>
      </c>
      <c r="N185" s="1" t="b">
        <v>1</v>
      </c>
    </row>
    <row r="186" spans="1:14" ht="19" customHeight="1" x14ac:dyDescent="0.3">
      <c r="A186">
        <v>181</v>
      </c>
      <c r="B186" s="1">
        <v>1</v>
      </c>
      <c r="C186" s="1">
        <v>70</v>
      </c>
      <c r="D186" s="1">
        <v>0.04</v>
      </c>
      <c r="E186" s="1">
        <v>0.04</v>
      </c>
      <c r="F186" s="1">
        <v>-5</v>
      </c>
      <c r="G186" s="1">
        <v>0</v>
      </c>
      <c r="H186" s="1">
        <v>1.4000886057399999</v>
      </c>
      <c r="I186" s="1">
        <v>1.8593616664599999</v>
      </c>
      <c r="J186" s="1">
        <v>0.76332667110800001</v>
      </c>
      <c r="K186" s="1">
        <v>14673.637694200001</v>
      </c>
      <c r="L186" s="1">
        <v>3436.4012574899998</v>
      </c>
      <c r="M186" s="1" t="s">
        <v>198</v>
      </c>
      <c r="N186" s="1" t="b">
        <v>1</v>
      </c>
    </row>
    <row r="187" spans="1:14" ht="19" customHeight="1" x14ac:dyDescent="0.3">
      <c r="A187">
        <v>182</v>
      </c>
      <c r="B187" s="1">
        <v>1</v>
      </c>
      <c r="C187" s="1">
        <v>70</v>
      </c>
      <c r="D187" s="1">
        <v>0.04</v>
      </c>
      <c r="E187" s="1">
        <v>0.04</v>
      </c>
      <c r="F187" s="1">
        <v>-5</v>
      </c>
      <c r="G187" s="1">
        <v>1</v>
      </c>
      <c r="H187" s="1">
        <v>1.4000886057399999</v>
      </c>
      <c r="I187" s="1">
        <v>1.3945212498399999</v>
      </c>
      <c r="J187" s="1">
        <v>0.62592787030800001</v>
      </c>
      <c r="K187" s="1">
        <v>12580.9842436</v>
      </c>
      <c r="L187" s="1">
        <v>2817.8490311400001</v>
      </c>
      <c r="M187" s="1" t="s">
        <v>198</v>
      </c>
      <c r="N187" s="1" t="b">
        <v>1</v>
      </c>
    </row>
    <row r="188" spans="1:14" ht="19" customHeight="1" x14ac:dyDescent="0.3">
      <c r="A188">
        <v>183</v>
      </c>
      <c r="B188" s="1">
        <v>1</v>
      </c>
      <c r="C188" s="1">
        <v>70</v>
      </c>
      <c r="D188" s="1">
        <v>0.04</v>
      </c>
      <c r="E188" s="1">
        <v>0.04</v>
      </c>
      <c r="F188" s="1">
        <v>0</v>
      </c>
      <c r="G188" s="1">
        <v>0</v>
      </c>
      <c r="H188" s="1">
        <v>1.4319476698</v>
      </c>
      <c r="I188" s="1">
        <v>1.9016715046999999</v>
      </c>
      <c r="J188" s="1">
        <v>0.75582667110799995</v>
      </c>
      <c r="K188" s="1">
        <v>15007.536821199999</v>
      </c>
      <c r="L188" s="1">
        <v>3402.6371949899999</v>
      </c>
      <c r="M188" s="1" t="s">
        <v>198</v>
      </c>
      <c r="N188" s="1" t="b">
        <v>1</v>
      </c>
    </row>
    <row r="189" spans="1:14" ht="19" customHeight="1" x14ac:dyDescent="0.3">
      <c r="A189">
        <v>184</v>
      </c>
      <c r="B189" s="1">
        <v>1</v>
      </c>
      <c r="C189" s="1">
        <v>70</v>
      </c>
      <c r="D189" s="1">
        <v>0.04</v>
      </c>
      <c r="E189" s="1">
        <v>0.04</v>
      </c>
      <c r="F189" s="1">
        <v>0</v>
      </c>
      <c r="G189" s="1">
        <v>1</v>
      </c>
      <c r="H189" s="1">
        <v>1.4319476698</v>
      </c>
      <c r="I189" s="1">
        <v>1.42625362853</v>
      </c>
      <c r="J189" s="1">
        <v>0.61977787030800002</v>
      </c>
      <c r="K189" s="1">
        <v>12867.264969899999</v>
      </c>
      <c r="L189" s="1">
        <v>2790.1624998900002</v>
      </c>
      <c r="M189" s="1" t="s">
        <v>198</v>
      </c>
      <c r="N189" s="1" t="b">
        <v>1</v>
      </c>
    </row>
    <row r="190" spans="1:14" ht="19" customHeight="1" x14ac:dyDescent="0.3">
      <c r="A190">
        <v>185</v>
      </c>
      <c r="B190" s="1">
        <v>1</v>
      </c>
      <c r="C190" s="1">
        <v>70</v>
      </c>
      <c r="D190" s="1">
        <v>0.04</v>
      </c>
      <c r="E190" s="1">
        <v>0.04</v>
      </c>
      <c r="F190" s="1">
        <v>5</v>
      </c>
      <c r="G190" s="1">
        <v>0</v>
      </c>
      <c r="H190" s="1">
        <v>1.4000886057399999</v>
      </c>
      <c r="I190" s="1">
        <v>1.8593616664599999</v>
      </c>
      <c r="J190" s="1">
        <v>0.76332667110800001</v>
      </c>
      <c r="K190" s="1">
        <v>14673.637694200001</v>
      </c>
      <c r="L190" s="1">
        <v>3436.4012574899998</v>
      </c>
      <c r="M190" s="1" t="s">
        <v>198</v>
      </c>
      <c r="N190" s="1" t="b">
        <v>1</v>
      </c>
    </row>
    <row r="191" spans="1:14" ht="19" customHeight="1" x14ac:dyDescent="0.3">
      <c r="A191">
        <v>186</v>
      </c>
      <c r="B191" s="1">
        <v>1</v>
      </c>
      <c r="C191" s="1">
        <v>70</v>
      </c>
      <c r="D191" s="1">
        <v>0.04</v>
      </c>
      <c r="E191" s="1">
        <v>0.04</v>
      </c>
      <c r="F191" s="1">
        <v>5</v>
      </c>
      <c r="G191" s="1">
        <v>1</v>
      </c>
      <c r="H191" s="1">
        <v>1.4000886057399999</v>
      </c>
      <c r="I191" s="1">
        <v>1.3945212498399999</v>
      </c>
      <c r="J191" s="1">
        <v>0.62592787030800001</v>
      </c>
      <c r="K191" s="1">
        <v>12580.9842436</v>
      </c>
      <c r="L191" s="1">
        <v>2817.8490311400001</v>
      </c>
      <c r="M191" s="1" t="s">
        <v>198</v>
      </c>
      <c r="N191" s="1" t="b">
        <v>1</v>
      </c>
    </row>
    <row r="192" spans="1:14" ht="19" customHeight="1" x14ac:dyDescent="0.3">
      <c r="A192">
        <v>187</v>
      </c>
      <c r="B192" s="1">
        <v>1</v>
      </c>
      <c r="C192" s="1">
        <v>70</v>
      </c>
      <c r="D192" s="1">
        <v>0.04</v>
      </c>
      <c r="E192" s="1">
        <v>0.06</v>
      </c>
      <c r="F192" s="1">
        <v>-5</v>
      </c>
      <c r="G192" s="1">
        <v>0</v>
      </c>
      <c r="H192" s="1">
        <v>1.4412844213</v>
      </c>
      <c r="I192" s="1">
        <v>1.92115538979</v>
      </c>
      <c r="J192" s="1">
        <v>0.76701332853500004</v>
      </c>
      <c r="K192" s="1">
        <v>15137.283724499999</v>
      </c>
      <c r="L192" s="1">
        <v>3452.9981284</v>
      </c>
      <c r="M192" s="1" t="s">
        <v>198</v>
      </c>
      <c r="N192" s="1" t="b">
        <v>1</v>
      </c>
    </row>
    <row r="193" spans="1:14" ht="19" customHeight="1" x14ac:dyDescent="0.3">
      <c r="A193">
        <v>188</v>
      </c>
      <c r="B193" s="1">
        <v>1</v>
      </c>
      <c r="C193" s="1">
        <v>70</v>
      </c>
      <c r="D193" s="1">
        <v>0.04</v>
      </c>
      <c r="E193" s="1">
        <v>0.06</v>
      </c>
      <c r="F193" s="1">
        <v>-5</v>
      </c>
      <c r="G193" s="1">
        <v>1</v>
      </c>
      <c r="H193" s="1">
        <v>1.4412844213</v>
      </c>
      <c r="I193" s="1">
        <v>1.44086654234</v>
      </c>
      <c r="J193" s="1">
        <v>0.62895092939899999</v>
      </c>
      <c r="K193" s="1">
        <v>12975.083369399999</v>
      </c>
      <c r="L193" s="1">
        <v>2831.4584652899998</v>
      </c>
      <c r="M193" s="1" t="s">
        <v>198</v>
      </c>
      <c r="N193" s="1" t="b">
        <v>1</v>
      </c>
    </row>
    <row r="194" spans="1:14" ht="19" customHeight="1" x14ac:dyDescent="0.3">
      <c r="A194">
        <v>189</v>
      </c>
      <c r="B194" s="1">
        <v>1</v>
      </c>
      <c r="C194" s="1">
        <v>70</v>
      </c>
      <c r="D194" s="1">
        <v>0.04</v>
      </c>
      <c r="E194" s="1">
        <v>0.06</v>
      </c>
      <c r="F194" s="1">
        <v>0</v>
      </c>
      <c r="G194" s="1">
        <v>0</v>
      </c>
      <c r="H194" s="1">
        <v>1.4740808975499999</v>
      </c>
      <c r="I194" s="1">
        <v>1.96487134632</v>
      </c>
      <c r="J194" s="1">
        <v>0.75951332853499998</v>
      </c>
      <c r="K194" s="1">
        <v>15481.733132900001</v>
      </c>
      <c r="L194" s="1">
        <v>3419.2340659000001</v>
      </c>
      <c r="M194" s="1" t="s">
        <v>198</v>
      </c>
      <c r="N194" s="1" t="b">
        <v>1</v>
      </c>
    </row>
    <row r="195" spans="1:14" ht="19" customHeight="1" x14ac:dyDescent="0.3">
      <c r="A195">
        <v>190</v>
      </c>
      <c r="B195" s="1">
        <v>1</v>
      </c>
      <c r="C195" s="1">
        <v>70</v>
      </c>
      <c r="D195" s="1">
        <v>0.04</v>
      </c>
      <c r="E195" s="1">
        <v>0.06</v>
      </c>
      <c r="F195" s="1">
        <v>0</v>
      </c>
      <c r="G195" s="1">
        <v>1</v>
      </c>
      <c r="H195" s="1">
        <v>1.4740808975499999</v>
      </c>
      <c r="I195" s="1">
        <v>1.4736535097400001</v>
      </c>
      <c r="J195" s="1">
        <v>0.622800929399</v>
      </c>
      <c r="K195" s="1">
        <v>13270.331834799999</v>
      </c>
      <c r="L195" s="1">
        <v>2803.7719340399999</v>
      </c>
      <c r="M195" s="1" t="s">
        <v>198</v>
      </c>
      <c r="N195" s="1" t="b">
        <v>1</v>
      </c>
    </row>
    <row r="196" spans="1:14" ht="19" customHeight="1" x14ac:dyDescent="0.3">
      <c r="A196">
        <v>191</v>
      </c>
      <c r="B196" s="1">
        <v>1</v>
      </c>
      <c r="C196" s="1">
        <v>70</v>
      </c>
      <c r="D196" s="1">
        <v>0.04</v>
      </c>
      <c r="E196" s="1">
        <v>0.06</v>
      </c>
      <c r="F196" s="1">
        <v>5</v>
      </c>
      <c r="G196" s="1">
        <v>0</v>
      </c>
      <c r="H196" s="1">
        <v>1.4412844213</v>
      </c>
      <c r="I196" s="1">
        <v>1.92115538979</v>
      </c>
      <c r="J196" s="1">
        <v>0.76701332853500004</v>
      </c>
      <c r="K196" s="1">
        <v>15137.283724499999</v>
      </c>
      <c r="L196" s="1">
        <v>3452.9981284</v>
      </c>
      <c r="M196" s="1" t="s">
        <v>198</v>
      </c>
      <c r="N196" s="1" t="b">
        <v>1</v>
      </c>
    </row>
    <row r="197" spans="1:14" ht="19" customHeight="1" x14ac:dyDescent="0.3">
      <c r="A197">
        <v>192</v>
      </c>
      <c r="B197" s="1">
        <v>1</v>
      </c>
      <c r="C197" s="1">
        <v>70</v>
      </c>
      <c r="D197" s="1">
        <v>0.04</v>
      </c>
      <c r="E197" s="1">
        <v>0.06</v>
      </c>
      <c r="F197" s="1">
        <v>5</v>
      </c>
      <c r="G197" s="1">
        <v>1</v>
      </c>
      <c r="H197" s="1">
        <v>1.4412844213</v>
      </c>
      <c r="I197" s="1">
        <v>1.44086654234</v>
      </c>
      <c r="J197" s="1">
        <v>0.62895092939899999</v>
      </c>
      <c r="K197" s="1">
        <v>12975.083369399999</v>
      </c>
      <c r="L197" s="1">
        <v>2831.4584652899998</v>
      </c>
      <c r="M197" s="1" t="s">
        <v>198</v>
      </c>
      <c r="N197" s="1" t="b">
        <v>1</v>
      </c>
    </row>
    <row r="198" spans="1:14" ht="19" customHeight="1" x14ac:dyDescent="0.3">
      <c r="A198">
        <v>193</v>
      </c>
      <c r="B198" s="1">
        <v>1</v>
      </c>
      <c r="C198" s="1">
        <v>70</v>
      </c>
      <c r="D198" s="1">
        <v>0.04</v>
      </c>
      <c r="E198" s="1">
        <v>8.5000000000000006E-2</v>
      </c>
      <c r="F198" s="1">
        <v>-5</v>
      </c>
      <c r="G198" s="1">
        <v>0</v>
      </c>
      <c r="H198" s="1">
        <v>1.3359681032999999</v>
      </c>
      <c r="I198" s="1">
        <v>1.7631809128</v>
      </c>
      <c r="J198" s="1">
        <v>0.75758845902500005</v>
      </c>
      <c r="K198" s="1">
        <v>13951.9814769</v>
      </c>
      <c r="L198" s="1">
        <v>3410.5685439700001</v>
      </c>
      <c r="M198" s="1" t="s">
        <v>198</v>
      </c>
      <c r="N198" s="1" t="b">
        <v>1</v>
      </c>
    </row>
    <row r="199" spans="1:14" ht="19" customHeight="1" x14ac:dyDescent="0.3">
      <c r="A199">
        <v>194</v>
      </c>
      <c r="B199" s="1">
        <v>1</v>
      </c>
      <c r="C199" s="1">
        <v>70</v>
      </c>
      <c r="D199" s="1">
        <v>0.04</v>
      </c>
      <c r="E199" s="1">
        <v>8.5000000000000006E-2</v>
      </c>
      <c r="F199" s="1">
        <v>-5</v>
      </c>
      <c r="G199" s="1">
        <v>1</v>
      </c>
      <c r="H199" s="1">
        <v>1.3359681032999999</v>
      </c>
      <c r="I199" s="1">
        <v>1.3223856845999999</v>
      </c>
      <c r="J199" s="1">
        <v>0.62122253640000002</v>
      </c>
      <c r="K199" s="1">
        <v>11967.576458899999</v>
      </c>
      <c r="L199" s="1">
        <v>2796.6662060600001</v>
      </c>
      <c r="M199" s="1" t="s">
        <v>198</v>
      </c>
      <c r="N199" s="1" t="b">
        <v>1</v>
      </c>
    </row>
    <row r="200" spans="1:14" ht="19" customHeight="1" x14ac:dyDescent="0.3">
      <c r="A200">
        <v>195</v>
      </c>
      <c r="B200" s="1">
        <v>1</v>
      </c>
      <c r="C200" s="1">
        <v>70</v>
      </c>
      <c r="D200" s="1">
        <v>0.04</v>
      </c>
      <c r="E200" s="1">
        <v>8.5000000000000006E-2</v>
      </c>
      <c r="F200" s="1">
        <v>0</v>
      </c>
      <c r="G200" s="1">
        <v>0</v>
      </c>
      <c r="H200" s="1">
        <v>1.3663681031399999</v>
      </c>
      <c r="I200" s="1">
        <v>1.8033021547100001</v>
      </c>
      <c r="J200" s="1">
        <v>0.75008845902499999</v>
      </c>
      <c r="K200" s="1">
        <v>14269.459292</v>
      </c>
      <c r="L200" s="1">
        <v>3376.8044814700002</v>
      </c>
      <c r="M200" s="1" t="s">
        <v>198</v>
      </c>
      <c r="N200" s="1" t="b">
        <v>1</v>
      </c>
    </row>
    <row r="201" spans="1:14" ht="19" customHeight="1" x14ac:dyDescent="0.3">
      <c r="A201">
        <v>196</v>
      </c>
      <c r="B201" s="1">
        <v>1</v>
      </c>
      <c r="C201" s="1">
        <v>70</v>
      </c>
      <c r="D201" s="1">
        <v>0.04</v>
      </c>
      <c r="E201" s="1">
        <v>8.5000000000000006E-2</v>
      </c>
      <c r="F201" s="1">
        <v>0</v>
      </c>
      <c r="G201" s="1">
        <v>1</v>
      </c>
      <c r="H201" s="1">
        <v>1.3663681031399999</v>
      </c>
      <c r="I201" s="1">
        <v>1.3524766160299999</v>
      </c>
      <c r="J201" s="1">
        <v>0.61507253640000004</v>
      </c>
      <c r="K201" s="1">
        <v>12239.8990701</v>
      </c>
      <c r="L201" s="1">
        <v>2768.9796748099998</v>
      </c>
      <c r="M201" s="1" t="s">
        <v>198</v>
      </c>
      <c r="N201" s="1" t="b">
        <v>1</v>
      </c>
    </row>
    <row r="202" spans="1:14" ht="19" customHeight="1" x14ac:dyDescent="0.3">
      <c r="A202">
        <v>197</v>
      </c>
      <c r="B202" s="1">
        <v>1</v>
      </c>
      <c r="C202" s="1">
        <v>70</v>
      </c>
      <c r="D202" s="1">
        <v>0.04</v>
      </c>
      <c r="E202" s="1">
        <v>8.5000000000000006E-2</v>
      </c>
      <c r="F202" s="1">
        <v>5</v>
      </c>
      <c r="G202" s="1">
        <v>0</v>
      </c>
      <c r="H202" s="1">
        <v>1.3359681032999999</v>
      </c>
      <c r="I202" s="1">
        <v>1.7631809128</v>
      </c>
      <c r="J202" s="1">
        <v>0.75758845902500005</v>
      </c>
      <c r="K202" s="1">
        <v>13951.9814769</v>
      </c>
      <c r="L202" s="1">
        <v>3410.5685439700001</v>
      </c>
      <c r="M202" s="1" t="s">
        <v>198</v>
      </c>
      <c r="N202" s="1" t="b">
        <v>1</v>
      </c>
    </row>
    <row r="203" spans="1:14" ht="19" customHeight="1" x14ac:dyDescent="0.3">
      <c r="A203">
        <v>198</v>
      </c>
      <c r="B203" s="1">
        <v>1</v>
      </c>
      <c r="C203" s="1">
        <v>70</v>
      </c>
      <c r="D203" s="1">
        <v>0.04</v>
      </c>
      <c r="E203" s="1">
        <v>8.5000000000000006E-2</v>
      </c>
      <c r="F203" s="1">
        <v>5</v>
      </c>
      <c r="G203" s="1">
        <v>1</v>
      </c>
      <c r="H203" s="1">
        <v>1.3359681032999999</v>
      </c>
      <c r="I203" s="1">
        <v>1.3223856845999999</v>
      </c>
      <c r="J203" s="1">
        <v>0.62122253640000002</v>
      </c>
      <c r="K203" s="1">
        <v>11967.576458899999</v>
      </c>
      <c r="L203" s="1">
        <v>2796.6662060600001</v>
      </c>
      <c r="M203" s="1" t="s">
        <v>198</v>
      </c>
      <c r="N203" s="1" t="b">
        <v>1</v>
      </c>
    </row>
    <row r="204" spans="1:14" ht="19" customHeight="1" x14ac:dyDescent="0.3">
      <c r="A204">
        <v>199</v>
      </c>
      <c r="B204" s="1">
        <v>1</v>
      </c>
      <c r="C204" s="1">
        <v>70</v>
      </c>
      <c r="D204" s="1">
        <v>5.5E-2</v>
      </c>
      <c r="E204" s="1">
        <v>0.04</v>
      </c>
      <c r="F204" s="1">
        <v>-5</v>
      </c>
      <c r="G204" s="1">
        <v>0</v>
      </c>
      <c r="H204" s="1">
        <v>1.2602035036799999</v>
      </c>
      <c r="I204" s="1">
        <v>1.6495340133600001</v>
      </c>
      <c r="J204" s="1">
        <v>0.75080820427799999</v>
      </c>
      <c r="K204" s="1">
        <v>13099.274584500001</v>
      </c>
      <c r="L204" s="1">
        <v>3380.0446846300001</v>
      </c>
      <c r="M204" s="1" t="s">
        <v>198</v>
      </c>
      <c r="N204" s="1" t="b">
        <v>1</v>
      </c>
    </row>
    <row r="205" spans="1:14" ht="19" customHeight="1" x14ac:dyDescent="0.3">
      <c r="A205">
        <v>200</v>
      </c>
      <c r="B205" s="1">
        <v>1</v>
      </c>
      <c r="C205" s="1">
        <v>70</v>
      </c>
      <c r="D205" s="1">
        <v>5.5E-2</v>
      </c>
      <c r="E205" s="1">
        <v>0.04</v>
      </c>
      <c r="F205" s="1">
        <v>-5</v>
      </c>
      <c r="G205" s="1">
        <v>1</v>
      </c>
      <c r="H205" s="1">
        <v>1.2602035036799999</v>
      </c>
      <c r="I205" s="1">
        <v>1.23715051002</v>
      </c>
      <c r="J205" s="1">
        <v>0.615662727508</v>
      </c>
      <c r="K205" s="1">
        <v>11242.7756004</v>
      </c>
      <c r="L205" s="1">
        <v>2771.6366413999999</v>
      </c>
      <c r="M205" s="1" t="s">
        <v>198</v>
      </c>
      <c r="N205" s="1" t="b">
        <v>1</v>
      </c>
    </row>
    <row r="206" spans="1:14" ht="19" customHeight="1" x14ac:dyDescent="0.3">
      <c r="A206">
        <v>201</v>
      </c>
      <c r="B206" s="1">
        <v>1</v>
      </c>
      <c r="C206" s="1">
        <v>70</v>
      </c>
      <c r="D206" s="1">
        <v>5.5E-2</v>
      </c>
      <c r="E206" s="1">
        <v>0.04</v>
      </c>
      <c r="F206" s="1">
        <v>0</v>
      </c>
      <c r="G206" s="1">
        <v>0</v>
      </c>
      <c r="H206" s="1">
        <v>1.2888794774600001</v>
      </c>
      <c r="I206" s="1">
        <v>1.6870692161900001</v>
      </c>
      <c r="J206" s="1">
        <v>0.74330820427800004</v>
      </c>
      <c r="K206" s="1">
        <v>13397.349025199999</v>
      </c>
      <c r="L206" s="1">
        <v>3346.2806221300002</v>
      </c>
      <c r="M206" s="1" t="s">
        <v>198</v>
      </c>
      <c r="N206" s="1" t="b">
        <v>1</v>
      </c>
    </row>
    <row r="207" spans="1:14" ht="19" customHeight="1" x14ac:dyDescent="0.3">
      <c r="A207">
        <v>202</v>
      </c>
      <c r="B207" s="1">
        <v>1</v>
      </c>
      <c r="C207" s="1">
        <v>70</v>
      </c>
      <c r="D207" s="1">
        <v>5.5E-2</v>
      </c>
      <c r="E207" s="1">
        <v>0.04</v>
      </c>
      <c r="F207" s="1">
        <v>0</v>
      </c>
      <c r="G207" s="1">
        <v>1</v>
      </c>
      <c r="H207" s="1">
        <v>1.2888794774600001</v>
      </c>
      <c r="I207" s="1">
        <v>1.26530191214</v>
      </c>
      <c r="J207" s="1">
        <v>0.60951272750800001</v>
      </c>
      <c r="K207" s="1">
        <v>11498.6053433</v>
      </c>
      <c r="L207" s="1">
        <v>2743.95011015</v>
      </c>
      <c r="M207" s="1" t="s">
        <v>198</v>
      </c>
      <c r="N207" s="1" t="b">
        <v>1</v>
      </c>
    </row>
    <row r="208" spans="1:14" ht="19" customHeight="1" x14ac:dyDescent="0.3">
      <c r="A208">
        <v>203</v>
      </c>
      <c r="B208" s="1">
        <v>1</v>
      </c>
      <c r="C208" s="1">
        <v>70</v>
      </c>
      <c r="D208" s="1">
        <v>5.5E-2</v>
      </c>
      <c r="E208" s="1">
        <v>0.04</v>
      </c>
      <c r="F208" s="1">
        <v>5</v>
      </c>
      <c r="G208" s="1">
        <v>0</v>
      </c>
      <c r="H208" s="1">
        <v>1.2602035036799999</v>
      </c>
      <c r="I208" s="1">
        <v>1.6495340133600001</v>
      </c>
      <c r="J208" s="1">
        <v>0.75080820427799999</v>
      </c>
      <c r="K208" s="1">
        <v>13099.274584500001</v>
      </c>
      <c r="L208" s="1">
        <v>3380.0446846300001</v>
      </c>
      <c r="M208" s="1" t="s">
        <v>198</v>
      </c>
      <c r="N208" s="1" t="b">
        <v>1</v>
      </c>
    </row>
    <row r="209" spans="1:14" ht="19" customHeight="1" x14ac:dyDescent="0.3">
      <c r="A209">
        <v>204</v>
      </c>
      <c r="B209" s="1">
        <v>1</v>
      </c>
      <c r="C209" s="1">
        <v>70</v>
      </c>
      <c r="D209" s="1">
        <v>5.5E-2</v>
      </c>
      <c r="E209" s="1">
        <v>0.04</v>
      </c>
      <c r="F209" s="1">
        <v>5</v>
      </c>
      <c r="G209" s="1">
        <v>1</v>
      </c>
      <c r="H209" s="1">
        <v>1.2602035036799999</v>
      </c>
      <c r="I209" s="1">
        <v>1.23715051002</v>
      </c>
      <c r="J209" s="1">
        <v>0.615662727508</v>
      </c>
      <c r="K209" s="1">
        <v>11242.7756004</v>
      </c>
      <c r="L209" s="1">
        <v>2771.6366413999999</v>
      </c>
      <c r="M209" s="1" t="s">
        <v>198</v>
      </c>
      <c r="N209" s="1" t="b">
        <v>1</v>
      </c>
    </row>
    <row r="210" spans="1:14" ht="19" customHeight="1" x14ac:dyDescent="0.3">
      <c r="A210">
        <v>205</v>
      </c>
      <c r="B210" s="1">
        <v>1</v>
      </c>
      <c r="C210" s="1">
        <v>70</v>
      </c>
      <c r="D210" s="1">
        <v>5.5E-2</v>
      </c>
      <c r="E210" s="1">
        <v>0.06</v>
      </c>
      <c r="F210" s="1">
        <v>-5</v>
      </c>
      <c r="G210" s="1">
        <v>0</v>
      </c>
      <c r="H210" s="1">
        <v>1.2878331033899999</v>
      </c>
      <c r="I210" s="1">
        <v>1.6909784129200001</v>
      </c>
      <c r="J210" s="1">
        <v>0.75328080659499996</v>
      </c>
      <c r="K210" s="1">
        <v>13410.237095</v>
      </c>
      <c r="L210" s="1">
        <v>3391.1760311899998</v>
      </c>
      <c r="M210" s="1" t="s">
        <v>198</v>
      </c>
      <c r="N210" s="1" t="b">
        <v>1</v>
      </c>
    </row>
    <row r="211" spans="1:14" ht="19" customHeight="1" x14ac:dyDescent="0.3">
      <c r="A211">
        <v>206</v>
      </c>
      <c r="B211" s="1">
        <v>1</v>
      </c>
      <c r="C211" s="1">
        <v>70</v>
      </c>
      <c r="D211" s="1">
        <v>5.5E-2</v>
      </c>
      <c r="E211" s="1">
        <v>0.06</v>
      </c>
      <c r="F211" s="1">
        <v>-5</v>
      </c>
      <c r="G211" s="1">
        <v>1</v>
      </c>
      <c r="H211" s="1">
        <v>1.2878331033899999</v>
      </c>
      <c r="I211" s="1">
        <v>1.2682338096900001</v>
      </c>
      <c r="J211" s="1">
        <v>0.61769026140799999</v>
      </c>
      <c r="K211" s="1">
        <v>11507.093734300001</v>
      </c>
      <c r="L211" s="1">
        <v>2780.7643455699999</v>
      </c>
      <c r="M211" s="1" t="s">
        <v>198</v>
      </c>
      <c r="N211" s="1" t="b">
        <v>1</v>
      </c>
    </row>
    <row r="212" spans="1:14" ht="19" customHeight="1" x14ac:dyDescent="0.3">
      <c r="A212">
        <v>207</v>
      </c>
      <c r="B212" s="1">
        <v>1</v>
      </c>
      <c r="C212" s="1">
        <v>70</v>
      </c>
      <c r="D212" s="1">
        <v>5.5E-2</v>
      </c>
      <c r="E212" s="1">
        <v>0.06</v>
      </c>
      <c r="F212" s="1">
        <v>0</v>
      </c>
      <c r="G212" s="1">
        <v>0</v>
      </c>
      <c r="H212" s="1">
        <v>1.3171377896500001</v>
      </c>
      <c r="I212" s="1">
        <v>1.7294566844799999</v>
      </c>
      <c r="J212" s="1">
        <v>0.74578080659500001</v>
      </c>
      <c r="K212" s="1">
        <v>13715.3874982</v>
      </c>
      <c r="L212" s="1">
        <v>3357.4119686899999</v>
      </c>
      <c r="M212" s="1" t="s">
        <v>198</v>
      </c>
      <c r="N212" s="1" t="b">
        <v>1</v>
      </c>
    </row>
    <row r="213" spans="1:14" ht="19" customHeight="1" x14ac:dyDescent="0.3">
      <c r="A213">
        <v>208</v>
      </c>
      <c r="B213" s="1">
        <v>1</v>
      </c>
      <c r="C213" s="1">
        <v>70</v>
      </c>
      <c r="D213" s="1">
        <v>5.5E-2</v>
      </c>
      <c r="E213" s="1">
        <v>0.06</v>
      </c>
      <c r="F213" s="1">
        <v>0</v>
      </c>
      <c r="G213" s="1">
        <v>1</v>
      </c>
      <c r="H213" s="1">
        <v>1.3171377896500001</v>
      </c>
      <c r="I213" s="1">
        <v>1.29709251336</v>
      </c>
      <c r="J213" s="1">
        <v>0.611540261408</v>
      </c>
      <c r="K213" s="1">
        <v>11768.9380454</v>
      </c>
      <c r="L213" s="1">
        <v>2753.07781432</v>
      </c>
      <c r="M213" s="1" t="s">
        <v>198</v>
      </c>
      <c r="N213" s="1" t="b">
        <v>1</v>
      </c>
    </row>
    <row r="214" spans="1:14" ht="19" customHeight="1" x14ac:dyDescent="0.3">
      <c r="A214">
        <v>209</v>
      </c>
      <c r="B214" s="1">
        <v>1</v>
      </c>
      <c r="C214" s="1">
        <v>70</v>
      </c>
      <c r="D214" s="1">
        <v>5.5E-2</v>
      </c>
      <c r="E214" s="1">
        <v>0.06</v>
      </c>
      <c r="F214" s="1">
        <v>5</v>
      </c>
      <c r="G214" s="1">
        <v>0</v>
      </c>
      <c r="H214" s="1">
        <v>1.2878331033899999</v>
      </c>
      <c r="I214" s="1">
        <v>1.6909784129200001</v>
      </c>
      <c r="J214" s="1">
        <v>0.75328080659499996</v>
      </c>
      <c r="K214" s="1">
        <v>13410.237095</v>
      </c>
      <c r="L214" s="1">
        <v>3391.1760311899998</v>
      </c>
      <c r="M214" s="1" t="s">
        <v>198</v>
      </c>
      <c r="N214" s="1" t="b">
        <v>1</v>
      </c>
    </row>
    <row r="215" spans="1:14" ht="19" customHeight="1" x14ac:dyDescent="0.3">
      <c r="A215">
        <v>210</v>
      </c>
      <c r="B215" s="1">
        <v>1</v>
      </c>
      <c r="C215" s="1">
        <v>70</v>
      </c>
      <c r="D215" s="1">
        <v>5.5E-2</v>
      </c>
      <c r="E215" s="1">
        <v>0.06</v>
      </c>
      <c r="F215" s="1">
        <v>5</v>
      </c>
      <c r="G215" s="1">
        <v>1</v>
      </c>
      <c r="H215" s="1">
        <v>1.2878331033899999</v>
      </c>
      <c r="I215" s="1">
        <v>1.2682338096900001</v>
      </c>
      <c r="J215" s="1">
        <v>0.61769026140799999</v>
      </c>
      <c r="K215" s="1">
        <v>11507.093734300001</v>
      </c>
      <c r="L215" s="1">
        <v>2780.7643455699999</v>
      </c>
      <c r="M215" s="1" t="s">
        <v>198</v>
      </c>
      <c r="N215" s="1" t="b">
        <v>1</v>
      </c>
    </row>
    <row r="216" spans="1:14" ht="19" customHeight="1" x14ac:dyDescent="0.3">
      <c r="A216">
        <v>211</v>
      </c>
      <c r="B216" s="1">
        <v>1</v>
      </c>
      <c r="C216" s="1">
        <v>70</v>
      </c>
      <c r="D216" s="1">
        <v>5.5E-2</v>
      </c>
      <c r="E216" s="1">
        <v>8.5000000000000006E-2</v>
      </c>
      <c r="F216" s="1">
        <v>-5</v>
      </c>
      <c r="G216" s="1">
        <v>0</v>
      </c>
      <c r="H216" s="1">
        <v>1.21719855787</v>
      </c>
      <c r="I216" s="1">
        <v>1.58502659465</v>
      </c>
      <c r="J216" s="1">
        <v>0.74695964585600005</v>
      </c>
      <c r="K216" s="1">
        <v>12615.267358499999</v>
      </c>
      <c r="L216" s="1">
        <v>3362.7189556899998</v>
      </c>
      <c r="M216" s="1" t="s">
        <v>198</v>
      </c>
      <c r="N216" s="1" t="b">
        <v>1</v>
      </c>
    </row>
    <row r="217" spans="1:14" ht="19" customHeight="1" x14ac:dyDescent="0.3">
      <c r="A217">
        <v>212</v>
      </c>
      <c r="B217" s="1">
        <v>1</v>
      </c>
      <c r="C217" s="1">
        <v>70</v>
      </c>
      <c r="D217" s="1">
        <v>5.5E-2</v>
      </c>
      <c r="E217" s="1">
        <v>8.5000000000000006E-2</v>
      </c>
      <c r="F217" s="1">
        <v>-5</v>
      </c>
      <c r="G217" s="1">
        <v>1</v>
      </c>
      <c r="H217" s="1">
        <v>1.21719855787</v>
      </c>
      <c r="I217" s="1">
        <v>1.1887699459900001</v>
      </c>
      <c r="J217" s="1">
        <v>0.61250690960200005</v>
      </c>
      <c r="K217" s="1">
        <v>10831.3694583</v>
      </c>
      <c r="L217" s="1">
        <v>2757.4295436699999</v>
      </c>
      <c r="M217" s="1" t="s">
        <v>198</v>
      </c>
      <c r="N217" s="1" t="b">
        <v>1</v>
      </c>
    </row>
    <row r="218" spans="1:14" ht="19" customHeight="1" x14ac:dyDescent="0.3">
      <c r="A218">
        <v>213</v>
      </c>
      <c r="B218" s="1">
        <v>1</v>
      </c>
      <c r="C218" s="1">
        <v>70</v>
      </c>
      <c r="D218" s="1">
        <v>5.5E-2</v>
      </c>
      <c r="E218" s="1">
        <v>8.5000000000000006E-2</v>
      </c>
      <c r="F218" s="1">
        <v>0</v>
      </c>
      <c r="G218" s="1">
        <v>0</v>
      </c>
      <c r="H218" s="1">
        <v>1.2448959526400001</v>
      </c>
      <c r="I218" s="1">
        <v>1.6210939289699999</v>
      </c>
      <c r="J218" s="1">
        <v>0.73945964585599999</v>
      </c>
      <c r="K218" s="1">
        <v>12902.3281983</v>
      </c>
      <c r="L218" s="1">
        <v>3328.9548931899999</v>
      </c>
      <c r="M218" s="1" t="s">
        <v>198</v>
      </c>
      <c r="N218" s="1" t="b">
        <v>1</v>
      </c>
    </row>
    <row r="219" spans="1:14" ht="19" customHeight="1" x14ac:dyDescent="0.3">
      <c r="A219">
        <v>214</v>
      </c>
      <c r="B219" s="1">
        <v>1</v>
      </c>
      <c r="C219" s="1">
        <v>70</v>
      </c>
      <c r="D219" s="1">
        <v>5.5E-2</v>
      </c>
      <c r="E219" s="1">
        <v>8.5000000000000006E-2</v>
      </c>
      <c r="F219" s="1">
        <v>0</v>
      </c>
      <c r="G219" s="1">
        <v>1</v>
      </c>
      <c r="H219" s="1">
        <v>1.2448959526400001</v>
      </c>
      <c r="I219" s="1">
        <v>1.21582044672</v>
      </c>
      <c r="J219" s="1">
        <v>0.60635690960199995</v>
      </c>
      <c r="K219" s="1">
        <v>11077.837640399999</v>
      </c>
      <c r="L219" s="1">
        <v>2729.74301242</v>
      </c>
      <c r="M219" s="1" t="s">
        <v>198</v>
      </c>
      <c r="N219" s="1" t="b">
        <v>1</v>
      </c>
    </row>
    <row r="220" spans="1:14" ht="19" customHeight="1" x14ac:dyDescent="0.3">
      <c r="A220">
        <v>215</v>
      </c>
      <c r="B220" s="1">
        <v>1</v>
      </c>
      <c r="C220" s="1">
        <v>70</v>
      </c>
      <c r="D220" s="1">
        <v>5.5E-2</v>
      </c>
      <c r="E220" s="1">
        <v>8.5000000000000006E-2</v>
      </c>
      <c r="F220" s="1">
        <v>5</v>
      </c>
      <c r="G220" s="1">
        <v>0</v>
      </c>
      <c r="H220" s="1">
        <v>1.21719855787</v>
      </c>
      <c r="I220" s="1">
        <v>1.58502659465</v>
      </c>
      <c r="J220" s="1">
        <v>0.74695964585600005</v>
      </c>
      <c r="K220" s="1">
        <v>12615.267358499999</v>
      </c>
      <c r="L220" s="1">
        <v>3362.7189556899998</v>
      </c>
      <c r="M220" s="1" t="s">
        <v>198</v>
      </c>
      <c r="N220" s="1" t="b">
        <v>1</v>
      </c>
    </row>
    <row r="221" spans="1:14" ht="19" customHeight="1" x14ac:dyDescent="0.3">
      <c r="A221">
        <v>216</v>
      </c>
      <c r="B221" s="1">
        <v>1</v>
      </c>
      <c r="C221" s="1">
        <v>70</v>
      </c>
      <c r="D221" s="1">
        <v>5.5E-2</v>
      </c>
      <c r="E221" s="1">
        <v>8.5000000000000006E-2</v>
      </c>
      <c r="F221" s="1">
        <v>5</v>
      </c>
      <c r="G221" s="1">
        <v>1</v>
      </c>
      <c r="H221" s="1">
        <v>1.21719855787</v>
      </c>
      <c r="I221" s="1">
        <v>1.1887699459900001</v>
      </c>
      <c r="J221" s="1">
        <v>0.61250690960200005</v>
      </c>
      <c r="K221" s="1">
        <v>10831.3694583</v>
      </c>
      <c r="L221" s="1">
        <v>2757.4295436699999</v>
      </c>
      <c r="M221" s="1" t="s">
        <v>198</v>
      </c>
      <c r="N221" s="1" t="b">
        <v>1</v>
      </c>
    </row>
    <row r="222" spans="1:14" ht="19" customHeight="1" x14ac:dyDescent="0.3">
      <c r="A222">
        <v>217</v>
      </c>
      <c r="B222" s="1">
        <v>1</v>
      </c>
      <c r="C222" s="1">
        <v>90</v>
      </c>
      <c r="D222" s="1">
        <v>2.5000000000000001E-2</v>
      </c>
      <c r="E222" s="1">
        <v>0.04</v>
      </c>
      <c r="F222" s="1">
        <v>-5</v>
      </c>
      <c r="G222" s="1">
        <v>0</v>
      </c>
      <c r="H222" s="1">
        <v>1.39409979229</v>
      </c>
      <c r="I222" s="1">
        <v>1.8503784462799999</v>
      </c>
      <c r="J222" s="1">
        <v>0.76279072581100005</v>
      </c>
      <c r="K222" s="1">
        <v>24145.0014916</v>
      </c>
      <c r="L222" s="1">
        <v>5676.5932326399998</v>
      </c>
      <c r="M222" s="1" t="s">
        <v>198</v>
      </c>
      <c r="N222" s="1" t="b">
        <v>1</v>
      </c>
    </row>
    <row r="223" spans="1:14" ht="19" customHeight="1" x14ac:dyDescent="0.3">
      <c r="A223">
        <v>218</v>
      </c>
      <c r="B223" s="1">
        <v>1</v>
      </c>
      <c r="C223" s="1">
        <v>90</v>
      </c>
      <c r="D223" s="1">
        <v>2.5000000000000001E-2</v>
      </c>
      <c r="E223" s="1">
        <v>0.04</v>
      </c>
      <c r="F223" s="1">
        <v>-5</v>
      </c>
      <c r="G223" s="1">
        <v>1</v>
      </c>
      <c r="H223" s="1">
        <v>1.39409979229</v>
      </c>
      <c r="I223" s="1">
        <v>1.38778383471</v>
      </c>
      <c r="J223" s="1">
        <v>0.62548839516499999</v>
      </c>
      <c r="K223" s="1">
        <v>20702.430216699999</v>
      </c>
      <c r="L223" s="1">
        <v>4654.8064507700001</v>
      </c>
      <c r="M223" s="1" t="s">
        <v>198</v>
      </c>
      <c r="N223" s="1" t="b">
        <v>1</v>
      </c>
    </row>
    <row r="224" spans="1:14" ht="19" customHeight="1" x14ac:dyDescent="0.3">
      <c r="A224">
        <v>219</v>
      </c>
      <c r="B224" s="1">
        <v>1</v>
      </c>
      <c r="C224" s="1">
        <v>90</v>
      </c>
      <c r="D224" s="1">
        <v>2.5000000000000001E-2</v>
      </c>
      <c r="E224" s="1">
        <v>0.04</v>
      </c>
      <c r="F224" s="1">
        <v>0</v>
      </c>
      <c r="G224" s="1">
        <v>0</v>
      </c>
      <c r="H224" s="1">
        <v>1.42582258069</v>
      </c>
      <c r="I224" s="1">
        <v>1.89248387104</v>
      </c>
      <c r="J224" s="1">
        <v>0.75529072581099999</v>
      </c>
      <c r="K224" s="1">
        <v>24694.421825500001</v>
      </c>
      <c r="L224" s="1">
        <v>5620.7791701400001</v>
      </c>
      <c r="M224" s="1" t="s">
        <v>198</v>
      </c>
      <c r="N224" s="1" t="b">
        <v>1</v>
      </c>
    </row>
    <row r="225" spans="1:14" ht="19" customHeight="1" x14ac:dyDescent="0.3">
      <c r="A225">
        <v>220</v>
      </c>
      <c r="B225" s="1">
        <v>1</v>
      </c>
      <c r="C225" s="1">
        <v>90</v>
      </c>
      <c r="D225" s="1">
        <v>2.5000000000000001E-2</v>
      </c>
      <c r="E225" s="1">
        <v>0.04</v>
      </c>
      <c r="F225" s="1">
        <v>0</v>
      </c>
      <c r="G225" s="1">
        <v>1</v>
      </c>
      <c r="H225" s="1">
        <v>1.42582258069</v>
      </c>
      <c r="I225" s="1">
        <v>1.4193629032799999</v>
      </c>
      <c r="J225" s="1">
        <v>0.619338395165</v>
      </c>
      <c r="K225" s="1">
        <v>21173.5147235</v>
      </c>
      <c r="L225" s="1">
        <v>4609.0389195199996</v>
      </c>
      <c r="M225" s="1" t="s">
        <v>198</v>
      </c>
      <c r="N225" s="1" t="b">
        <v>1</v>
      </c>
    </row>
    <row r="226" spans="1:14" ht="19" customHeight="1" x14ac:dyDescent="0.3">
      <c r="A226">
        <v>221</v>
      </c>
      <c r="B226" s="1">
        <v>1</v>
      </c>
      <c r="C226" s="1">
        <v>90</v>
      </c>
      <c r="D226" s="1">
        <v>2.5000000000000001E-2</v>
      </c>
      <c r="E226" s="1">
        <v>0.04</v>
      </c>
      <c r="F226" s="1">
        <v>5</v>
      </c>
      <c r="G226" s="1">
        <v>0</v>
      </c>
      <c r="H226" s="1">
        <v>1.39409979229</v>
      </c>
      <c r="I226" s="1">
        <v>1.8503784462799999</v>
      </c>
      <c r="J226" s="1">
        <v>0.76279072581100005</v>
      </c>
      <c r="K226" s="1">
        <v>24145.0014916</v>
      </c>
      <c r="L226" s="1">
        <v>5676.5932326399998</v>
      </c>
      <c r="M226" s="1" t="s">
        <v>198</v>
      </c>
      <c r="N226" s="1" t="b">
        <v>1</v>
      </c>
    </row>
    <row r="227" spans="1:14" ht="19" customHeight="1" x14ac:dyDescent="0.3">
      <c r="A227">
        <v>222</v>
      </c>
      <c r="B227" s="1">
        <v>1</v>
      </c>
      <c r="C227" s="1">
        <v>90</v>
      </c>
      <c r="D227" s="1">
        <v>2.5000000000000001E-2</v>
      </c>
      <c r="E227" s="1">
        <v>0.04</v>
      </c>
      <c r="F227" s="1">
        <v>5</v>
      </c>
      <c r="G227" s="1">
        <v>1</v>
      </c>
      <c r="H227" s="1">
        <v>1.39409979229</v>
      </c>
      <c r="I227" s="1">
        <v>1.38778383471</v>
      </c>
      <c r="J227" s="1">
        <v>0.62548839516499999</v>
      </c>
      <c r="K227" s="1">
        <v>20702.430216699999</v>
      </c>
      <c r="L227" s="1">
        <v>4654.8064507700001</v>
      </c>
      <c r="M227" s="1" t="s">
        <v>198</v>
      </c>
      <c r="N227" s="1" t="b">
        <v>1</v>
      </c>
    </row>
    <row r="228" spans="1:14" ht="19" customHeight="1" x14ac:dyDescent="0.3">
      <c r="A228">
        <v>223</v>
      </c>
      <c r="B228" s="1">
        <v>1</v>
      </c>
      <c r="C228" s="1">
        <v>90</v>
      </c>
      <c r="D228" s="1">
        <v>2.5000000000000001E-2</v>
      </c>
      <c r="E228" s="1">
        <v>0.06</v>
      </c>
      <c r="F228" s="1">
        <v>-5</v>
      </c>
      <c r="G228" s="1">
        <v>0</v>
      </c>
      <c r="H228" s="1">
        <v>1.4347148059299999</v>
      </c>
      <c r="I228" s="1">
        <v>1.9113009667300001</v>
      </c>
      <c r="J228" s="1">
        <v>0.76642540665600001</v>
      </c>
      <c r="K228" s="1">
        <v>24900.631128100002</v>
      </c>
      <c r="L228" s="1">
        <v>5703.6420731600001</v>
      </c>
      <c r="M228" s="1" t="s">
        <v>198</v>
      </c>
      <c r="N228" s="1" t="b">
        <v>1</v>
      </c>
    </row>
    <row r="229" spans="1:14" ht="19" customHeight="1" x14ac:dyDescent="0.3">
      <c r="A229">
        <v>224</v>
      </c>
      <c r="B229" s="1">
        <v>1</v>
      </c>
      <c r="C229" s="1">
        <v>90</v>
      </c>
      <c r="D229" s="1">
        <v>2.5000000000000001E-2</v>
      </c>
      <c r="E229" s="1">
        <v>0.06</v>
      </c>
      <c r="F229" s="1">
        <v>-5</v>
      </c>
      <c r="G229" s="1">
        <v>1</v>
      </c>
      <c r="H229" s="1">
        <v>1.4347148059299999</v>
      </c>
      <c r="I229" s="1">
        <v>1.4334757250500001</v>
      </c>
      <c r="J229" s="1">
        <v>0.62846883345799998</v>
      </c>
      <c r="K229" s="1">
        <v>21344.715407700001</v>
      </c>
      <c r="L229" s="1">
        <v>4676.9864999900001</v>
      </c>
      <c r="M229" s="1" t="s">
        <v>198</v>
      </c>
      <c r="N229" s="1" t="b">
        <v>1</v>
      </c>
    </row>
    <row r="230" spans="1:14" ht="19" customHeight="1" x14ac:dyDescent="0.3">
      <c r="A230">
        <v>225</v>
      </c>
      <c r="B230" s="1">
        <v>1</v>
      </c>
      <c r="C230" s="1">
        <v>90</v>
      </c>
      <c r="D230" s="1">
        <v>2.5000000000000001E-2</v>
      </c>
      <c r="E230" s="1">
        <v>0.06</v>
      </c>
      <c r="F230" s="1">
        <v>0</v>
      </c>
      <c r="G230" s="1">
        <v>0</v>
      </c>
      <c r="H230" s="1">
        <v>1.46736179035</v>
      </c>
      <c r="I230" s="1">
        <v>1.95479268553</v>
      </c>
      <c r="J230" s="1">
        <v>0.75892540665599995</v>
      </c>
      <c r="K230" s="1">
        <v>25467.245840200001</v>
      </c>
      <c r="L230" s="1">
        <v>5647.8280106599996</v>
      </c>
      <c r="M230" s="1" t="s">
        <v>198</v>
      </c>
      <c r="N230" s="1" t="b">
        <v>1</v>
      </c>
    </row>
    <row r="231" spans="1:14" ht="19" customHeight="1" x14ac:dyDescent="0.3">
      <c r="A231">
        <v>226</v>
      </c>
      <c r="B231" s="1">
        <v>1</v>
      </c>
      <c r="C231" s="1">
        <v>90</v>
      </c>
      <c r="D231" s="1">
        <v>2.5000000000000001E-2</v>
      </c>
      <c r="E231" s="1">
        <v>0.06</v>
      </c>
      <c r="F231" s="1">
        <v>0</v>
      </c>
      <c r="G231" s="1">
        <v>1</v>
      </c>
      <c r="H231" s="1">
        <v>1.46736179035</v>
      </c>
      <c r="I231" s="1">
        <v>1.4660945141399999</v>
      </c>
      <c r="J231" s="1">
        <v>0.62231883345799999</v>
      </c>
      <c r="K231" s="1">
        <v>21830.415136</v>
      </c>
      <c r="L231" s="1">
        <v>4631.2189687399996</v>
      </c>
      <c r="M231" s="1" t="s">
        <v>198</v>
      </c>
      <c r="N231" s="1" t="b">
        <v>1</v>
      </c>
    </row>
    <row r="232" spans="1:14" ht="19" customHeight="1" x14ac:dyDescent="0.3">
      <c r="A232">
        <v>227</v>
      </c>
      <c r="B232" s="1">
        <v>1</v>
      </c>
      <c r="C232" s="1">
        <v>90</v>
      </c>
      <c r="D232" s="1">
        <v>2.5000000000000001E-2</v>
      </c>
      <c r="E232" s="1">
        <v>0.06</v>
      </c>
      <c r="F232" s="1">
        <v>5</v>
      </c>
      <c r="G232" s="1">
        <v>0</v>
      </c>
      <c r="H232" s="1">
        <v>1.4347148059299999</v>
      </c>
      <c r="I232" s="1">
        <v>1.9113009667300001</v>
      </c>
      <c r="J232" s="1">
        <v>0.76642540665600001</v>
      </c>
      <c r="K232" s="1">
        <v>24900.631128100002</v>
      </c>
      <c r="L232" s="1">
        <v>5703.6420731600001</v>
      </c>
      <c r="M232" s="1" t="s">
        <v>198</v>
      </c>
      <c r="N232" s="1" t="b">
        <v>1</v>
      </c>
    </row>
    <row r="233" spans="1:14" ht="19" customHeight="1" x14ac:dyDescent="0.3">
      <c r="A233">
        <v>228</v>
      </c>
      <c r="B233" s="1">
        <v>1</v>
      </c>
      <c r="C233" s="1">
        <v>90</v>
      </c>
      <c r="D233" s="1">
        <v>2.5000000000000001E-2</v>
      </c>
      <c r="E233" s="1">
        <v>0.06</v>
      </c>
      <c r="F233" s="1">
        <v>5</v>
      </c>
      <c r="G233" s="1">
        <v>1</v>
      </c>
      <c r="H233" s="1">
        <v>1.4347148059299999</v>
      </c>
      <c r="I233" s="1">
        <v>1.4334757250500001</v>
      </c>
      <c r="J233" s="1">
        <v>0.62846883345799998</v>
      </c>
      <c r="K233" s="1">
        <v>21344.715407700001</v>
      </c>
      <c r="L233" s="1">
        <v>4676.9864999900001</v>
      </c>
      <c r="M233" s="1" t="s">
        <v>198</v>
      </c>
      <c r="N233" s="1" t="b">
        <v>1</v>
      </c>
    </row>
    <row r="234" spans="1:14" ht="19" customHeight="1" x14ac:dyDescent="0.3">
      <c r="A234">
        <v>229</v>
      </c>
      <c r="B234" s="1">
        <v>1</v>
      </c>
      <c r="C234" s="1">
        <v>90</v>
      </c>
      <c r="D234" s="1">
        <v>2.5000000000000001E-2</v>
      </c>
      <c r="E234" s="1">
        <v>8.5000000000000006E-2</v>
      </c>
      <c r="F234" s="1">
        <v>-5</v>
      </c>
      <c r="G234" s="1">
        <v>0</v>
      </c>
      <c r="H234" s="1">
        <v>1.33088329698</v>
      </c>
      <c r="I234" s="1">
        <v>1.7555537033099999</v>
      </c>
      <c r="J234" s="1">
        <v>0.75713341428900005</v>
      </c>
      <c r="K234" s="1">
        <v>22968.8783516</v>
      </c>
      <c r="L234" s="1">
        <v>5634.4922274600003</v>
      </c>
      <c r="M234" s="1" t="s">
        <v>198</v>
      </c>
      <c r="N234" s="1" t="b">
        <v>1</v>
      </c>
    </row>
    <row r="235" spans="1:14" ht="19" customHeight="1" x14ac:dyDescent="0.3">
      <c r="A235">
        <v>230</v>
      </c>
      <c r="B235" s="1">
        <v>1</v>
      </c>
      <c r="C235" s="1">
        <v>90</v>
      </c>
      <c r="D235" s="1">
        <v>2.5000000000000001E-2</v>
      </c>
      <c r="E235" s="1">
        <v>8.5000000000000006E-2</v>
      </c>
      <c r="F235" s="1">
        <v>-5</v>
      </c>
      <c r="G235" s="1">
        <v>1</v>
      </c>
      <c r="H235" s="1">
        <v>1.33088329698</v>
      </c>
      <c r="I235" s="1">
        <v>1.3166652774900001</v>
      </c>
      <c r="J235" s="1">
        <v>0.62084939971700004</v>
      </c>
      <c r="K235" s="1">
        <v>19702.725547599999</v>
      </c>
      <c r="L235" s="1">
        <v>4620.2836265200003</v>
      </c>
      <c r="M235" s="1" t="s">
        <v>198</v>
      </c>
      <c r="N235" s="1" t="b">
        <v>1</v>
      </c>
    </row>
    <row r="236" spans="1:14" ht="19" customHeight="1" x14ac:dyDescent="0.3">
      <c r="A236">
        <v>231</v>
      </c>
      <c r="B236" s="1">
        <v>1</v>
      </c>
      <c r="C236" s="1">
        <v>90</v>
      </c>
      <c r="D236" s="1">
        <v>2.5000000000000001E-2</v>
      </c>
      <c r="E236" s="1">
        <v>8.5000000000000006E-2</v>
      </c>
      <c r="F236" s="1">
        <v>0</v>
      </c>
      <c r="G236" s="1">
        <v>0</v>
      </c>
      <c r="H236" s="1">
        <v>1.3611675918699999</v>
      </c>
      <c r="I236" s="1">
        <v>1.7955013878099999</v>
      </c>
      <c r="J236" s="1">
        <v>0.74963341428899999</v>
      </c>
      <c r="K236" s="1">
        <v>23491.5359632</v>
      </c>
      <c r="L236" s="1">
        <v>5578.6781649599998</v>
      </c>
      <c r="M236" s="1" t="s">
        <v>198</v>
      </c>
      <c r="N236" s="1" t="b">
        <v>1</v>
      </c>
    </row>
    <row r="237" spans="1:14" ht="19" customHeight="1" x14ac:dyDescent="0.3">
      <c r="A237">
        <v>232</v>
      </c>
      <c r="B237" s="1">
        <v>1</v>
      </c>
      <c r="C237" s="1">
        <v>90</v>
      </c>
      <c r="D237" s="1">
        <v>2.5000000000000001E-2</v>
      </c>
      <c r="E237" s="1">
        <v>8.5000000000000006E-2</v>
      </c>
      <c r="F237" s="1">
        <v>0</v>
      </c>
      <c r="G237" s="1">
        <v>1</v>
      </c>
      <c r="H237" s="1">
        <v>1.3611675918699999</v>
      </c>
      <c r="I237" s="1">
        <v>1.3466260408599999</v>
      </c>
      <c r="J237" s="1">
        <v>0.61469939971700005</v>
      </c>
      <c r="K237" s="1">
        <v>20151.061740599998</v>
      </c>
      <c r="L237" s="1">
        <v>4574.5160952699998</v>
      </c>
      <c r="M237" s="1" t="s">
        <v>198</v>
      </c>
      <c r="N237" s="1" t="b">
        <v>1</v>
      </c>
    </row>
    <row r="238" spans="1:14" ht="19" customHeight="1" x14ac:dyDescent="0.3">
      <c r="A238">
        <v>233</v>
      </c>
      <c r="B238" s="1">
        <v>1</v>
      </c>
      <c r="C238" s="1">
        <v>90</v>
      </c>
      <c r="D238" s="1">
        <v>2.5000000000000001E-2</v>
      </c>
      <c r="E238" s="1">
        <v>8.5000000000000006E-2</v>
      </c>
      <c r="F238" s="1">
        <v>5</v>
      </c>
      <c r="G238" s="1">
        <v>0</v>
      </c>
      <c r="H238" s="1">
        <v>1.33088329698</v>
      </c>
      <c r="I238" s="1">
        <v>1.7555537033099999</v>
      </c>
      <c r="J238" s="1">
        <v>0.75713341428900005</v>
      </c>
      <c r="K238" s="1">
        <v>22968.8783516</v>
      </c>
      <c r="L238" s="1">
        <v>5634.4922274600003</v>
      </c>
      <c r="M238" s="1" t="s">
        <v>198</v>
      </c>
      <c r="N238" s="1" t="b">
        <v>1</v>
      </c>
    </row>
    <row r="239" spans="1:14" ht="19" customHeight="1" x14ac:dyDescent="0.3">
      <c r="A239">
        <v>234</v>
      </c>
      <c r="B239" s="1">
        <v>1</v>
      </c>
      <c r="C239" s="1">
        <v>90</v>
      </c>
      <c r="D239" s="1">
        <v>2.5000000000000001E-2</v>
      </c>
      <c r="E239" s="1">
        <v>8.5000000000000006E-2</v>
      </c>
      <c r="F239" s="1">
        <v>5</v>
      </c>
      <c r="G239" s="1">
        <v>1</v>
      </c>
      <c r="H239" s="1">
        <v>1.33088329698</v>
      </c>
      <c r="I239" s="1">
        <v>1.3166652774900001</v>
      </c>
      <c r="J239" s="1">
        <v>0.62084939971700004</v>
      </c>
      <c r="K239" s="1">
        <v>19702.725547599999</v>
      </c>
      <c r="L239" s="1">
        <v>4620.2836265200003</v>
      </c>
      <c r="M239" s="1" t="s">
        <v>198</v>
      </c>
      <c r="N239" s="1" t="b">
        <v>1</v>
      </c>
    </row>
    <row r="240" spans="1:14" ht="19" customHeight="1" x14ac:dyDescent="0.3">
      <c r="A240">
        <v>235</v>
      </c>
      <c r="B240" s="1">
        <v>1</v>
      </c>
      <c r="C240" s="1">
        <v>90</v>
      </c>
      <c r="D240" s="1">
        <v>0.04</v>
      </c>
      <c r="E240" s="1">
        <v>0.04</v>
      </c>
      <c r="F240" s="1">
        <v>-5</v>
      </c>
      <c r="G240" s="1">
        <v>0</v>
      </c>
      <c r="H240" s="1">
        <v>1.4000886057399999</v>
      </c>
      <c r="I240" s="1">
        <v>1.8593616664599999</v>
      </c>
      <c r="J240" s="1">
        <v>0.76332667110800001</v>
      </c>
      <c r="K240" s="1">
        <v>24256.421494400001</v>
      </c>
      <c r="L240" s="1">
        <v>5680.5816705500001</v>
      </c>
      <c r="M240" s="1" t="s">
        <v>198</v>
      </c>
      <c r="N240" s="1" t="b">
        <v>1</v>
      </c>
    </row>
    <row r="241" spans="1:14" ht="19" customHeight="1" x14ac:dyDescent="0.3">
      <c r="A241">
        <v>236</v>
      </c>
      <c r="B241" s="1">
        <v>1</v>
      </c>
      <c r="C241" s="1">
        <v>90</v>
      </c>
      <c r="D241" s="1">
        <v>0.04</v>
      </c>
      <c r="E241" s="1">
        <v>0.04</v>
      </c>
      <c r="F241" s="1">
        <v>-5</v>
      </c>
      <c r="G241" s="1">
        <v>1</v>
      </c>
      <c r="H241" s="1">
        <v>1.4000886057399999</v>
      </c>
      <c r="I241" s="1">
        <v>1.3945212498399999</v>
      </c>
      <c r="J241" s="1">
        <v>0.62592787030800001</v>
      </c>
      <c r="K241" s="1">
        <v>20797.137219</v>
      </c>
      <c r="L241" s="1">
        <v>4658.0769698499998</v>
      </c>
      <c r="M241" s="1" t="s">
        <v>198</v>
      </c>
      <c r="N241" s="1" t="b">
        <v>1</v>
      </c>
    </row>
    <row r="242" spans="1:14" ht="19" customHeight="1" x14ac:dyDescent="0.3">
      <c r="A242">
        <v>237</v>
      </c>
      <c r="B242" s="1">
        <v>1</v>
      </c>
      <c r="C242" s="1">
        <v>90</v>
      </c>
      <c r="D242" s="1">
        <v>0.04</v>
      </c>
      <c r="E242" s="1">
        <v>0.04</v>
      </c>
      <c r="F242" s="1">
        <v>0</v>
      </c>
      <c r="G242" s="1">
        <v>0</v>
      </c>
      <c r="H242" s="1">
        <v>1.4319476698</v>
      </c>
      <c r="I242" s="1">
        <v>1.9016715046999999</v>
      </c>
      <c r="J242" s="1">
        <v>0.75582667110799995</v>
      </c>
      <c r="K242" s="1">
        <v>24808.377194199998</v>
      </c>
      <c r="L242" s="1">
        <v>5624.7676080499996</v>
      </c>
      <c r="M242" s="1" t="s">
        <v>198</v>
      </c>
      <c r="N242" s="1" t="b">
        <v>1</v>
      </c>
    </row>
    <row r="243" spans="1:14" ht="19" customHeight="1" x14ac:dyDescent="0.3">
      <c r="A243">
        <v>238</v>
      </c>
      <c r="B243" s="1">
        <v>1</v>
      </c>
      <c r="C243" s="1">
        <v>90</v>
      </c>
      <c r="D243" s="1">
        <v>0.04</v>
      </c>
      <c r="E243" s="1">
        <v>0.04</v>
      </c>
      <c r="F243" s="1">
        <v>0</v>
      </c>
      <c r="G243" s="1">
        <v>1</v>
      </c>
      <c r="H243" s="1">
        <v>1.4319476698</v>
      </c>
      <c r="I243" s="1">
        <v>1.42625362853</v>
      </c>
      <c r="J243" s="1">
        <v>0.61977787030800002</v>
      </c>
      <c r="K243" s="1">
        <v>21270.376787000001</v>
      </c>
      <c r="L243" s="1">
        <v>4612.3094386000002</v>
      </c>
      <c r="M243" s="1" t="s">
        <v>198</v>
      </c>
      <c r="N243" s="1" t="b">
        <v>1</v>
      </c>
    </row>
    <row r="244" spans="1:14" ht="19" customHeight="1" x14ac:dyDescent="0.3">
      <c r="A244">
        <v>239</v>
      </c>
      <c r="B244" s="1">
        <v>1</v>
      </c>
      <c r="C244" s="1">
        <v>90</v>
      </c>
      <c r="D244" s="1">
        <v>0.04</v>
      </c>
      <c r="E244" s="1">
        <v>0.04</v>
      </c>
      <c r="F244" s="1">
        <v>5</v>
      </c>
      <c r="G244" s="1">
        <v>0</v>
      </c>
      <c r="H244" s="1">
        <v>1.4000886057399999</v>
      </c>
      <c r="I244" s="1">
        <v>1.8593616664599999</v>
      </c>
      <c r="J244" s="1">
        <v>0.76332667110800001</v>
      </c>
      <c r="K244" s="1">
        <v>24256.421494400001</v>
      </c>
      <c r="L244" s="1">
        <v>5680.5816705500001</v>
      </c>
      <c r="M244" s="1" t="s">
        <v>198</v>
      </c>
      <c r="N244" s="1" t="b">
        <v>1</v>
      </c>
    </row>
    <row r="245" spans="1:14" ht="19" customHeight="1" x14ac:dyDescent="0.3">
      <c r="A245">
        <v>240</v>
      </c>
      <c r="B245" s="1">
        <v>1</v>
      </c>
      <c r="C245" s="1">
        <v>90</v>
      </c>
      <c r="D245" s="1">
        <v>0.04</v>
      </c>
      <c r="E245" s="1">
        <v>0.04</v>
      </c>
      <c r="F245" s="1">
        <v>5</v>
      </c>
      <c r="G245" s="1">
        <v>1</v>
      </c>
      <c r="H245" s="1">
        <v>1.4000886057399999</v>
      </c>
      <c r="I245" s="1">
        <v>1.3945212498399999</v>
      </c>
      <c r="J245" s="1">
        <v>0.62592787030800001</v>
      </c>
      <c r="K245" s="1">
        <v>20797.137219</v>
      </c>
      <c r="L245" s="1">
        <v>4658.0769698499998</v>
      </c>
      <c r="M245" s="1" t="s">
        <v>198</v>
      </c>
      <c r="N245" s="1" t="b">
        <v>1</v>
      </c>
    </row>
    <row r="246" spans="1:14" ht="19" customHeight="1" x14ac:dyDescent="0.3">
      <c r="A246">
        <v>241</v>
      </c>
      <c r="B246" s="1">
        <v>1</v>
      </c>
      <c r="C246" s="1">
        <v>90</v>
      </c>
      <c r="D246" s="1">
        <v>0.04</v>
      </c>
      <c r="E246" s="1">
        <v>0.06</v>
      </c>
      <c r="F246" s="1">
        <v>-5</v>
      </c>
      <c r="G246" s="1">
        <v>0</v>
      </c>
      <c r="H246" s="1">
        <v>1.4412844213</v>
      </c>
      <c r="I246" s="1">
        <v>1.92115538979</v>
      </c>
      <c r="J246" s="1">
        <v>0.76701332853500004</v>
      </c>
      <c r="K246" s="1">
        <v>25022.8567692</v>
      </c>
      <c r="L246" s="1">
        <v>5708.0173142900003</v>
      </c>
      <c r="M246" s="1" t="s">
        <v>198</v>
      </c>
      <c r="N246" s="1" t="b">
        <v>1</v>
      </c>
    </row>
    <row r="247" spans="1:14" ht="19" customHeight="1" x14ac:dyDescent="0.3">
      <c r="A247">
        <v>242</v>
      </c>
      <c r="B247" s="1">
        <v>1</v>
      </c>
      <c r="C247" s="1">
        <v>90</v>
      </c>
      <c r="D247" s="1">
        <v>0.04</v>
      </c>
      <c r="E247" s="1">
        <v>0.06</v>
      </c>
      <c r="F247" s="1">
        <v>-5</v>
      </c>
      <c r="G247" s="1">
        <v>1</v>
      </c>
      <c r="H247" s="1">
        <v>1.4412844213</v>
      </c>
      <c r="I247" s="1">
        <v>1.44086654234</v>
      </c>
      <c r="J247" s="1">
        <v>0.62895092939899999</v>
      </c>
      <c r="K247" s="1">
        <v>21448.6072026</v>
      </c>
      <c r="L247" s="1">
        <v>4680.5741977199996</v>
      </c>
      <c r="M247" s="1" t="s">
        <v>198</v>
      </c>
      <c r="N247" s="1" t="b">
        <v>1</v>
      </c>
    </row>
    <row r="248" spans="1:14" ht="19" customHeight="1" x14ac:dyDescent="0.3">
      <c r="A248">
        <v>243</v>
      </c>
      <c r="B248" s="1">
        <v>1</v>
      </c>
      <c r="C248" s="1">
        <v>90</v>
      </c>
      <c r="D248" s="1">
        <v>0.04</v>
      </c>
      <c r="E248" s="1">
        <v>0.06</v>
      </c>
      <c r="F248" s="1">
        <v>0</v>
      </c>
      <c r="G248" s="1">
        <v>0</v>
      </c>
      <c r="H248" s="1">
        <v>1.4740808975499999</v>
      </c>
      <c r="I248" s="1">
        <v>1.96487134632</v>
      </c>
      <c r="J248" s="1">
        <v>0.75951332853499998</v>
      </c>
      <c r="K248" s="1">
        <v>25592.252729799999</v>
      </c>
      <c r="L248" s="1">
        <v>5652.2032517899997</v>
      </c>
      <c r="M248" s="1" t="s">
        <v>198</v>
      </c>
      <c r="N248" s="1" t="b">
        <v>1</v>
      </c>
    </row>
    <row r="249" spans="1:14" ht="19" customHeight="1" x14ac:dyDescent="0.3">
      <c r="A249">
        <v>244</v>
      </c>
      <c r="B249" s="1">
        <v>1</v>
      </c>
      <c r="C249" s="1">
        <v>90</v>
      </c>
      <c r="D249" s="1">
        <v>0.04</v>
      </c>
      <c r="E249" s="1">
        <v>0.06</v>
      </c>
      <c r="F249" s="1">
        <v>0</v>
      </c>
      <c r="G249" s="1">
        <v>1</v>
      </c>
      <c r="H249" s="1">
        <v>1.4740808975499999</v>
      </c>
      <c r="I249" s="1">
        <v>1.4736535097400001</v>
      </c>
      <c r="J249" s="1">
        <v>0.622800929399</v>
      </c>
      <c r="K249" s="1">
        <v>21936.670992200001</v>
      </c>
      <c r="L249" s="1">
        <v>4634.80666647</v>
      </c>
      <c r="M249" s="1" t="s">
        <v>198</v>
      </c>
      <c r="N249" s="1" t="b">
        <v>1</v>
      </c>
    </row>
    <row r="250" spans="1:14" ht="19" customHeight="1" x14ac:dyDescent="0.3">
      <c r="A250">
        <v>245</v>
      </c>
      <c r="B250" s="1">
        <v>1</v>
      </c>
      <c r="C250" s="1">
        <v>90</v>
      </c>
      <c r="D250" s="1">
        <v>0.04</v>
      </c>
      <c r="E250" s="1">
        <v>0.06</v>
      </c>
      <c r="F250" s="1">
        <v>5</v>
      </c>
      <c r="G250" s="1">
        <v>0</v>
      </c>
      <c r="H250" s="1">
        <v>1.4412844213</v>
      </c>
      <c r="I250" s="1">
        <v>1.92115538979</v>
      </c>
      <c r="J250" s="1">
        <v>0.76701332853500004</v>
      </c>
      <c r="K250" s="1">
        <v>25022.8567692</v>
      </c>
      <c r="L250" s="1">
        <v>5708.0173142900003</v>
      </c>
      <c r="M250" s="1" t="s">
        <v>198</v>
      </c>
      <c r="N250" s="1" t="b">
        <v>1</v>
      </c>
    </row>
    <row r="251" spans="1:14" ht="19" customHeight="1" x14ac:dyDescent="0.3">
      <c r="A251">
        <v>246</v>
      </c>
      <c r="B251" s="1">
        <v>1</v>
      </c>
      <c r="C251" s="1">
        <v>90</v>
      </c>
      <c r="D251" s="1">
        <v>0.04</v>
      </c>
      <c r="E251" s="1">
        <v>0.06</v>
      </c>
      <c r="F251" s="1">
        <v>5</v>
      </c>
      <c r="G251" s="1">
        <v>1</v>
      </c>
      <c r="H251" s="1">
        <v>1.4412844213</v>
      </c>
      <c r="I251" s="1">
        <v>1.44086654234</v>
      </c>
      <c r="J251" s="1">
        <v>0.62895092939899999</v>
      </c>
      <c r="K251" s="1">
        <v>21448.6072026</v>
      </c>
      <c r="L251" s="1">
        <v>4680.5741977199996</v>
      </c>
      <c r="M251" s="1" t="s">
        <v>198</v>
      </c>
      <c r="N251" s="1" t="b">
        <v>1</v>
      </c>
    </row>
    <row r="252" spans="1:14" ht="19" customHeight="1" x14ac:dyDescent="0.3">
      <c r="A252">
        <v>247</v>
      </c>
      <c r="B252" s="1">
        <v>1</v>
      </c>
      <c r="C252" s="1">
        <v>90</v>
      </c>
      <c r="D252" s="1">
        <v>0.04</v>
      </c>
      <c r="E252" s="1">
        <v>8.5000000000000006E-2</v>
      </c>
      <c r="F252" s="1">
        <v>-5</v>
      </c>
      <c r="G252" s="1">
        <v>0</v>
      </c>
      <c r="H252" s="1">
        <v>1.3359681032999999</v>
      </c>
      <c r="I252" s="1">
        <v>1.7631809128</v>
      </c>
      <c r="J252" s="1">
        <v>0.75758845902500005</v>
      </c>
      <c r="K252" s="1">
        <v>23063.479584199998</v>
      </c>
      <c r="L252" s="1">
        <v>5637.8786135</v>
      </c>
      <c r="M252" s="1" t="s">
        <v>198</v>
      </c>
      <c r="N252" s="1" t="b">
        <v>1</v>
      </c>
    </row>
    <row r="253" spans="1:14" ht="19" customHeight="1" x14ac:dyDescent="0.3">
      <c r="A253">
        <v>248</v>
      </c>
      <c r="B253" s="1">
        <v>1</v>
      </c>
      <c r="C253" s="1">
        <v>90</v>
      </c>
      <c r="D253" s="1">
        <v>0.04</v>
      </c>
      <c r="E253" s="1">
        <v>8.5000000000000006E-2</v>
      </c>
      <c r="F253" s="1">
        <v>-5</v>
      </c>
      <c r="G253" s="1">
        <v>1</v>
      </c>
      <c r="H253" s="1">
        <v>1.3359681032999999</v>
      </c>
      <c r="I253" s="1">
        <v>1.3223856845999999</v>
      </c>
      <c r="J253" s="1">
        <v>0.62122253640000002</v>
      </c>
      <c r="K253" s="1">
        <v>19783.136595399999</v>
      </c>
      <c r="L253" s="1">
        <v>4623.06046307</v>
      </c>
      <c r="M253" s="1" t="s">
        <v>198</v>
      </c>
      <c r="N253" s="1" t="b">
        <v>1</v>
      </c>
    </row>
    <row r="254" spans="1:14" ht="19" customHeight="1" x14ac:dyDescent="0.3">
      <c r="A254">
        <v>249</v>
      </c>
      <c r="B254" s="1">
        <v>1</v>
      </c>
      <c r="C254" s="1">
        <v>90</v>
      </c>
      <c r="D254" s="1">
        <v>0.04</v>
      </c>
      <c r="E254" s="1">
        <v>8.5000000000000006E-2</v>
      </c>
      <c r="F254" s="1">
        <v>0</v>
      </c>
      <c r="G254" s="1">
        <v>0</v>
      </c>
      <c r="H254" s="1">
        <v>1.3663681031399999</v>
      </c>
      <c r="I254" s="1">
        <v>1.8033021547100001</v>
      </c>
      <c r="J254" s="1">
        <v>0.75008845902499999</v>
      </c>
      <c r="K254" s="1">
        <v>23588.289850100002</v>
      </c>
      <c r="L254" s="1">
        <v>5582.0645510000004</v>
      </c>
      <c r="M254" s="1" t="s">
        <v>198</v>
      </c>
      <c r="N254" s="1" t="b">
        <v>1</v>
      </c>
    </row>
    <row r="255" spans="1:14" ht="19" customHeight="1" x14ac:dyDescent="0.3">
      <c r="A255">
        <v>250</v>
      </c>
      <c r="B255" s="1">
        <v>1</v>
      </c>
      <c r="C255" s="1">
        <v>90</v>
      </c>
      <c r="D255" s="1">
        <v>0.04</v>
      </c>
      <c r="E255" s="1">
        <v>8.5000000000000006E-2</v>
      </c>
      <c r="F255" s="1">
        <v>0</v>
      </c>
      <c r="G255" s="1">
        <v>1</v>
      </c>
      <c r="H255" s="1">
        <v>1.3663681031399999</v>
      </c>
      <c r="I255" s="1">
        <v>1.3524766160299999</v>
      </c>
      <c r="J255" s="1">
        <v>0.61507253640000004</v>
      </c>
      <c r="K255" s="1">
        <v>20233.302544499998</v>
      </c>
      <c r="L255" s="1">
        <v>4577.2929318200004</v>
      </c>
      <c r="M255" s="1" t="s">
        <v>198</v>
      </c>
      <c r="N255" s="1" t="b">
        <v>1</v>
      </c>
    </row>
    <row r="256" spans="1:14" ht="19" customHeight="1" x14ac:dyDescent="0.3">
      <c r="A256">
        <v>251</v>
      </c>
      <c r="B256" s="1">
        <v>1</v>
      </c>
      <c r="C256" s="1">
        <v>90</v>
      </c>
      <c r="D256" s="1">
        <v>0.04</v>
      </c>
      <c r="E256" s="1">
        <v>8.5000000000000006E-2</v>
      </c>
      <c r="F256" s="1">
        <v>5</v>
      </c>
      <c r="G256" s="1">
        <v>0</v>
      </c>
      <c r="H256" s="1">
        <v>1.3359681032999999</v>
      </c>
      <c r="I256" s="1">
        <v>1.7631809128</v>
      </c>
      <c r="J256" s="1">
        <v>0.75758845902500005</v>
      </c>
      <c r="K256" s="1">
        <v>23063.479584199998</v>
      </c>
      <c r="L256" s="1">
        <v>5637.8786135</v>
      </c>
      <c r="M256" s="1" t="s">
        <v>198</v>
      </c>
      <c r="N256" s="1" t="b">
        <v>1</v>
      </c>
    </row>
    <row r="257" spans="1:14" ht="19" customHeight="1" x14ac:dyDescent="0.3">
      <c r="A257">
        <v>252</v>
      </c>
      <c r="B257" s="1">
        <v>1</v>
      </c>
      <c r="C257" s="1">
        <v>90</v>
      </c>
      <c r="D257" s="1">
        <v>0.04</v>
      </c>
      <c r="E257" s="1">
        <v>8.5000000000000006E-2</v>
      </c>
      <c r="F257" s="1">
        <v>5</v>
      </c>
      <c r="G257" s="1">
        <v>1</v>
      </c>
      <c r="H257" s="1">
        <v>1.3359681032999999</v>
      </c>
      <c r="I257" s="1">
        <v>1.3223856845999999</v>
      </c>
      <c r="J257" s="1">
        <v>0.62122253640000002</v>
      </c>
      <c r="K257" s="1">
        <v>19783.136595399999</v>
      </c>
      <c r="L257" s="1">
        <v>4623.06046307</v>
      </c>
      <c r="M257" s="1" t="s">
        <v>198</v>
      </c>
      <c r="N257" s="1" t="b">
        <v>1</v>
      </c>
    </row>
    <row r="258" spans="1:14" ht="19" customHeight="1" x14ac:dyDescent="0.3">
      <c r="A258">
        <v>253</v>
      </c>
      <c r="B258" s="1">
        <v>1</v>
      </c>
      <c r="C258" s="1">
        <v>90</v>
      </c>
      <c r="D258" s="1">
        <v>5.5E-2</v>
      </c>
      <c r="E258" s="1">
        <v>0.04</v>
      </c>
      <c r="F258" s="1">
        <v>-5</v>
      </c>
      <c r="G258" s="1">
        <v>0</v>
      </c>
      <c r="H258" s="1">
        <v>1.2602035036799999</v>
      </c>
      <c r="I258" s="1">
        <v>1.6495340133600001</v>
      </c>
      <c r="J258" s="1">
        <v>0.75080820427799999</v>
      </c>
      <c r="K258" s="1">
        <v>21653.9028846</v>
      </c>
      <c r="L258" s="1">
        <v>5587.4208052100003</v>
      </c>
      <c r="M258" s="1" t="s">
        <v>198</v>
      </c>
      <c r="N258" s="1" t="b">
        <v>1</v>
      </c>
    </row>
    <row r="259" spans="1:14" ht="19" customHeight="1" x14ac:dyDescent="0.3">
      <c r="A259">
        <v>254</v>
      </c>
      <c r="B259" s="1">
        <v>1</v>
      </c>
      <c r="C259" s="1">
        <v>90</v>
      </c>
      <c r="D259" s="1">
        <v>5.5E-2</v>
      </c>
      <c r="E259" s="1">
        <v>0.04</v>
      </c>
      <c r="F259" s="1">
        <v>-5</v>
      </c>
      <c r="G259" s="1">
        <v>1</v>
      </c>
      <c r="H259" s="1">
        <v>1.2602035036799999</v>
      </c>
      <c r="I259" s="1">
        <v>1.23715051002</v>
      </c>
      <c r="J259" s="1">
        <v>0.615662727508</v>
      </c>
      <c r="K259" s="1">
        <v>18584.996400700002</v>
      </c>
      <c r="L259" s="1">
        <v>4581.6850602699997</v>
      </c>
      <c r="M259" s="1" t="s">
        <v>198</v>
      </c>
      <c r="N259" s="1" t="b">
        <v>1</v>
      </c>
    </row>
    <row r="260" spans="1:14" ht="19" customHeight="1" x14ac:dyDescent="0.3">
      <c r="A260">
        <v>255</v>
      </c>
      <c r="B260" s="1">
        <v>1</v>
      </c>
      <c r="C260" s="1">
        <v>90</v>
      </c>
      <c r="D260" s="1">
        <v>5.5E-2</v>
      </c>
      <c r="E260" s="1">
        <v>0.04</v>
      </c>
      <c r="F260" s="1">
        <v>0</v>
      </c>
      <c r="G260" s="1">
        <v>0</v>
      </c>
      <c r="H260" s="1">
        <v>1.2888794774600001</v>
      </c>
      <c r="I260" s="1">
        <v>1.6870692161900001</v>
      </c>
      <c r="J260" s="1">
        <v>0.74330820427800004</v>
      </c>
      <c r="K260" s="1">
        <v>22146.6381846</v>
      </c>
      <c r="L260" s="1">
        <v>5531.6067427099997</v>
      </c>
      <c r="M260" s="1" t="s">
        <v>198</v>
      </c>
      <c r="N260" s="1" t="b">
        <v>1</v>
      </c>
    </row>
    <row r="261" spans="1:14" ht="19" customHeight="1" x14ac:dyDescent="0.3">
      <c r="A261">
        <v>256</v>
      </c>
      <c r="B261" s="1">
        <v>1</v>
      </c>
      <c r="C261" s="1">
        <v>90</v>
      </c>
      <c r="D261" s="1">
        <v>5.5E-2</v>
      </c>
      <c r="E261" s="1">
        <v>0.04</v>
      </c>
      <c r="F261" s="1">
        <v>0</v>
      </c>
      <c r="G261" s="1">
        <v>1</v>
      </c>
      <c r="H261" s="1">
        <v>1.2888794774600001</v>
      </c>
      <c r="I261" s="1">
        <v>1.26530191214</v>
      </c>
      <c r="J261" s="1">
        <v>0.60951272750800001</v>
      </c>
      <c r="K261" s="1">
        <v>19007.898628700001</v>
      </c>
      <c r="L261" s="1">
        <v>4535.9175290200001</v>
      </c>
      <c r="M261" s="1" t="s">
        <v>198</v>
      </c>
      <c r="N261" s="1" t="b">
        <v>1</v>
      </c>
    </row>
    <row r="262" spans="1:14" ht="19" customHeight="1" x14ac:dyDescent="0.3">
      <c r="A262">
        <v>257</v>
      </c>
      <c r="B262" s="1">
        <v>1</v>
      </c>
      <c r="C262" s="1">
        <v>90</v>
      </c>
      <c r="D262" s="1">
        <v>5.5E-2</v>
      </c>
      <c r="E262" s="1">
        <v>0.04</v>
      </c>
      <c r="F262" s="1">
        <v>5</v>
      </c>
      <c r="G262" s="1">
        <v>0</v>
      </c>
      <c r="H262" s="1">
        <v>1.2602035036799999</v>
      </c>
      <c r="I262" s="1">
        <v>1.6495340133600001</v>
      </c>
      <c r="J262" s="1">
        <v>0.75080820427799999</v>
      </c>
      <c r="K262" s="1">
        <v>21653.9028846</v>
      </c>
      <c r="L262" s="1">
        <v>5587.4208052100003</v>
      </c>
      <c r="M262" s="1" t="s">
        <v>198</v>
      </c>
      <c r="N262" s="1" t="b">
        <v>1</v>
      </c>
    </row>
    <row r="263" spans="1:14" ht="19" customHeight="1" x14ac:dyDescent="0.3">
      <c r="A263">
        <v>258</v>
      </c>
      <c r="B263" s="1">
        <v>1</v>
      </c>
      <c r="C263" s="1">
        <v>90</v>
      </c>
      <c r="D263" s="1">
        <v>5.5E-2</v>
      </c>
      <c r="E263" s="1">
        <v>0.04</v>
      </c>
      <c r="F263" s="1">
        <v>5</v>
      </c>
      <c r="G263" s="1">
        <v>1</v>
      </c>
      <c r="H263" s="1">
        <v>1.2602035036799999</v>
      </c>
      <c r="I263" s="1">
        <v>1.23715051002</v>
      </c>
      <c r="J263" s="1">
        <v>0.615662727508</v>
      </c>
      <c r="K263" s="1">
        <v>18584.996400700002</v>
      </c>
      <c r="L263" s="1">
        <v>4581.6850602699997</v>
      </c>
      <c r="M263" s="1" t="s">
        <v>198</v>
      </c>
      <c r="N263" s="1" t="b">
        <v>1</v>
      </c>
    </row>
    <row r="264" spans="1:14" ht="19" customHeight="1" x14ac:dyDescent="0.3">
      <c r="A264">
        <v>259</v>
      </c>
      <c r="B264" s="1">
        <v>1</v>
      </c>
      <c r="C264" s="1">
        <v>90</v>
      </c>
      <c r="D264" s="1">
        <v>5.5E-2</v>
      </c>
      <c r="E264" s="1">
        <v>0.06</v>
      </c>
      <c r="F264" s="1">
        <v>-5</v>
      </c>
      <c r="G264" s="1">
        <v>0</v>
      </c>
      <c r="H264" s="1">
        <v>1.2878331033899999</v>
      </c>
      <c r="I264" s="1">
        <v>1.6909784129200001</v>
      </c>
      <c r="J264" s="1">
        <v>0.75328080659499996</v>
      </c>
      <c r="K264" s="1">
        <v>22167.942952900001</v>
      </c>
      <c r="L264" s="1">
        <v>5605.8216025800002</v>
      </c>
      <c r="M264" s="1" t="s">
        <v>198</v>
      </c>
      <c r="N264" s="1" t="b">
        <v>1</v>
      </c>
    </row>
    <row r="265" spans="1:14" ht="19" customHeight="1" x14ac:dyDescent="0.3">
      <c r="A265">
        <v>260</v>
      </c>
      <c r="B265" s="1">
        <v>1</v>
      </c>
      <c r="C265" s="1">
        <v>90</v>
      </c>
      <c r="D265" s="1">
        <v>5.5E-2</v>
      </c>
      <c r="E265" s="1">
        <v>0.06</v>
      </c>
      <c r="F265" s="1">
        <v>-5</v>
      </c>
      <c r="G265" s="1">
        <v>1</v>
      </c>
      <c r="H265" s="1">
        <v>1.2878331033899999</v>
      </c>
      <c r="I265" s="1">
        <v>1.2682338096900001</v>
      </c>
      <c r="J265" s="1">
        <v>0.61769026140799999</v>
      </c>
      <c r="K265" s="1">
        <v>19021.930458800001</v>
      </c>
      <c r="L265" s="1">
        <v>4596.7737141099997</v>
      </c>
      <c r="M265" s="1" t="s">
        <v>198</v>
      </c>
      <c r="N265" s="1" t="b">
        <v>1</v>
      </c>
    </row>
    <row r="266" spans="1:14" ht="19" customHeight="1" x14ac:dyDescent="0.3">
      <c r="A266">
        <v>261</v>
      </c>
      <c r="B266" s="1">
        <v>1</v>
      </c>
      <c r="C266" s="1">
        <v>90</v>
      </c>
      <c r="D266" s="1">
        <v>5.5E-2</v>
      </c>
      <c r="E266" s="1">
        <v>0.06</v>
      </c>
      <c r="F266" s="1">
        <v>0</v>
      </c>
      <c r="G266" s="1">
        <v>0</v>
      </c>
      <c r="H266" s="1">
        <v>1.3171377896500001</v>
      </c>
      <c r="I266" s="1">
        <v>1.7294566844799999</v>
      </c>
      <c r="J266" s="1">
        <v>0.74578080659500001</v>
      </c>
      <c r="K266" s="1">
        <v>22672.3752522</v>
      </c>
      <c r="L266" s="1">
        <v>5550.0075400799997</v>
      </c>
      <c r="M266" s="1" t="s">
        <v>198</v>
      </c>
      <c r="N266" s="1" t="b">
        <v>1</v>
      </c>
    </row>
    <row r="267" spans="1:14" ht="19" customHeight="1" x14ac:dyDescent="0.3">
      <c r="A267">
        <v>262</v>
      </c>
      <c r="B267" s="1">
        <v>1</v>
      </c>
      <c r="C267" s="1">
        <v>90</v>
      </c>
      <c r="D267" s="1">
        <v>5.5E-2</v>
      </c>
      <c r="E267" s="1">
        <v>0.06</v>
      </c>
      <c r="F267" s="1">
        <v>0</v>
      </c>
      <c r="G267" s="1">
        <v>1</v>
      </c>
      <c r="H267" s="1">
        <v>1.3171377896500001</v>
      </c>
      <c r="I267" s="1">
        <v>1.29709251336</v>
      </c>
      <c r="J267" s="1">
        <v>0.611540261408</v>
      </c>
      <c r="K267" s="1">
        <v>19454.775136200002</v>
      </c>
      <c r="L267" s="1">
        <v>4551.0061828600001</v>
      </c>
      <c r="M267" s="1" t="s">
        <v>198</v>
      </c>
      <c r="N267" s="1" t="b">
        <v>1</v>
      </c>
    </row>
    <row r="268" spans="1:14" ht="19" customHeight="1" x14ac:dyDescent="0.3">
      <c r="A268">
        <v>263</v>
      </c>
      <c r="B268" s="1">
        <v>1</v>
      </c>
      <c r="C268" s="1">
        <v>90</v>
      </c>
      <c r="D268" s="1">
        <v>5.5E-2</v>
      </c>
      <c r="E268" s="1">
        <v>0.06</v>
      </c>
      <c r="F268" s="1">
        <v>5</v>
      </c>
      <c r="G268" s="1">
        <v>0</v>
      </c>
      <c r="H268" s="1">
        <v>1.2878331033899999</v>
      </c>
      <c r="I268" s="1">
        <v>1.6909784129200001</v>
      </c>
      <c r="J268" s="1">
        <v>0.75328080659499996</v>
      </c>
      <c r="K268" s="1">
        <v>22167.942952900001</v>
      </c>
      <c r="L268" s="1">
        <v>5605.8216025800002</v>
      </c>
      <c r="M268" s="1" t="s">
        <v>198</v>
      </c>
      <c r="N268" s="1" t="b">
        <v>1</v>
      </c>
    </row>
    <row r="269" spans="1:14" ht="19" customHeight="1" x14ac:dyDescent="0.3">
      <c r="A269">
        <v>264</v>
      </c>
      <c r="B269" s="1">
        <v>1</v>
      </c>
      <c r="C269" s="1">
        <v>90</v>
      </c>
      <c r="D269" s="1">
        <v>5.5E-2</v>
      </c>
      <c r="E269" s="1">
        <v>0.06</v>
      </c>
      <c r="F269" s="1">
        <v>5</v>
      </c>
      <c r="G269" s="1">
        <v>1</v>
      </c>
      <c r="H269" s="1">
        <v>1.2878331033899999</v>
      </c>
      <c r="I269" s="1">
        <v>1.2682338096900001</v>
      </c>
      <c r="J269" s="1">
        <v>0.61769026140799999</v>
      </c>
      <c r="K269" s="1">
        <v>19021.930458800001</v>
      </c>
      <c r="L269" s="1">
        <v>4596.7737141099997</v>
      </c>
      <c r="M269" s="1" t="s">
        <v>198</v>
      </c>
      <c r="N269" s="1" t="b">
        <v>1</v>
      </c>
    </row>
    <row r="270" spans="1:14" ht="19" customHeight="1" x14ac:dyDescent="0.3">
      <c r="A270">
        <v>265</v>
      </c>
      <c r="B270" s="1">
        <v>1</v>
      </c>
      <c r="C270" s="1">
        <v>90</v>
      </c>
      <c r="D270" s="1">
        <v>5.5E-2</v>
      </c>
      <c r="E270" s="1">
        <v>8.5000000000000006E-2</v>
      </c>
      <c r="F270" s="1">
        <v>-5</v>
      </c>
      <c r="G270" s="1">
        <v>0</v>
      </c>
      <c r="H270" s="1">
        <v>1.21719855787</v>
      </c>
      <c r="I270" s="1">
        <v>1.58502659465</v>
      </c>
      <c r="J270" s="1">
        <v>0.74695964585600005</v>
      </c>
      <c r="K270" s="1">
        <v>20853.809307</v>
      </c>
      <c r="L270" s="1">
        <v>5558.7803145099997</v>
      </c>
      <c r="M270" s="1" t="s">
        <v>198</v>
      </c>
      <c r="N270" s="1" t="b">
        <v>1</v>
      </c>
    </row>
    <row r="271" spans="1:14" ht="19" customHeight="1" x14ac:dyDescent="0.3">
      <c r="A271">
        <v>266</v>
      </c>
      <c r="B271" s="1">
        <v>1</v>
      </c>
      <c r="C271" s="1">
        <v>90</v>
      </c>
      <c r="D271" s="1">
        <v>5.5E-2</v>
      </c>
      <c r="E271" s="1">
        <v>8.5000000000000006E-2</v>
      </c>
      <c r="F271" s="1">
        <v>-5</v>
      </c>
      <c r="G271" s="1">
        <v>1</v>
      </c>
      <c r="H271" s="1">
        <v>1.21719855787</v>
      </c>
      <c r="I271" s="1">
        <v>1.1887699459900001</v>
      </c>
      <c r="J271" s="1">
        <v>0.61250690960200005</v>
      </c>
      <c r="K271" s="1">
        <v>17904.916859699999</v>
      </c>
      <c r="L271" s="1">
        <v>4558.1998579000001</v>
      </c>
      <c r="M271" s="1" t="s">
        <v>198</v>
      </c>
      <c r="N271" s="1" t="b">
        <v>1</v>
      </c>
    </row>
    <row r="272" spans="1:14" ht="19" customHeight="1" x14ac:dyDescent="0.3">
      <c r="A272">
        <v>267</v>
      </c>
      <c r="B272" s="1">
        <v>1</v>
      </c>
      <c r="C272" s="1">
        <v>90</v>
      </c>
      <c r="D272" s="1">
        <v>5.5E-2</v>
      </c>
      <c r="E272" s="1">
        <v>8.5000000000000006E-2</v>
      </c>
      <c r="F272" s="1">
        <v>0</v>
      </c>
      <c r="G272" s="1">
        <v>0</v>
      </c>
      <c r="H272" s="1">
        <v>1.2448959526400001</v>
      </c>
      <c r="I272" s="1">
        <v>1.6210939289699999</v>
      </c>
      <c r="J272" s="1">
        <v>0.73945964585599999</v>
      </c>
      <c r="K272" s="1">
        <v>21328.338450200001</v>
      </c>
      <c r="L272" s="1">
        <v>5502.9662520100001</v>
      </c>
      <c r="M272" s="1" t="s">
        <v>198</v>
      </c>
      <c r="N272" s="1" t="b">
        <v>1</v>
      </c>
    </row>
    <row r="273" spans="1:14" ht="19" customHeight="1" x14ac:dyDescent="0.3">
      <c r="A273">
        <v>268</v>
      </c>
      <c r="B273" s="1">
        <v>1</v>
      </c>
      <c r="C273" s="1">
        <v>90</v>
      </c>
      <c r="D273" s="1">
        <v>5.5E-2</v>
      </c>
      <c r="E273" s="1">
        <v>8.5000000000000006E-2</v>
      </c>
      <c r="F273" s="1">
        <v>0</v>
      </c>
      <c r="G273" s="1">
        <v>1</v>
      </c>
      <c r="H273" s="1">
        <v>1.2448959526400001</v>
      </c>
      <c r="I273" s="1">
        <v>1.21582044672</v>
      </c>
      <c r="J273" s="1">
        <v>0.60635690960199995</v>
      </c>
      <c r="K273" s="1">
        <v>18312.343854499999</v>
      </c>
      <c r="L273" s="1">
        <v>4512.4323266499996</v>
      </c>
      <c r="M273" s="1" t="s">
        <v>198</v>
      </c>
      <c r="N273" s="1" t="b">
        <v>1</v>
      </c>
    </row>
    <row r="274" spans="1:14" ht="19" customHeight="1" x14ac:dyDescent="0.3">
      <c r="A274">
        <v>269</v>
      </c>
      <c r="B274" s="1">
        <v>1</v>
      </c>
      <c r="C274" s="1">
        <v>90</v>
      </c>
      <c r="D274" s="1">
        <v>5.5E-2</v>
      </c>
      <c r="E274" s="1">
        <v>8.5000000000000006E-2</v>
      </c>
      <c r="F274" s="1">
        <v>5</v>
      </c>
      <c r="G274" s="1">
        <v>0</v>
      </c>
      <c r="H274" s="1">
        <v>1.21719855787</v>
      </c>
      <c r="I274" s="1">
        <v>1.58502659465</v>
      </c>
      <c r="J274" s="1">
        <v>0.74695964585600005</v>
      </c>
      <c r="K274" s="1">
        <v>20853.809307</v>
      </c>
      <c r="L274" s="1">
        <v>5558.7803145099997</v>
      </c>
      <c r="M274" s="1" t="s">
        <v>198</v>
      </c>
      <c r="N274" s="1" t="b">
        <v>1</v>
      </c>
    </row>
    <row r="275" spans="1:14" ht="19" customHeight="1" x14ac:dyDescent="0.3">
      <c r="A275">
        <v>270</v>
      </c>
      <c r="B275" s="1">
        <v>1</v>
      </c>
      <c r="C275" s="1">
        <v>90</v>
      </c>
      <c r="D275" s="1">
        <v>5.5E-2</v>
      </c>
      <c r="E275" s="1">
        <v>8.5000000000000006E-2</v>
      </c>
      <c r="F275" s="1">
        <v>5</v>
      </c>
      <c r="G275" s="1">
        <v>1</v>
      </c>
      <c r="H275" s="1">
        <v>1.21719855787</v>
      </c>
      <c r="I275" s="1">
        <v>1.1887699459900001</v>
      </c>
      <c r="J275" s="1">
        <v>0.61250690960200005</v>
      </c>
      <c r="K275" s="1">
        <v>17904.916859699999</v>
      </c>
      <c r="L275" s="1">
        <v>4558.1998579000001</v>
      </c>
      <c r="M275" s="1" t="s">
        <v>198</v>
      </c>
      <c r="N275" s="1" t="b">
        <v>1</v>
      </c>
    </row>
    <row r="276" spans="1:14" ht="19" customHeight="1" x14ac:dyDescent="0.3">
      <c r="A276">
        <v>271</v>
      </c>
      <c r="B276" s="1">
        <v>2</v>
      </c>
      <c r="C276" s="1">
        <v>0</v>
      </c>
      <c r="D276" s="1">
        <v>2.5000000000000001E-2</v>
      </c>
      <c r="E276" s="1">
        <v>0.04</v>
      </c>
      <c r="F276" s="1">
        <v>-5</v>
      </c>
      <c r="G276" s="1">
        <v>0</v>
      </c>
      <c r="H276" s="1">
        <v>1.4744580519099999</v>
      </c>
      <c r="I276" s="1">
        <v>1.8207366524299999</v>
      </c>
      <c r="J276" s="1">
        <v>0.79653492985600005</v>
      </c>
      <c r="K276" s="1">
        <v>0</v>
      </c>
      <c r="L276" s="1">
        <v>0</v>
      </c>
      <c r="M276" s="1" t="s">
        <v>198</v>
      </c>
      <c r="N276" s="1" t="b">
        <v>1</v>
      </c>
    </row>
    <row r="277" spans="1:14" ht="19" customHeight="1" x14ac:dyDescent="0.3">
      <c r="A277">
        <v>272</v>
      </c>
      <c r="B277" s="1">
        <v>2</v>
      </c>
      <c r="C277" s="1">
        <v>0</v>
      </c>
      <c r="D277" s="1">
        <v>2.5000000000000001E-2</v>
      </c>
      <c r="E277" s="1">
        <v>0.04</v>
      </c>
      <c r="F277" s="1">
        <v>-5</v>
      </c>
      <c r="G277" s="1">
        <v>1</v>
      </c>
      <c r="H277" s="1">
        <v>1.4744580519099999</v>
      </c>
      <c r="I277" s="1">
        <v>1.36555248932</v>
      </c>
      <c r="J277" s="1">
        <v>0.65315864248199995</v>
      </c>
      <c r="K277" s="1">
        <v>0</v>
      </c>
      <c r="L277" s="1">
        <v>0</v>
      </c>
      <c r="M277" s="1" t="s">
        <v>198</v>
      </c>
      <c r="N277" s="1" t="b">
        <v>1</v>
      </c>
    </row>
    <row r="278" spans="1:14" ht="19" customHeight="1" x14ac:dyDescent="0.3">
      <c r="A278">
        <v>273</v>
      </c>
      <c r="B278" s="1">
        <v>2</v>
      </c>
      <c r="C278" s="1">
        <v>0</v>
      </c>
      <c r="D278" s="1">
        <v>2.5000000000000001E-2</v>
      </c>
      <c r="E278" s="1">
        <v>0.04</v>
      </c>
      <c r="F278" s="1">
        <v>0</v>
      </c>
      <c r="G278" s="1">
        <v>0</v>
      </c>
      <c r="H278" s="1">
        <v>1.50800939526</v>
      </c>
      <c r="I278" s="1">
        <v>1.8621675771599999</v>
      </c>
      <c r="J278" s="1">
        <v>0.78903492985599999</v>
      </c>
      <c r="K278" s="1">
        <v>0</v>
      </c>
      <c r="L278" s="1">
        <v>0</v>
      </c>
      <c r="M278" s="1" t="s">
        <v>198</v>
      </c>
      <c r="N278" s="1" t="b">
        <v>1</v>
      </c>
    </row>
    <row r="279" spans="1:14" ht="19" customHeight="1" x14ac:dyDescent="0.3">
      <c r="A279">
        <v>274</v>
      </c>
      <c r="B279" s="1">
        <v>2</v>
      </c>
      <c r="C279" s="1">
        <v>0</v>
      </c>
      <c r="D279" s="1">
        <v>2.5000000000000001E-2</v>
      </c>
      <c r="E279" s="1">
        <v>0.04</v>
      </c>
      <c r="F279" s="1">
        <v>0</v>
      </c>
      <c r="G279" s="1">
        <v>1</v>
      </c>
      <c r="H279" s="1">
        <v>1.50800939526</v>
      </c>
      <c r="I279" s="1">
        <v>1.3966256828700001</v>
      </c>
      <c r="J279" s="1">
        <v>0.64700864248199996</v>
      </c>
      <c r="K279" s="1">
        <v>0</v>
      </c>
      <c r="L279" s="1">
        <v>0</v>
      </c>
      <c r="M279" s="1" t="s">
        <v>198</v>
      </c>
      <c r="N279" s="1" t="b">
        <v>1</v>
      </c>
    </row>
    <row r="280" spans="1:14" ht="19" customHeight="1" x14ac:dyDescent="0.3">
      <c r="A280">
        <v>275</v>
      </c>
      <c r="B280" s="1">
        <v>2</v>
      </c>
      <c r="C280" s="1">
        <v>0</v>
      </c>
      <c r="D280" s="1">
        <v>2.5000000000000001E-2</v>
      </c>
      <c r="E280" s="1">
        <v>0.04</v>
      </c>
      <c r="F280" s="1">
        <v>5</v>
      </c>
      <c r="G280" s="1">
        <v>0</v>
      </c>
      <c r="H280" s="1">
        <v>1.4744580519099999</v>
      </c>
      <c r="I280" s="1">
        <v>1.8207366524299999</v>
      </c>
      <c r="J280" s="1">
        <v>0.79653492985600005</v>
      </c>
      <c r="K280" s="1">
        <v>0</v>
      </c>
      <c r="L280" s="1">
        <v>0</v>
      </c>
      <c r="M280" s="1" t="s">
        <v>198</v>
      </c>
      <c r="N280" s="1" t="b">
        <v>1</v>
      </c>
    </row>
    <row r="281" spans="1:14" ht="19" customHeight="1" x14ac:dyDescent="0.3">
      <c r="A281">
        <v>276</v>
      </c>
      <c r="B281" s="1">
        <v>2</v>
      </c>
      <c r="C281" s="1">
        <v>0</v>
      </c>
      <c r="D281" s="1">
        <v>2.5000000000000001E-2</v>
      </c>
      <c r="E281" s="1">
        <v>0.04</v>
      </c>
      <c r="F281" s="1">
        <v>5</v>
      </c>
      <c r="G281" s="1">
        <v>1</v>
      </c>
      <c r="H281" s="1">
        <v>1.4744580519099999</v>
      </c>
      <c r="I281" s="1">
        <v>1.36555248932</v>
      </c>
      <c r="J281" s="1">
        <v>0.65315864248199995</v>
      </c>
      <c r="K281" s="1">
        <v>0</v>
      </c>
      <c r="L281" s="1">
        <v>0</v>
      </c>
      <c r="M281" s="1" t="s">
        <v>198</v>
      </c>
      <c r="N281" s="1" t="b">
        <v>1</v>
      </c>
    </row>
    <row r="282" spans="1:14" ht="19" customHeight="1" x14ac:dyDescent="0.3">
      <c r="A282">
        <v>277</v>
      </c>
      <c r="B282" s="1">
        <v>2</v>
      </c>
      <c r="C282" s="1">
        <v>0</v>
      </c>
      <c r="D282" s="1">
        <v>2.5000000000000001E-2</v>
      </c>
      <c r="E282" s="1">
        <v>0.06</v>
      </c>
      <c r="F282" s="1">
        <v>-5</v>
      </c>
      <c r="G282" s="1">
        <v>0</v>
      </c>
      <c r="H282" s="1">
        <v>1.51507306555</v>
      </c>
      <c r="I282" s="1">
        <v>1.8816591728800001</v>
      </c>
      <c r="J282" s="1">
        <v>0.80016961070100001</v>
      </c>
      <c r="K282" s="1">
        <v>0</v>
      </c>
      <c r="L282" s="1">
        <v>0</v>
      </c>
      <c r="M282" s="1" t="s">
        <v>198</v>
      </c>
      <c r="N282" s="1" t="b">
        <v>1</v>
      </c>
    </row>
    <row r="283" spans="1:14" ht="19" customHeight="1" x14ac:dyDescent="0.3">
      <c r="A283">
        <v>278</v>
      </c>
      <c r="B283" s="1">
        <v>2</v>
      </c>
      <c r="C283" s="1">
        <v>0</v>
      </c>
      <c r="D283" s="1">
        <v>2.5000000000000001E-2</v>
      </c>
      <c r="E283" s="1">
        <v>0.06</v>
      </c>
      <c r="F283" s="1">
        <v>-5</v>
      </c>
      <c r="G283" s="1">
        <v>1</v>
      </c>
      <c r="H283" s="1">
        <v>1.51507306555</v>
      </c>
      <c r="I283" s="1">
        <v>1.41124437966</v>
      </c>
      <c r="J283" s="1">
        <v>0.65613908077500005</v>
      </c>
      <c r="K283" s="1">
        <v>0</v>
      </c>
      <c r="L283" s="1">
        <v>0</v>
      </c>
      <c r="M283" s="1" t="s">
        <v>198</v>
      </c>
      <c r="N283" s="1" t="b">
        <v>1</v>
      </c>
    </row>
    <row r="284" spans="1:14" ht="19" customHeight="1" x14ac:dyDescent="0.3">
      <c r="A284">
        <v>279</v>
      </c>
      <c r="B284" s="1">
        <v>2</v>
      </c>
      <c r="C284" s="1">
        <v>0</v>
      </c>
      <c r="D284" s="1">
        <v>2.5000000000000001E-2</v>
      </c>
      <c r="E284" s="1">
        <v>0.06</v>
      </c>
      <c r="F284" s="1">
        <v>0</v>
      </c>
      <c r="G284" s="1">
        <v>0</v>
      </c>
      <c r="H284" s="1">
        <v>1.54954860492</v>
      </c>
      <c r="I284" s="1">
        <v>1.9244763916400001</v>
      </c>
      <c r="J284" s="1">
        <v>0.79266961070099995</v>
      </c>
      <c r="K284" s="1">
        <v>0</v>
      </c>
      <c r="L284" s="1">
        <v>0</v>
      </c>
      <c r="M284" s="1" t="s">
        <v>198</v>
      </c>
      <c r="N284" s="1" t="b">
        <v>1</v>
      </c>
    </row>
    <row r="285" spans="1:14" ht="19" customHeight="1" x14ac:dyDescent="0.3">
      <c r="A285">
        <v>280</v>
      </c>
      <c r="B285" s="1">
        <v>2</v>
      </c>
      <c r="C285" s="1">
        <v>0</v>
      </c>
      <c r="D285" s="1">
        <v>2.5000000000000001E-2</v>
      </c>
      <c r="E285" s="1">
        <v>0.06</v>
      </c>
      <c r="F285" s="1">
        <v>0</v>
      </c>
      <c r="G285" s="1">
        <v>1</v>
      </c>
      <c r="H285" s="1">
        <v>1.54954860492</v>
      </c>
      <c r="I285" s="1">
        <v>1.4433572937300001</v>
      </c>
      <c r="J285" s="1">
        <v>0.64998908077499995</v>
      </c>
      <c r="K285" s="1">
        <v>0</v>
      </c>
      <c r="L285" s="1">
        <v>0</v>
      </c>
      <c r="M285" s="1" t="s">
        <v>198</v>
      </c>
      <c r="N285" s="1" t="b">
        <v>1</v>
      </c>
    </row>
    <row r="286" spans="1:14" ht="19" customHeight="1" x14ac:dyDescent="0.3">
      <c r="A286">
        <v>281</v>
      </c>
      <c r="B286" s="1">
        <v>2</v>
      </c>
      <c r="C286" s="1">
        <v>0</v>
      </c>
      <c r="D286" s="1">
        <v>2.5000000000000001E-2</v>
      </c>
      <c r="E286" s="1">
        <v>0.06</v>
      </c>
      <c r="F286" s="1">
        <v>5</v>
      </c>
      <c r="G286" s="1">
        <v>0</v>
      </c>
      <c r="H286" s="1">
        <v>1.51507306555</v>
      </c>
      <c r="I286" s="1">
        <v>1.8816591728800001</v>
      </c>
      <c r="J286" s="1">
        <v>0.80016961070100001</v>
      </c>
      <c r="K286" s="1">
        <v>0</v>
      </c>
      <c r="L286" s="1">
        <v>0</v>
      </c>
      <c r="M286" s="1" t="s">
        <v>198</v>
      </c>
      <c r="N286" s="1" t="b">
        <v>1</v>
      </c>
    </row>
    <row r="287" spans="1:14" ht="19" customHeight="1" x14ac:dyDescent="0.3">
      <c r="A287">
        <v>282</v>
      </c>
      <c r="B287" s="1">
        <v>2</v>
      </c>
      <c r="C287" s="1">
        <v>0</v>
      </c>
      <c r="D287" s="1">
        <v>2.5000000000000001E-2</v>
      </c>
      <c r="E287" s="1">
        <v>0.06</v>
      </c>
      <c r="F287" s="1">
        <v>5</v>
      </c>
      <c r="G287" s="1">
        <v>1</v>
      </c>
      <c r="H287" s="1">
        <v>1.51507306555</v>
      </c>
      <c r="I287" s="1">
        <v>1.41124437966</v>
      </c>
      <c r="J287" s="1">
        <v>0.65613908077500005</v>
      </c>
      <c r="K287" s="1">
        <v>0</v>
      </c>
      <c r="L287" s="1">
        <v>0</v>
      </c>
      <c r="M287" s="1" t="s">
        <v>198</v>
      </c>
      <c r="N287" s="1" t="b">
        <v>1</v>
      </c>
    </row>
    <row r="288" spans="1:14" ht="19" customHeight="1" x14ac:dyDescent="0.3">
      <c r="A288">
        <v>283</v>
      </c>
      <c r="B288" s="1">
        <v>2</v>
      </c>
      <c r="C288" s="1">
        <v>0</v>
      </c>
      <c r="D288" s="1">
        <v>2.5000000000000001E-2</v>
      </c>
      <c r="E288" s="1">
        <v>8.5000000000000006E-2</v>
      </c>
      <c r="F288" s="1">
        <v>-5</v>
      </c>
      <c r="G288" s="1">
        <v>0</v>
      </c>
      <c r="H288" s="1">
        <v>1.4112415566100001</v>
      </c>
      <c r="I288" s="1">
        <v>1.7259119094599999</v>
      </c>
      <c r="J288" s="1">
        <v>0.79087761833400005</v>
      </c>
      <c r="K288" s="1">
        <v>0</v>
      </c>
      <c r="L288" s="1">
        <v>0</v>
      </c>
      <c r="M288" s="1" t="s">
        <v>198</v>
      </c>
      <c r="N288" s="1" t="b">
        <v>1</v>
      </c>
    </row>
    <row r="289" spans="1:14" ht="19" customHeight="1" x14ac:dyDescent="0.3">
      <c r="A289">
        <v>284</v>
      </c>
      <c r="B289" s="1">
        <v>2</v>
      </c>
      <c r="C289" s="1">
        <v>0</v>
      </c>
      <c r="D289" s="1">
        <v>2.5000000000000001E-2</v>
      </c>
      <c r="E289" s="1">
        <v>8.5000000000000006E-2</v>
      </c>
      <c r="F289" s="1">
        <v>-5</v>
      </c>
      <c r="G289" s="1">
        <v>1</v>
      </c>
      <c r="H289" s="1">
        <v>1.4112415566100001</v>
      </c>
      <c r="I289" s="1">
        <v>1.2944339321</v>
      </c>
      <c r="J289" s="1">
        <v>0.648519647034</v>
      </c>
      <c r="K289" s="1">
        <v>0</v>
      </c>
      <c r="L289" s="1">
        <v>0</v>
      </c>
      <c r="M289" s="1" t="s">
        <v>198</v>
      </c>
      <c r="N289" s="1" t="b">
        <v>1</v>
      </c>
    </row>
    <row r="290" spans="1:14" ht="19" customHeight="1" x14ac:dyDescent="0.3">
      <c r="A290">
        <v>285</v>
      </c>
      <c r="B290" s="1">
        <v>2</v>
      </c>
      <c r="C290" s="1">
        <v>0</v>
      </c>
      <c r="D290" s="1">
        <v>2.5000000000000001E-2</v>
      </c>
      <c r="E290" s="1">
        <v>8.5000000000000006E-2</v>
      </c>
      <c r="F290" s="1">
        <v>0</v>
      </c>
      <c r="G290" s="1">
        <v>0</v>
      </c>
      <c r="H290" s="1">
        <v>1.4433544064399999</v>
      </c>
      <c r="I290" s="1">
        <v>1.76518509393</v>
      </c>
      <c r="J290" s="1">
        <v>0.78337761833399999</v>
      </c>
      <c r="K290" s="1">
        <v>0</v>
      </c>
      <c r="L290" s="1">
        <v>0</v>
      </c>
      <c r="M290" s="1" t="s">
        <v>198</v>
      </c>
      <c r="N290" s="1" t="b">
        <v>1</v>
      </c>
    </row>
    <row r="291" spans="1:14" ht="19" customHeight="1" x14ac:dyDescent="0.3">
      <c r="A291">
        <v>286</v>
      </c>
      <c r="B291" s="1">
        <v>2</v>
      </c>
      <c r="C291" s="1">
        <v>0</v>
      </c>
      <c r="D291" s="1">
        <v>2.5000000000000001E-2</v>
      </c>
      <c r="E291" s="1">
        <v>8.5000000000000006E-2</v>
      </c>
      <c r="F291" s="1">
        <v>0</v>
      </c>
      <c r="G291" s="1">
        <v>1</v>
      </c>
      <c r="H291" s="1">
        <v>1.4433544064399999</v>
      </c>
      <c r="I291" s="1">
        <v>1.3238888204499999</v>
      </c>
      <c r="J291" s="1">
        <v>0.64236964703400001</v>
      </c>
      <c r="K291" s="1">
        <v>0</v>
      </c>
      <c r="L291" s="1">
        <v>0</v>
      </c>
      <c r="M291" s="1" t="s">
        <v>198</v>
      </c>
      <c r="N291" s="1" t="b">
        <v>1</v>
      </c>
    </row>
    <row r="292" spans="1:14" ht="19" customHeight="1" x14ac:dyDescent="0.3">
      <c r="A292">
        <v>287</v>
      </c>
      <c r="B292" s="1">
        <v>2</v>
      </c>
      <c r="C292" s="1">
        <v>0</v>
      </c>
      <c r="D292" s="1">
        <v>2.5000000000000001E-2</v>
      </c>
      <c r="E292" s="1">
        <v>8.5000000000000006E-2</v>
      </c>
      <c r="F292" s="1">
        <v>5</v>
      </c>
      <c r="G292" s="1">
        <v>0</v>
      </c>
      <c r="H292" s="1">
        <v>1.4112415566100001</v>
      </c>
      <c r="I292" s="1">
        <v>1.7259119094599999</v>
      </c>
      <c r="J292" s="1">
        <v>0.79087761833400005</v>
      </c>
      <c r="K292" s="1">
        <v>0</v>
      </c>
      <c r="L292" s="1">
        <v>0</v>
      </c>
      <c r="M292" s="1" t="s">
        <v>198</v>
      </c>
      <c r="N292" s="1" t="b">
        <v>1</v>
      </c>
    </row>
    <row r="293" spans="1:14" ht="19" customHeight="1" x14ac:dyDescent="0.3">
      <c r="A293">
        <v>288</v>
      </c>
      <c r="B293" s="1">
        <v>2</v>
      </c>
      <c r="C293" s="1">
        <v>0</v>
      </c>
      <c r="D293" s="1">
        <v>2.5000000000000001E-2</v>
      </c>
      <c r="E293" s="1">
        <v>8.5000000000000006E-2</v>
      </c>
      <c r="F293" s="1">
        <v>5</v>
      </c>
      <c r="G293" s="1">
        <v>1</v>
      </c>
      <c r="H293" s="1">
        <v>1.4112415566100001</v>
      </c>
      <c r="I293" s="1">
        <v>1.2944339321</v>
      </c>
      <c r="J293" s="1">
        <v>0.648519647034</v>
      </c>
      <c r="K293" s="1">
        <v>0</v>
      </c>
      <c r="L293" s="1">
        <v>0</v>
      </c>
      <c r="M293" s="1" t="s">
        <v>198</v>
      </c>
      <c r="N293" s="1" t="b">
        <v>1</v>
      </c>
    </row>
    <row r="294" spans="1:14" ht="19" customHeight="1" x14ac:dyDescent="0.3">
      <c r="A294">
        <v>289</v>
      </c>
      <c r="B294" s="1">
        <v>2</v>
      </c>
      <c r="C294" s="1">
        <v>0</v>
      </c>
      <c r="D294" s="1">
        <v>0.04</v>
      </c>
      <c r="E294" s="1">
        <v>0.04</v>
      </c>
      <c r="F294" s="1">
        <v>-5</v>
      </c>
      <c r="G294" s="1">
        <v>0</v>
      </c>
      <c r="H294" s="1">
        <v>1.48044686537</v>
      </c>
      <c r="I294" s="1">
        <v>1.8297198725999999</v>
      </c>
      <c r="J294" s="1">
        <v>0.79707087515300001</v>
      </c>
      <c r="K294" s="1">
        <v>0</v>
      </c>
      <c r="L294" s="1">
        <v>0</v>
      </c>
      <c r="M294" s="1" t="s">
        <v>198</v>
      </c>
      <c r="N294" s="1" t="b">
        <v>1</v>
      </c>
    </row>
    <row r="295" spans="1:14" ht="19" customHeight="1" x14ac:dyDescent="0.3">
      <c r="A295">
        <v>290</v>
      </c>
      <c r="B295" s="1">
        <v>2</v>
      </c>
      <c r="C295" s="1">
        <v>0</v>
      </c>
      <c r="D295" s="1">
        <v>0.04</v>
      </c>
      <c r="E295" s="1">
        <v>0.04</v>
      </c>
      <c r="F295" s="1">
        <v>-5</v>
      </c>
      <c r="G295" s="1">
        <v>1</v>
      </c>
      <c r="H295" s="1">
        <v>1.48044686537</v>
      </c>
      <c r="I295" s="1">
        <v>1.3722899044500001</v>
      </c>
      <c r="J295" s="1">
        <v>0.65359811762499997</v>
      </c>
      <c r="K295" s="1">
        <v>0</v>
      </c>
      <c r="L295" s="1">
        <v>0</v>
      </c>
      <c r="M295" s="1" t="s">
        <v>198</v>
      </c>
      <c r="N295" s="1" t="b">
        <v>1</v>
      </c>
    </row>
    <row r="296" spans="1:14" ht="19" customHeight="1" x14ac:dyDescent="0.3">
      <c r="A296">
        <v>291</v>
      </c>
      <c r="B296" s="1">
        <v>2</v>
      </c>
      <c r="C296" s="1">
        <v>0</v>
      </c>
      <c r="D296" s="1">
        <v>0.04</v>
      </c>
      <c r="E296" s="1">
        <v>0.04</v>
      </c>
      <c r="F296" s="1">
        <v>0</v>
      </c>
      <c r="G296" s="1">
        <v>0</v>
      </c>
      <c r="H296" s="1">
        <v>1.51413448437</v>
      </c>
      <c r="I296" s="1">
        <v>1.87135521082</v>
      </c>
      <c r="J296" s="1">
        <v>0.78957087515299995</v>
      </c>
      <c r="K296" s="1">
        <v>0</v>
      </c>
      <c r="L296" s="1">
        <v>0</v>
      </c>
      <c r="M296" s="1" t="s">
        <v>198</v>
      </c>
      <c r="N296" s="1" t="b">
        <v>1</v>
      </c>
    </row>
    <row r="297" spans="1:14" ht="19" customHeight="1" x14ac:dyDescent="0.3">
      <c r="A297">
        <v>292</v>
      </c>
      <c r="B297" s="1">
        <v>2</v>
      </c>
      <c r="C297" s="1">
        <v>0</v>
      </c>
      <c r="D297" s="1">
        <v>0.04</v>
      </c>
      <c r="E297" s="1">
        <v>0.04</v>
      </c>
      <c r="F297" s="1">
        <v>0</v>
      </c>
      <c r="G297" s="1">
        <v>1</v>
      </c>
      <c r="H297" s="1">
        <v>1.51413448437</v>
      </c>
      <c r="I297" s="1">
        <v>1.40351640811</v>
      </c>
      <c r="J297" s="1">
        <v>0.64744811762499999</v>
      </c>
      <c r="K297" s="1">
        <v>0</v>
      </c>
      <c r="L297" s="1">
        <v>0</v>
      </c>
      <c r="M297" s="1" t="s">
        <v>198</v>
      </c>
      <c r="N297" s="1" t="b">
        <v>1</v>
      </c>
    </row>
    <row r="298" spans="1:14" ht="19" customHeight="1" x14ac:dyDescent="0.3">
      <c r="A298">
        <v>293</v>
      </c>
      <c r="B298" s="1">
        <v>2</v>
      </c>
      <c r="C298" s="1">
        <v>0</v>
      </c>
      <c r="D298" s="1">
        <v>0.04</v>
      </c>
      <c r="E298" s="1">
        <v>0.04</v>
      </c>
      <c r="F298" s="1">
        <v>5</v>
      </c>
      <c r="G298" s="1">
        <v>0</v>
      </c>
      <c r="H298" s="1">
        <v>1.48044686537</v>
      </c>
      <c r="I298" s="1">
        <v>1.8297198725999999</v>
      </c>
      <c r="J298" s="1">
        <v>0.79707087515300001</v>
      </c>
      <c r="K298" s="1">
        <v>0</v>
      </c>
      <c r="L298" s="1">
        <v>0</v>
      </c>
      <c r="M298" s="1" t="s">
        <v>198</v>
      </c>
      <c r="N298" s="1" t="b">
        <v>1</v>
      </c>
    </row>
    <row r="299" spans="1:14" ht="19" customHeight="1" x14ac:dyDescent="0.3">
      <c r="A299">
        <v>294</v>
      </c>
      <c r="B299" s="1">
        <v>2</v>
      </c>
      <c r="C299" s="1">
        <v>0</v>
      </c>
      <c r="D299" s="1">
        <v>0.04</v>
      </c>
      <c r="E299" s="1">
        <v>0.04</v>
      </c>
      <c r="F299" s="1">
        <v>5</v>
      </c>
      <c r="G299" s="1">
        <v>1</v>
      </c>
      <c r="H299" s="1">
        <v>1.48044686537</v>
      </c>
      <c r="I299" s="1">
        <v>1.3722899044500001</v>
      </c>
      <c r="J299" s="1">
        <v>0.65359811762499997</v>
      </c>
      <c r="K299" s="1">
        <v>0</v>
      </c>
      <c r="L299" s="1">
        <v>0</v>
      </c>
      <c r="M299" s="1" t="s">
        <v>198</v>
      </c>
      <c r="N299" s="1" t="b">
        <v>1</v>
      </c>
    </row>
    <row r="300" spans="1:14" ht="19" customHeight="1" x14ac:dyDescent="0.3">
      <c r="A300">
        <v>295</v>
      </c>
      <c r="B300" s="1">
        <v>2</v>
      </c>
      <c r="C300" s="1">
        <v>0</v>
      </c>
      <c r="D300" s="1">
        <v>0.04</v>
      </c>
      <c r="E300" s="1">
        <v>0.06</v>
      </c>
      <c r="F300" s="1">
        <v>-5</v>
      </c>
      <c r="G300" s="1">
        <v>0</v>
      </c>
      <c r="H300" s="1">
        <v>1.5216426809200001</v>
      </c>
      <c r="I300" s="1">
        <v>1.89151359594</v>
      </c>
      <c r="J300" s="1">
        <v>0.80075753258100002</v>
      </c>
      <c r="K300" s="1">
        <v>0</v>
      </c>
      <c r="L300" s="1">
        <v>0</v>
      </c>
      <c r="M300" s="1" t="s">
        <v>198</v>
      </c>
      <c r="N300" s="1" t="b">
        <v>1</v>
      </c>
    </row>
    <row r="301" spans="1:14" ht="19" customHeight="1" x14ac:dyDescent="0.3">
      <c r="A301">
        <v>296</v>
      </c>
      <c r="B301" s="1">
        <v>2</v>
      </c>
      <c r="C301" s="1">
        <v>0</v>
      </c>
      <c r="D301" s="1">
        <v>0.04</v>
      </c>
      <c r="E301" s="1">
        <v>0.06</v>
      </c>
      <c r="F301" s="1">
        <v>-5</v>
      </c>
      <c r="G301" s="1">
        <v>1</v>
      </c>
      <c r="H301" s="1">
        <v>1.5216426809200001</v>
      </c>
      <c r="I301" s="1">
        <v>1.41863519695</v>
      </c>
      <c r="J301" s="1">
        <v>0.65662117671599995</v>
      </c>
      <c r="K301" s="1">
        <v>0</v>
      </c>
      <c r="L301" s="1">
        <v>0</v>
      </c>
      <c r="M301" s="1" t="s">
        <v>198</v>
      </c>
      <c r="N301" s="1" t="b">
        <v>1</v>
      </c>
    </row>
    <row r="302" spans="1:14" ht="19" customHeight="1" x14ac:dyDescent="0.3">
      <c r="A302">
        <v>297</v>
      </c>
      <c r="B302" s="1">
        <v>2</v>
      </c>
      <c r="C302" s="1">
        <v>0</v>
      </c>
      <c r="D302" s="1">
        <v>0.04</v>
      </c>
      <c r="E302" s="1">
        <v>0.06</v>
      </c>
      <c r="F302" s="1">
        <v>0</v>
      </c>
      <c r="G302" s="1">
        <v>0</v>
      </c>
      <c r="H302" s="1">
        <v>1.5562677121099999</v>
      </c>
      <c r="I302" s="1">
        <v>1.9345550524399999</v>
      </c>
      <c r="J302" s="1">
        <v>0.79325753258099996</v>
      </c>
      <c r="K302" s="1">
        <v>0</v>
      </c>
      <c r="L302" s="1">
        <v>0</v>
      </c>
      <c r="M302" s="1" t="s">
        <v>198</v>
      </c>
      <c r="N302" s="1" t="b">
        <v>1</v>
      </c>
    </row>
    <row r="303" spans="1:14" ht="19" customHeight="1" x14ac:dyDescent="0.3">
      <c r="A303">
        <v>298</v>
      </c>
      <c r="B303" s="1">
        <v>2</v>
      </c>
      <c r="C303" s="1">
        <v>0</v>
      </c>
      <c r="D303" s="1">
        <v>0.04</v>
      </c>
      <c r="E303" s="1">
        <v>0.06</v>
      </c>
      <c r="F303" s="1">
        <v>0</v>
      </c>
      <c r="G303" s="1">
        <v>1</v>
      </c>
      <c r="H303" s="1">
        <v>1.5562677121099999</v>
      </c>
      <c r="I303" s="1">
        <v>1.4509162893300001</v>
      </c>
      <c r="J303" s="1">
        <v>0.65047117671599997</v>
      </c>
      <c r="K303" s="1">
        <v>0</v>
      </c>
      <c r="L303" s="1">
        <v>0</v>
      </c>
      <c r="M303" s="1" t="s">
        <v>198</v>
      </c>
      <c r="N303" s="1" t="b">
        <v>1</v>
      </c>
    </row>
    <row r="304" spans="1:14" ht="19" customHeight="1" x14ac:dyDescent="0.3">
      <c r="A304">
        <v>299</v>
      </c>
      <c r="B304" s="1">
        <v>2</v>
      </c>
      <c r="C304" s="1">
        <v>0</v>
      </c>
      <c r="D304" s="1">
        <v>0.04</v>
      </c>
      <c r="E304" s="1">
        <v>0.06</v>
      </c>
      <c r="F304" s="1">
        <v>5</v>
      </c>
      <c r="G304" s="1">
        <v>0</v>
      </c>
      <c r="H304" s="1">
        <v>1.5216426809200001</v>
      </c>
      <c r="I304" s="1">
        <v>1.89151359594</v>
      </c>
      <c r="J304" s="1">
        <v>0.80075753258100002</v>
      </c>
      <c r="K304" s="1">
        <v>0</v>
      </c>
      <c r="L304" s="1">
        <v>0</v>
      </c>
      <c r="M304" s="1" t="s">
        <v>198</v>
      </c>
      <c r="N304" s="1" t="b">
        <v>1</v>
      </c>
    </row>
    <row r="305" spans="1:14" ht="19" customHeight="1" x14ac:dyDescent="0.3">
      <c r="A305">
        <v>300</v>
      </c>
      <c r="B305" s="1">
        <v>2</v>
      </c>
      <c r="C305" s="1">
        <v>0</v>
      </c>
      <c r="D305" s="1">
        <v>0.04</v>
      </c>
      <c r="E305" s="1">
        <v>0.06</v>
      </c>
      <c r="F305" s="1">
        <v>5</v>
      </c>
      <c r="G305" s="1">
        <v>1</v>
      </c>
      <c r="H305" s="1">
        <v>1.5216426809200001</v>
      </c>
      <c r="I305" s="1">
        <v>1.41863519695</v>
      </c>
      <c r="J305" s="1">
        <v>0.65662117671599995</v>
      </c>
      <c r="K305" s="1">
        <v>0</v>
      </c>
      <c r="L305" s="1">
        <v>0</v>
      </c>
      <c r="M305" s="1" t="s">
        <v>198</v>
      </c>
      <c r="N305" s="1" t="b">
        <v>1</v>
      </c>
    </row>
    <row r="306" spans="1:14" ht="19" customHeight="1" x14ac:dyDescent="0.3">
      <c r="A306">
        <v>301</v>
      </c>
      <c r="B306" s="1">
        <v>2</v>
      </c>
      <c r="C306" s="1">
        <v>0</v>
      </c>
      <c r="D306" s="1">
        <v>0.04</v>
      </c>
      <c r="E306" s="1">
        <v>8.5000000000000006E-2</v>
      </c>
      <c r="F306" s="1">
        <v>-5</v>
      </c>
      <c r="G306" s="1">
        <v>0</v>
      </c>
      <c r="H306" s="1">
        <v>1.41632636293</v>
      </c>
      <c r="I306" s="1">
        <v>1.73353911895</v>
      </c>
      <c r="J306" s="1">
        <v>0.79133266307000005</v>
      </c>
      <c r="K306" s="1">
        <v>0</v>
      </c>
      <c r="L306" s="1">
        <v>0</v>
      </c>
      <c r="M306" s="1" t="s">
        <v>198</v>
      </c>
      <c r="N306" s="1" t="b">
        <v>1</v>
      </c>
    </row>
    <row r="307" spans="1:14" ht="19" customHeight="1" x14ac:dyDescent="0.3">
      <c r="A307">
        <v>302</v>
      </c>
      <c r="B307" s="1">
        <v>2</v>
      </c>
      <c r="C307" s="1">
        <v>0</v>
      </c>
      <c r="D307" s="1">
        <v>0.04</v>
      </c>
      <c r="E307" s="1">
        <v>8.5000000000000006E-2</v>
      </c>
      <c r="F307" s="1">
        <v>-5</v>
      </c>
      <c r="G307" s="1">
        <v>1</v>
      </c>
      <c r="H307" s="1">
        <v>1.41632636293</v>
      </c>
      <c r="I307" s="1">
        <v>1.3001543392099999</v>
      </c>
      <c r="J307" s="1">
        <v>0.64889278371699999</v>
      </c>
      <c r="K307" s="1">
        <v>0</v>
      </c>
      <c r="L307" s="1">
        <v>0</v>
      </c>
      <c r="M307" s="1" t="s">
        <v>198</v>
      </c>
      <c r="N307" s="1" t="b">
        <v>1</v>
      </c>
    </row>
    <row r="308" spans="1:14" ht="19" customHeight="1" x14ac:dyDescent="0.3">
      <c r="A308">
        <v>303</v>
      </c>
      <c r="B308" s="1">
        <v>2</v>
      </c>
      <c r="C308" s="1">
        <v>0</v>
      </c>
      <c r="D308" s="1">
        <v>0.04</v>
      </c>
      <c r="E308" s="1">
        <v>8.5000000000000006E-2</v>
      </c>
      <c r="F308" s="1">
        <v>0</v>
      </c>
      <c r="G308" s="1">
        <v>0</v>
      </c>
      <c r="H308" s="1">
        <v>1.4485549177000001</v>
      </c>
      <c r="I308" s="1">
        <v>1.77298586082</v>
      </c>
      <c r="J308" s="1">
        <v>0.78383266306999999</v>
      </c>
      <c r="K308" s="1">
        <v>0</v>
      </c>
      <c r="L308" s="1">
        <v>0</v>
      </c>
      <c r="M308" s="1" t="s">
        <v>198</v>
      </c>
      <c r="N308" s="1" t="b">
        <v>1</v>
      </c>
    </row>
    <row r="309" spans="1:14" ht="19" customHeight="1" x14ac:dyDescent="0.3">
      <c r="A309">
        <v>304</v>
      </c>
      <c r="B309" s="1">
        <v>2</v>
      </c>
      <c r="C309" s="1">
        <v>0</v>
      </c>
      <c r="D309" s="1">
        <v>0.04</v>
      </c>
      <c r="E309" s="1">
        <v>8.5000000000000006E-2</v>
      </c>
      <c r="F309" s="1">
        <v>0</v>
      </c>
      <c r="G309" s="1">
        <v>1</v>
      </c>
      <c r="H309" s="1">
        <v>1.4485549177000001</v>
      </c>
      <c r="I309" s="1">
        <v>1.3297393956200001</v>
      </c>
      <c r="J309" s="1">
        <v>0.642742783717</v>
      </c>
      <c r="K309" s="1">
        <v>0</v>
      </c>
      <c r="L309" s="1">
        <v>0</v>
      </c>
      <c r="M309" s="1" t="s">
        <v>198</v>
      </c>
      <c r="N309" s="1" t="b">
        <v>1</v>
      </c>
    </row>
    <row r="310" spans="1:14" ht="19" customHeight="1" x14ac:dyDescent="0.3">
      <c r="A310">
        <v>305</v>
      </c>
      <c r="B310" s="1">
        <v>2</v>
      </c>
      <c r="C310" s="1">
        <v>0</v>
      </c>
      <c r="D310" s="1">
        <v>0.04</v>
      </c>
      <c r="E310" s="1">
        <v>8.5000000000000006E-2</v>
      </c>
      <c r="F310" s="1">
        <v>5</v>
      </c>
      <c r="G310" s="1">
        <v>0</v>
      </c>
      <c r="H310" s="1">
        <v>1.41632636293</v>
      </c>
      <c r="I310" s="1">
        <v>1.73353911895</v>
      </c>
      <c r="J310" s="1">
        <v>0.79133266307000005</v>
      </c>
      <c r="K310" s="1">
        <v>0</v>
      </c>
      <c r="L310" s="1">
        <v>0</v>
      </c>
      <c r="M310" s="1" t="s">
        <v>198</v>
      </c>
      <c r="N310" s="1" t="b">
        <v>1</v>
      </c>
    </row>
    <row r="311" spans="1:14" ht="19" customHeight="1" x14ac:dyDescent="0.3">
      <c r="A311">
        <v>306</v>
      </c>
      <c r="B311" s="1">
        <v>2</v>
      </c>
      <c r="C311" s="1">
        <v>0</v>
      </c>
      <c r="D311" s="1">
        <v>0.04</v>
      </c>
      <c r="E311" s="1">
        <v>8.5000000000000006E-2</v>
      </c>
      <c r="F311" s="1">
        <v>5</v>
      </c>
      <c r="G311" s="1">
        <v>1</v>
      </c>
      <c r="H311" s="1">
        <v>1.41632636293</v>
      </c>
      <c r="I311" s="1">
        <v>1.3001543392099999</v>
      </c>
      <c r="J311" s="1">
        <v>0.64889278371699999</v>
      </c>
      <c r="K311" s="1">
        <v>0</v>
      </c>
      <c r="L311" s="1">
        <v>0</v>
      </c>
      <c r="M311" s="1" t="s">
        <v>198</v>
      </c>
      <c r="N311" s="1" t="b">
        <v>1</v>
      </c>
    </row>
    <row r="312" spans="1:14" ht="19" customHeight="1" x14ac:dyDescent="0.3">
      <c r="A312">
        <v>307</v>
      </c>
      <c r="B312" s="1">
        <v>2</v>
      </c>
      <c r="C312" s="1">
        <v>0</v>
      </c>
      <c r="D312" s="1">
        <v>5.5E-2</v>
      </c>
      <c r="E312" s="1">
        <v>0.04</v>
      </c>
      <c r="F312" s="1">
        <v>-5</v>
      </c>
      <c r="G312" s="1">
        <v>0</v>
      </c>
      <c r="H312" s="1">
        <v>1.3405617633</v>
      </c>
      <c r="I312" s="1">
        <v>1.6198922195100001</v>
      </c>
      <c r="J312" s="1">
        <v>0.78455240832299999</v>
      </c>
      <c r="K312" s="1">
        <v>0</v>
      </c>
      <c r="L312" s="1">
        <v>0</v>
      </c>
      <c r="M312" s="1" t="s">
        <v>198</v>
      </c>
      <c r="N312" s="1" t="b">
        <v>1</v>
      </c>
    </row>
    <row r="313" spans="1:14" ht="19" customHeight="1" x14ac:dyDescent="0.3">
      <c r="A313">
        <v>308</v>
      </c>
      <c r="B313" s="1">
        <v>2</v>
      </c>
      <c r="C313" s="1">
        <v>0</v>
      </c>
      <c r="D313" s="1">
        <v>5.5E-2</v>
      </c>
      <c r="E313" s="1">
        <v>0.04</v>
      </c>
      <c r="F313" s="1">
        <v>-5</v>
      </c>
      <c r="G313" s="1">
        <v>1</v>
      </c>
      <c r="H313" s="1">
        <v>1.3405617633</v>
      </c>
      <c r="I313" s="1">
        <v>1.2149191646299999</v>
      </c>
      <c r="J313" s="1">
        <v>0.64333297482499996</v>
      </c>
      <c r="K313" s="1">
        <v>0</v>
      </c>
      <c r="L313" s="1">
        <v>0</v>
      </c>
      <c r="M313" s="1" t="s">
        <v>198</v>
      </c>
      <c r="N313" s="1" t="b">
        <v>1</v>
      </c>
    </row>
    <row r="314" spans="1:14" ht="19" customHeight="1" x14ac:dyDescent="0.3">
      <c r="A314">
        <v>309</v>
      </c>
      <c r="B314" s="1">
        <v>2</v>
      </c>
      <c r="C314" s="1">
        <v>0</v>
      </c>
      <c r="D314" s="1">
        <v>5.5E-2</v>
      </c>
      <c r="E314" s="1">
        <v>0.04</v>
      </c>
      <c r="F314" s="1">
        <v>0</v>
      </c>
      <c r="G314" s="1">
        <v>0</v>
      </c>
      <c r="H314" s="1">
        <v>1.3710662920300001</v>
      </c>
      <c r="I314" s="1">
        <v>1.6567529223099999</v>
      </c>
      <c r="J314" s="1">
        <v>0.77705240832300004</v>
      </c>
      <c r="K314" s="1">
        <v>0</v>
      </c>
      <c r="L314" s="1">
        <v>0</v>
      </c>
      <c r="M314" s="1" t="s">
        <v>198</v>
      </c>
      <c r="N314" s="1" t="b">
        <v>1</v>
      </c>
    </row>
    <row r="315" spans="1:14" ht="19" customHeight="1" x14ac:dyDescent="0.3">
      <c r="A315">
        <v>310</v>
      </c>
      <c r="B315" s="1">
        <v>2</v>
      </c>
      <c r="C315" s="1">
        <v>0</v>
      </c>
      <c r="D315" s="1">
        <v>5.5E-2</v>
      </c>
      <c r="E315" s="1">
        <v>0.04</v>
      </c>
      <c r="F315" s="1">
        <v>0</v>
      </c>
      <c r="G315" s="1">
        <v>1</v>
      </c>
      <c r="H315" s="1">
        <v>1.3710662920300001</v>
      </c>
      <c r="I315" s="1">
        <v>1.2425646917299999</v>
      </c>
      <c r="J315" s="1">
        <v>0.63718297482499997</v>
      </c>
      <c r="K315" s="1">
        <v>0</v>
      </c>
      <c r="L315" s="1">
        <v>0</v>
      </c>
      <c r="M315" s="1" t="s">
        <v>198</v>
      </c>
      <c r="N315" s="1" t="b">
        <v>1</v>
      </c>
    </row>
    <row r="316" spans="1:14" ht="19" customHeight="1" x14ac:dyDescent="0.3">
      <c r="A316">
        <v>311</v>
      </c>
      <c r="B316" s="1">
        <v>2</v>
      </c>
      <c r="C316" s="1">
        <v>0</v>
      </c>
      <c r="D316" s="1">
        <v>5.5E-2</v>
      </c>
      <c r="E316" s="1">
        <v>0.04</v>
      </c>
      <c r="F316" s="1">
        <v>5</v>
      </c>
      <c r="G316" s="1">
        <v>0</v>
      </c>
      <c r="H316" s="1">
        <v>1.3405617633</v>
      </c>
      <c r="I316" s="1">
        <v>1.6198922195100001</v>
      </c>
      <c r="J316" s="1">
        <v>0.78455240832299999</v>
      </c>
      <c r="K316" s="1">
        <v>0</v>
      </c>
      <c r="L316" s="1">
        <v>0</v>
      </c>
      <c r="M316" s="1" t="s">
        <v>198</v>
      </c>
      <c r="N316" s="1" t="b">
        <v>1</v>
      </c>
    </row>
    <row r="317" spans="1:14" ht="19" customHeight="1" x14ac:dyDescent="0.3">
      <c r="A317">
        <v>312</v>
      </c>
      <c r="B317" s="1">
        <v>2</v>
      </c>
      <c r="C317" s="1">
        <v>0</v>
      </c>
      <c r="D317" s="1">
        <v>5.5E-2</v>
      </c>
      <c r="E317" s="1">
        <v>0.04</v>
      </c>
      <c r="F317" s="1">
        <v>5</v>
      </c>
      <c r="G317" s="1">
        <v>1</v>
      </c>
      <c r="H317" s="1">
        <v>1.3405617633</v>
      </c>
      <c r="I317" s="1">
        <v>1.2149191646299999</v>
      </c>
      <c r="J317" s="1">
        <v>0.64333297482499996</v>
      </c>
      <c r="K317" s="1">
        <v>0</v>
      </c>
      <c r="L317" s="1">
        <v>0</v>
      </c>
      <c r="M317" s="1" t="s">
        <v>198</v>
      </c>
      <c r="N317" s="1" t="b">
        <v>1</v>
      </c>
    </row>
    <row r="318" spans="1:14" ht="19" customHeight="1" x14ac:dyDescent="0.3">
      <c r="A318">
        <v>313</v>
      </c>
      <c r="B318" s="1">
        <v>2</v>
      </c>
      <c r="C318" s="1">
        <v>0</v>
      </c>
      <c r="D318" s="1">
        <v>5.5E-2</v>
      </c>
      <c r="E318" s="1">
        <v>0.06</v>
      </c>
      <c r="F318" s="1">
        <v>-5</v>
      </c>
      <c r="G318" s="1">
        <v>0</v>
      </c>
      <c r="H318" s="1">
        <v>1.36819136301</v>
      </c>
      <c r="I318" s="1">
        <v>1.6613366190700001</v>
      </c>
      <c r="J318" s="1">
        <v>0.78702501063999997</v>
      </c>
      <c r="K318" s="1">
        <v>0</v>
      </c>
      <c r="L318" s="1">
        <v>0</v>
      </c>
      <c r="M318" s="1" t="s">
        <v>198</v>
      </c>
      <c r="N318" s="1" t="b">
        <v>1</v>
      </c>
    </row>
    <row r="319" spans="1:14" ht="19" customHeight="1" x14ac:dyDescent="0.3">
      <c r="A319">
        <v>314</v>
      </c>
      <c r="B319" s="1">
        <v>2</v>
      </c>
      <c r="C319" s="1">
        <v>0</v>
      </c>
      <c r="D319" s="1">
        <v>5.5E-2</v>
      </c>
      <c r="E319" s="1">
        <v>0.06</v>
      </c>
      <c r="F319" s="1">
        <v>-5</v>
      </c>
      <c r="G319" s="1">
        <v>1</v>
      </c>
      <c r="H319" s="1">
        <v>1.36819136301</v>
      </c>
      <c r="I319" s="1">
        <v>1.2460024643000001</v>
      </c>
      <c r="J319" s="1">
        <v>0.64536050872499995</v>
      </c>
      <c r="K319" s="1">
        <v>0</v>
      </c>
      <c r="L319" s="1">
        <v>0</v>
      </c>
      <c r="M319" s="1" t="s">
        <v>198</v>
      </c>
      <c r="N319" s="1" t="b">
        <v>1</v>
      </c>
    </row>
    <row r="320" spans="1:14" ht="19" customHeight="1" x14ac:dyDescent="0.3">
      <c r="A320">
        <v>315</v>
      </c>
      <c r="B320" s="1">
        <v>2</v>
      </c>
      <c r="C320" s="1">
        <v>0</v>
      </c>
      <c r="D320" s="1">
        <v>5.5E-2</v>
      </c>
      <c r="E320" s="1">
        <v>0.06</v>
      </c>
      <c r="F320" s="1">
        <v>0</v>
      </c>
      <c r="G320" s="1">
        <v>0</v>
      </c>
      <c r="H320" s="1">
        <v>1.39932460422</v>
      </c>
      <c r="I320" s="1">
        <v>1.6991403906</v>
      </c>
      <c r="J320" s="1">
        <v>0.77952501064000002</v>
      </c>
      <c r="K320" s="1">
        <v>0</v>
      </c>
      <c r="L320" s="1">
        <v>0</v>
      </c>
      <c r="M320" s="1" t="s">
        <v>198</v>
      </c>
      <c r="N320" s="1" t="b">
        <v>1</v>
      </c>
    </row>
    <row r="321" spans="1:14" ht="19" customHeight="1" x14ac:dyDescent="0.3">
      <c r="A321">
        <v>316</v>
      </c>
      <c r="B321" s="1">
        <v>2</v>
      </c>
      <c r="C321" s="1">
        <v>0</v>
      </c>
      <c r="D321" s="1">
        <v>5.5E-2</v>
      </c>
      <c r="E321" s="1">
        <v>0.06</v>
      </c>
      <c r="F321" s="1">
        <v>0</v>
      </c>
      <c r="G321" s="1">
        <v>1</v>
      </c>
      <c r="H321" s="1">
        <v>1.39932460422</v>
      </c>
      <c r="I321" s="1">
        <v>1.2743552929499999</v>
      </c>
      <c r="J321" s="1">
        <v>0.63921050872499996</v>
      </c>
      <c r="K321" s="1">
        <v>0</v>
      </c>
      <c r="L321" s="1">
        <v>0</v>
      </c>
      <c r="M321" s="1" t="s">
        <v>198</v>
      </c>
      <c r="N321" s="1" t="b">
        <v>1</v>
      </c>
    </row>
    <row r="322" spans="1:14" ht="19" customHeight="1" x14ac:dyDescent="0.3">
      <c r="A322">
        <v>317</v>
      </c>
      <c r="B322" s="1">
        <v>2</v>
      </c>
      <c r="C322" s="1">
        <v>0</v>
      </c>
      <c r="D322" s="1">
        <v>5.5E-2</v>
      </c>
      <c r="E322" s="1">
        <v>0.06</v>
      </c>
      <c r="F322" s="1">
        <v>5</v>
      </c>
      <c r="G322" s="1">
        <v>0</v>
      </c>
      <c r="H322" s="1">
        <v>1.36819136301</v>
      </c>
      <c r="I322" s="1">
        <v>1.6613366190700001</v>
      </c>
      <c r="J322" s="1">
        <v>0.78702501063999997</v>
      </c>
      <c r="K322" s="1">
        <v>0</v>
      </c>
      <c r="L322" s="1">
        <v>0</v>
      </c>
      <c r="M322" s="1" t="s">
        <v>198</v>
      </c>
      <c r="N322" s="1" t="b">
        <v>1</v>
      </c>
    </row>
    <row r="323" spans="1:14" ht="19" customHeight="1" x14ac:dyDescent="0.3">
      <c r="A323">
        <v>318</v>
      </c>
      <c r="B323" s="1">
        <v>2</v>
      </c>
      <c r="C323" s="1">
        <v>0</v>
      </c>
      <c r="D323" s="1">
        <v>5.5E-2</v>
      </c>
      <c r="E323" s="1">
        <v>0.06</v>
      </c>
      <c r="F323" s="1">
        <v>5</v>
      </c>
      <c r="G323" s="1">
        <v>1</v>
      </c>
      <c r="H323" s="1">
        <v>1.36819136301</v>
      </c>
      <c r="I323" s="1">
        <v>1.2460024643000001</v>
      </c>
      <c r="J323" s="1">
        <v>0.64536050872499995</v>
      </c>
      <c r="K323" s="1">
        <v>0</v>
      </c>
      <c r="L323" s="1">
        <v>0</v>
      </c>
      <c r="M323" s="1" t="s">
        <v>198</v>
      </c>
      <c r="N323" s="1" t="b">
        <v>1</v>
      </c>
    </row>
    <row r="324" spans="1:14" ht="19" customHeight="1" x14ac:dyDescent="0.3">
      <c r="A324">
        <v>319</v>
      </c>
      <c r="B324" s="1">
        <v>2</v>
      </c>
      <c r="C324" s="1">
        <v>0</v>
      </c>
      <c r="D324" s="1">
        <v>5.5E-2</v>
      </c>
      <c r="E324" s="1">
        <v>8.5000000000000006E-2</v>
      </c>
      <c r="F324" s="1">
        <v>-5</v>
      </c>
      <c r="G324" s="1">
        <v>0</v>
      </c>
      <c r="H324" s="1">
        <v>1.2975568175000001</v>
      </c>
      <c r="I324" s="1">
        <v>1.5553848008</v>
      </c>
      <c r="J324" s="1">
        <v>0.78070384990200004</v>
      </c>
      <c r="K324" s="1">
        <v>0</v>
      </c>
      <c r="L324" s="1">
        <v>0</v>
      </c>
      <c r="M324" s="1" t="s">
        <v>198</v>
      </c>
      <c r="N324" s="1" t="b">
        <v>1</v>
      </c>
    </row>
    <row r="325" spans="1:14" ht="19" customHeight="1" x14ac:dyDescent="0.3">
      <c r="A325">
        <v>320</v>
      </c>
      <c r="B325" s="1">
        <v>2</v>
      </c>
      <c r="C325" s="1">
        <v>0</v>
      </c>
      <c r="D325" s="1">
        <v>5.5E-2</v>
      </c>
      <c r="E325" s="1">
        <v>8.5000000000000006E-2</v>
      </c>
      <c r="F325" s="1">
        <v>-5</v>
      </c>
      <c r="G325" s="1">
        <v>1</v>
      </c>
      <c r="H325" s="1">
        <v>1.2975568175000001</v>
      </c>
      <c r="I325" s="1">
        <v>1.1665386006</v>
      </c>
      <c r="J325" s="1">
        <v>0.64017715691900001</v>
      </c>
      <c r="K325" s="1">
        <v>0</v>
      </c>
      <c r="L325" s="1">
        <v>0</v>
      </c>
      <c r="M325" s="1" t="s">
        <v>198</v>
      </c>
      <c r="N325" s="1" t="b">
        <v>1</v>
      </c>
    </row>
    <row r="326" spans="1:14" ht="19" customHeight="1" x14ac:dyDescent="0.3">
      <c r="A326">
        <v>321</v>
      </c>
      <c r="B326" s="1">
        <v>2</v>
      </c>
      <c r="C326" s="1">
        <v>0</v>
      </c>
      <c r="D326" s="1">
        <v>5.5E-2</v>
      </c>
      <c r="E326" s="1">
        <v>8.5000000000000006E-2</v>
      </c>
      <c r="F326" s="1">
        <v>0</v>
      </c>
      <c r="G326" s="1">
        <v>0</v>
      </c>
      <c r="H326" s="1">
        <v>1.3270827672100001</v>
      </c>
      <c r="I326" s="1">
        <v>1.59077763508</v>
      </c>
      <c r="J326" s="1">
        <v>0.77320384990199997</v>
      </c>
      <c r="K326" s="1">
        <v>0</v>
      </c>
      <c r="L326" s="1">
        <v>0</v>
      </c>
      <c r="M326" s="1" t="s">
        <v>198</v>
      </c>
      <c r="N326" s="1" t="b">
        <v>1</v>
      </c>
    </row>
    <row r="327" spans="1:14" ht="19" customHeight="1" x14ac:dyDescent="0.3">
      <c r="A327">
        <v>322</v>
      </c>
      <c r="B327" s="1">
        <v>2</v>
      </c>
      <c r="C327" s="1">
        <v>0</v>
      </c>
      <c r="D327" s="1">
        <v>5.5E-2</v>
      </c>
      <c r="E327" s="1">
        <v>8.5000000000000006E-2</v>
      </c>
      <c r="F327" s="1">
        <v>0</v>
      </c>
      <c r="G327" s="1">
        <v>1</v>
      </c>
      <c r="H327" s="1">
        <v>1.3270827672100001</v>
      </c>
      <c r="I327" s="1">
        <v>1.19308322631</v>
      </c>
      <c r="J327" s="1">
        <v>0.63402715691900002</v>
      </c>
      <c r="K327" s="1">
        <v>0</v>
      </c>
      <c r="L327" s="1">
        <v>0</v>
      </c>
      <c r="M327" s="1" t="s">
        <v>198</v>
      </c>
      <c r="N327" s="1" t="b">
        <v>1</v>
      </c>
    </row>
    <row r="328" spans="1:14" ht="19" customHeight="1" x14ac:dyDescent="0.3">
      <c r="A328">
        <v>323</v>
      </c>
      <c r="B328" s="1">
        <v>2</v>
      </c>
      <c r="C328" s="1">
        <v>0</v>
      </c>
      <c r="D328" s="1">
        <v>5.5E-2</v>
      </c>
      <c r="E328" s="1">
        <v>8.5000000000000006E-2</v>
      </c>
      <c r="F328" s="1">
        <v>5</v>
      </c>
      <c r="G328" s="1">
        <v>0</v>
      </c>
      <c r="H328" s="1">
        <v>1.2975568175000001</v>
      </c>
      <c r="I328" s="1">
        <v>1.5553848008</v>
      </c>
      <c r="J328" s="1">
        <v>0.78070384990200004</v>
      </c>
      <c r="K328" s="1">
        <v>0</v>
      </c>
      <c r="L328" s="1">
        <v>0</v>
      </c>
      <c r="M328" s="1" t="s">
        <v>198</v>
      </c>
      <c r="N328" s="1" t="b">
        <v>1</v>
      </c>
    </row>
    <row r="329" spans="1:14" ht="19" customHeight="1" x14ac:dyDescent="0.3">
      <c r="A329">
        <v>324</v>
      </c>
      <c r="B329" s="1">
        <v>2</v>
      </c>
      <c r="C329" s="1">
        <v>0</v>
      </c>
      <c r="D329" s="1">
        <v>5.5E-2</v>
      </c>
      <c r="E329" s="1">
        <v>8.5000000000000006E-2</v>
      </c>
      <c r="F329" s="1">
        <v>5</v>
      </c>
      <c r="G329" s="1">
        <v>1</v>
      </c>
      <c r="H329" s="1">
        <v>1.2975568175000001</v>
      </c>
      <c r="I329" s="1">
        <v>1.1665386006</v>
      </c>
      <c r="J329" s="1">
        <v>0.64017715691900001</v>
      </c>
      <c r="K329" s="1">
        <v>0</v>
      </c>
      <c r="L329" s="1">
        <v>0</v>
      </c>
      <c r="M329" s="1" t="s">
        <v>198</v>
      </c>
      <c r="N329" s="1" t="b">
        <v>1</v>
      </c>
    </row>
    <row r="330" spans="1:14" ht="19" customHeight="1" x14ac:dyDescent="0.3">
      <c r="A330">
        <v>325</v>
      </c>
      <c r="B330" s="1">
        <v>2</v>
      </c>
      <c r="C330" s="1">
        <v>30</v>
      </c>
      <c r="D330" s="1">
        <v>2.5000000000000001E-2</v>
      </c>
      <c r="E330" s="1">
        <v>0.04</v>
      </c>
      <c r="F330" s="1">
        <v>-5</v>
      </c>
      <c r="G330" s="1">
        <v>0</v>
      </c>
      <c r="H330" s="1">
        <v>1.4744580519099999</v>
      </c>
      <c r="I330" s="1">
        <v>1.8207366524299999</v>
      </c>
      <c r="J330" s="1">
        <v>0.79653492985600005</v>
      </c>
      <c r="K330" s="1">
        <v>2724.7141211500002</v>
      </c>
      <c r="L330" s="1">
        <v>658.63482012500003</v>
      </c>
      <c r="M330" s="1" t="s">
        <v>198</v>
      </c>
      <c r="N330" s="1" t="b">
        <v>1</v>
      </c>
    </row>
    <row r="331" spans="1:14" ht="19" customHeight="1" x14ac:dyDescent="0.3">
      <c r="A331">
        <v>326</v>
      </c>
      <c r="B331" s="1">
        <v>2</v>
      </c>
      <c r="C331" s="1">
        <v>30</v>
      </c>
      <c r="D331" s="1">
        <v>2.5000000000000001E-2</v>
      </c>
      <c r="E331" s="1">
        <v>0.04</v>
      </c>
      <c r="F331" s="1">
        <v>-5</v>
      </c>
      <c r="G331" s="1">
        <v>1</v>
      </c>
      <c r="H331" s="1">
        <v>1.4744580519099999</v>
      </c>
      <c r="I331" s="1">
        <v>1.36555248932</v>
      </c>
      <c r="J331" s="1">
        <v>0.65315864248199995</v>
      </c>
      <c r="K331" s="1">
        <v>2348.3337162799999</v>
      </c>
      <c r="L331" s="1">
        <v>540.08055250200005</v>
      </c>
      <c r="M331" s="1" t="s">
        <v>198</v>
      </c>
      <c r="N331" s="1" t="b">
        <v>1</v>
      </c>
    </row>
    <row r="332" spans="1:14" ht="19" customHeight="1" x14ac:dyDescent="0.3">
      <c r="A332">
        <v>327</v>
      </c>
      <c r="B332" s="1">
        <v>2</v>
      </c>
      <c r="C332" s="1">
        <v>30</v>
      </c>
      <c r="D332" s="1">
        <v>2.5000000000000001E-2</v>
      </c>
      <c r="E332" s="1">
        <v>0.04</v>
      </c>
      <c r="F332" s="1">
        <v>0</v>
      </c>
      <c r="G332" s="1">
        <v>0</v>
      </c>
      <c r="H332" s="1">
        <v>1.50800939526</v>
      </c>
      <c r="I332" s="1">
        <v>1.8621675771599999</v>
      </c>
      <c r="J332" s="1">
        <v>0.78903492985599999</v>
      </c>
      <c r="K332" s="1">
        <v>2786.7150840700001</v>
      </c>
      <c r="L332" s="1">
        <v>652.43325762500001</v>
      </c>
      <c r="M332" s="1" t="s">
        <v>198</v>
      </c>
      <c r="N332" s="1" t="b">
        <v>1</v>
      </c>
    </row>
    <row r="333" spans="1:14" ht="19" customHeight="1" x14ac:dyDescent="0.3">
      <c r="A333">
        <v>328</v>
      </c>
      <c r="B333" s="1">
        <v>2</v>
      </c>
      <c r="C333" s="1">
        <v>30</v>
      </c>
      <c r="D333" s="1">
        <v>2.5000000000000001E-2</v>
      </c>
      <c r="E333" s="1">
        <v>0.04</v>
      </c>
      <c r="F333" s="1">
        <v>0</v>
      </c>
      <c r="G333" s="1">
        <v>1</v>
      </c>
      <c r="H333" s="1">
        <v>1.50800939526</v>
      </c>
      <c r="I333" s="1">
        <v>1.3966256828700001</v>
      </c>
      <c r="J333" s="1">
        <v>0.64700864248199996</v>
      </c>
      <c r="K333" s="1">
        <v>2401.7701302300002</v>
      </c>
      <c r="L333" s="1">
        <v>534.99527125199995</v>
      </c>
      <c r="M333" s="1" t="s">
        <v>198</v>
      </c>
      <c r="N333" s="1" t="b">
        <v>1</v>
      </c>
    </row>
    <row r="334" spans="1:14" ht="19" customHeight="1" x14ac:dyDescent="0.3">
      <c r="A334">
        <v>329</v>
      </c>
      <c r="B334" s="1">
        <v>2</v>
      </c>
      <c r="C334" s="1">
        <v>30</v>
      </c>
      <c r="D334" s="1">
        <v>2.5000000000000001E-2</v>
      </c>
      <c r="E334" s="1">
        <v>0.04</v>
      </c>
      <c r="F334" s="1">
        <v>5</v>
      </c>
      <c r="G334" s="1">
        <v>0</v>
      </c>
      <c r="H334" s="1">
        <v>1.4744580519099999</v>
      </c>
      <c r="I334" s="1">
        <v>1.8207366524299999</v>
      </c>
      <c r="J334" s="1">
        <v>0.79653492985600005</v>
      </c>
      <c r="K334" s="1">
        <v>2724.7141211500002</v>
      </c>
      <c r="L334" s="1">
        <v>658.63482012500003</v>
      </c>
      <c r="M334" s="1" t="s">
        <v>198</v>
      </c>
      <c r="N334" s="1" t="b">
        <v>1</v>
      </c>
    </row>
    <row r="335" spans="1:14" ht="19" customHeight="1" x14ac:dyDescent="0.3">
      <c r="A335">
        <v>330</v>
      </c>
      <c r="B335" s="1">
        <v>2</v>
      </c>
      <c r="C335" s="1">
        <v>30</v>
      </c>
      <c r="D335" s="1">
        <v>2.5000000000000001E-2</v>
      </c>
      <c r="E335" s="1">
        <v>0.04</v>
      </c>
      <c r="F335" s="1">
        <v>5</v>
      </c>
      <c r="G335" s="1">
        <v>1</v>
      </c>
      <c r="H335" s="1">
        <v>1.4744580519099999</v>
      </c>
      <c r="I335" s="1">
        <v>1.36555248932</v>
      </c>
      <c r="J335" s="1">
        <v>0.65315864248199995</v>
      </c>
      <c r="K335" s="1">
        <v>2348.3337162799999</v>
      </c>
      <c r="L335" s="1">
        <v>540.08055250200005</v>
      </c>
      <c r="M335" s="1" t="s">
        <v>198</v>
      </c>
      <c r="N335" s="1" t="b">
        <v>1</v>
      </c>
    </row>
    <row r="336" spans="1:14" ht="19" customHeight="1" x14ac:dyDescent="0.3">
      <c r="A336">
        <v>331</v>
      </c>
      <c r="B336" s="1">
        <v>2</v>
      </c>
      <c r="C336" s="1">
        <v>30</v>
      </c>
      <c r="D336" s="1">
        <v>2.5000000000000001E-2</v>
      </c>
      <c r="E336" s="1">
        <v>0.06</v>
      </c>
      <c r="F336" s="1">
        <v>-5</v>
      </c>
      <c r="G336" s="1">
        <v>0</v>
      </c>
      <c r="H336" s="1">
        <v>1.51507306555</v>
      </c>
      <c r="I336" s="1">
        <v>1.8816591728800001</v>
      </c>
      <c r="J336" s="1">
        <v>0.80016961070100001</v>
      </c>
      <c r="K336" s="1">
        <v>2808.6729696500001</v>
      </c>
      <c r="L336" s="1">
        <v>661.64024684799995</v>
      </c>
      <c r="M336" s="1" t="s">
        <v>198</v>
      </c>
      <c r="N336" s="1" t="b">
        <v>1</v>
      </c>
    </row>
    <row r="337" spans="1:14" ht="19" customHeight="1" x14ac:dyDescent="0.3">
      <c r="A337">
        <v>332</v>
      </c>
      <c r="B337" s="1">
        <v>2</v>
      </c>
      <c r="C337" s="1">
        <v>30</v>
      </c>
      <c r="D337" s="1">
        <v>2.5000000000000001E-2</v>
      </c>
      <c r="E337" s="1">
        <v>0.06</v>
      </c>
      <c r="F337" s="1">
        <v>-5</v>
      </c>
      <c r="G337" s="1">
        <v>1</v>
      </c>
      <c r="H337" s="1">
        <v>1.51507306555</v>
      </c>
      <c r="I337" s="1">
        <v>1.41124437966</v>
      </c>
      <c r="J337" s="1">
        <v>0.65613908077500005</v>
      </c>
      <c r="K337" s="1">
        <v>2419.6987375099998</v>
      </c>
      <c r="L337" s="1">
        <v>542.54500241599999</v>
      </c>
      <c r="M337" s="1" t="s">
        <v>198</v>
      </c>
      <c r="N337" s="1" t="b">
        <v>1</v>
      </c>
    </row>
    <row r="338" spans="1:14" ht="19" customHeight="1" x14ac:dyDescent="0.3">
      <c r="A338">
        <v>333</v>
      </c>
      <c r="B338" s="1">
        <v>2</v>
      </c>
      <c r="C338" s="1">
        <v>30</v>
      </c>
      <c r="D338" s="1">
        <v>2.5000000000000001E-2</v>
      </c>
      <c r="E338" s="1">
        <v>0.06</v>
      </c>
      <c r="F338" s="1">
        <v>0</v>
      </c>
      <c r="G338" s="1">
        <v>0</v>
      </c>
      <c r="H338" s="1">
        <v>1.54954860492</v>
      </c>
      <c r="I338" s="1">
        <v>1.9244763916400001</v>
      </c>
      <c r="J338" s="1">
        <v>0.79266961070099995</v>
      </c>
      <c r="K338" s="1">
        <v>2872.5844190299999</v>
      </c>
      <c r="L338" s="1">
        <v>655.43868434800004</v>
      </c>
      <c r="M338" s="1" t="s">
        <v>198</v>
      </c>
      <c r="N338" s="1" t="b">
        <v>1</v>
      </c>
    </row>
    <row r="339" spans="1:14" ht="19" customHeight="1" x14ac:dyDescent="0.3">
      <c r="A339">
        <v>334</v>
      </c>
      <c r="B339" s="1">
        <v>2</v>
      </c>
      <c r="C339" s="1">
        <v>30</v>
      </c>
      <c r="D339" s="1">
        <v>2.5000000000000001E-2</v>
      </c>
      <c r="E339" s="1">
        <v>0.06</v>
      </c>
      <c r="F339" s="1">
        <v>0</v>
      </c>
      <c r="G339" s="1">
        <v>1</v>
      </c>
      <c r="H339" s="1">
        <v>1.54954860492</v>
      </c>
      <c r="I339" s="1">
        <v>1.4433572937300001</v>
      </c>
      <c r="J339" s="1">
        <v>0.64998908077499995</v>
      </c>
      <c r="K339" s="1">
        <v>2474.7590649499998</v>
      </c>
      <c r="L339" s="1">
        <v>537.45972116600001</v>
      </c>
      <c r="M339" s="1" t="s">
        <v>198</v>
      </c>
      <c r="N339" s="1" t="b">
        <v>1</v>
      </c>
    </row>
    <row r="340" spans="1:14" ht="19" customHeight="1" x14ac:dyDescent="0.3">
      <c r="A340">
        <v>335</v>
      </c>
      <c r="B340" s="1">
        <v>2</v>
      </c>
      <c r="C340" s="1">
        <v>30</v>
      </c>
      <c r="D340" s="1">
        <v>2.5000000000000001E-2</v>
      </c>
      <c r="E340" s="1">
        <v>0.06</v>
      </c>
      <c r="F340" s="1">
        <v>5</v>
      </c>
      <c r="G340" s="1">
        <v>0</v>
      </c>
      <c r="H340" s="1">
        <v>1.51507306555</v>
      </c>
      <c r="I340" s="1">
        <v>1.8816591728800001</v>
      </c>
      <c r="J340" s="1">
        <v>0.80016961070100001</v>
      </c>
      <c r="K340" s="1">
        <v>2808.6729696500001</v>
      </c>
      <c r="L340" s="1">
        <v>661.64024684799995</v>
      </c>
      <c r="M340" s="1" t="s">
        <v>198</v>
      </c>
      <c r="N340" s="1" t="b">
        <v>1</v>
      </c>
    </row>
    <row r="341" spans="1:14" ht="19" customHeight="1" x14ac:dyDescent="0.3">
      <c r="A341">
        <v>336</v>
      </c>
      <c r="B341" s="1">
        <v>2</v>
      </c>
      <c r="C341" s="1">
        <v>30</v>
      </c>
      <c r="D341" s="1">
        <v>2.5000000000000001E-2</v>
      </c>
      <c r="E341" s="1">
        <v>0.06</v>
      </c>
      <c r="F341" s="1">
        <v>5</v>
      </c>
      <c r="G341" s="1">
        <v>1</v>
      </c>
      <c r="H341" s="1">
        <v>1.51507306555</v>
      </c>
      <c r="I341" s="1">
        <v>1.41124437966</v>
      </c>
      <c r="J341" s="1">
        <v>0.65613908077500005</v>
      </c>
      <c r="K341" s="1">
        <v>2419.6987375099998</v>
      </c>
      <c r="L341" s="1">
        <v>542.54500241599999</v>
      </c>
      <c r="M341" s="1" t="s">
        <v>198</v>
      </c>
      <c r="N341" s="1" t="b">
        <v>1</v>
      </c>
    </row>
    <row r="342" spans="1:14" ht="19" customHeight="1" x14ac:dyDescent="0.3">
      <c r="A342">
        <v>337</v>
      </c>
      <c r="B342" s="1">
        <v>2</v>
      </c>
      <c r="C342" s="1">
        <v>30</v>
      </c>
      <c r="D342" s="1">
        <v>2.5000000000000001E-2</v>
      </c>
      <c r="E342" s="1">
        <v>8.5000000000000006E-2</v>
      </c>
      <c r="F342" s="1">
        <v>-5</v>
      </c>
      <c r="G342" s="1">
        <v>0</v>
      </c>
      <c r="H342" s="1">
        <v>1.4112415566100001</v>
      </c>
      <c r="I342" s="1">
        <v>1.7259119094599999</v>
      </c>
      <c r="J342" s="1">
        <v>0.79087761833400005</v>
      </c>
      <c r="K342" s="1">
        <v>2594.0337722499999</v>
      </c>
      <c r="L342" s="1">
        <v>653.95693066000001</v>
      </c>
      <c r="M342" s="1" t="s">
        <v>198</v>
      </c>
      <c r="N342" s="1" t="b">
        <v>1</v>
      </c>
    </row>
    <row r="343" spans="1:14" ht="19" customHeight="1" x14ac:dyDescent="0.3">
      <c r="A343">
        <v>338</v>
      </c>
      <c r="B343" s="1">
        <v>2</v>
      </c>
      <c r="C343" s="1">
        <v>30</v>
      </c>
      <c r="D343" s="1">
        <v>2.5000000000000001E-2</v>
      </c>
      <c r="E343" s="1">
        <v>8.5000000000000006E-2</v>
      </c>
      <c r="F343" s="1">
        <v>-5</v>
      </c>
      <c r="G343" s="1">
        <v>1</v>
      </c>
      <c r="H343" s="1">
        <v>1.4112415566100001</v>
      </c>
      <c r="I343" s="1">
        <v>1.2944339321</v>
      </c>
      <c r="J343" s="1">
        <v>0.648519647034</v>
      </c>
      <c r="K343" s="1">
        <v>2237.2554197200002</v>
      </c>
      <c r="L343" s="1">
        <v>536.244683141</v>
      </c>
      <c r="M343" s="1" t="s">
        <v>198</v>
      </c>
      <c r="N343" s="1" t="b">
        <v>1</v>
      </c>
    </row>
    <row r="344" spans="1:14" ht="19" customHeight="1" x14ac:dyDescent="0.3">
      <c r="A344">
        <v>339</v>
      </c>
      <c r="B344" s="1">
        <v>2</v>
      </c>
      <c r="C344" s="1">
        <v>30</v>
      </c>
      <c r="D344" s="1">
        <v>2.5000000000000001E-2</v>
      </c>
      <c r="E344" s="1">
        <v>8.5000000000000006E-2</v>
      </c>
      <c r="F344" s="1">
        <v>0</v>
      </c>
      <c r="G344" s="1">
        <v>0</v>
      </c>
      <c r="H344" s="1">
        <v>1.4433544064399999</v>
      </c>
      <c r="I344" s="1">
        <v>1.76518509393</v>
      </c>
      <c r="J344" s="1">
        <v>0.78337761833399999</v>
      </c>
      <c r="K344" s="1">
        <v>2653.0610993700002</v>
      </c>
      <c r="L344" s="1">
        <v>647.75536815999999</v>
      </c>
      <c r="M344" s="1" t="s">
        <v>198</v>
      </c>
      <c r="N344" s="1" t="b">
        <v>1</v>
      </c>
    </row>
    <row r="345" spans="1:14" ht="19" customHeight="1" x14ac:dyDescent="0.3">
      <c r="A345">
        <v>340</v>
      </c>
      <c r="B345" s="1">
        <v>2</v>
      </c>
      <c r="C345" s="1">
        <v>30</v>
      </c>
      <c r="D345" s="1">
        <v>2.5000000000000001E-2</v>
      </c>
      <c r="E345" s="1">
        <v>8.5000000000000006E-2</v>
      </c>
      <c r="F345" s="1">
        <v>0</v>
      </c>
      <c r="G345" s="1">
        <v>1</v>
      </c>
      <c r="H345" s="1">
        <v>1.4433544064399999</v>
      </c>
      <c r="I345" s="1">
        <v>1.3238888204499999</v>
      </c>
      <c r="J345" s="1">
        <v>0.64236964703400001</v>
      </c>
      <c r="K345" s="1">
        <v>2288.16424323</v>
      </c>
      <c r="L345" s="1">
        <v>531.15940189100002</v>
      </c>
      <c r="M345" s="1" t="s">
        <v>198</v>
      </c>
      <c r="N345" s="1" t="b">
        <v>1</v>
      </c>
    </row>
    <row r="346" spans="1:14" ht="19" customHeight="1" x14ac:dyDescent="0.3">
      <c r="A346">
        <v>341</v>
      </c>
      <c r="B346" s="1">
        <v>2</v>
      </c>
      <c r="C346" s="1">
        <v>30</v>
      </c>
      <c r="D346" s="1">
        <v>2.5000000000000001E-2</v>
      </c>
      <c r="E346" s="1">
        <v>8.5000000000000006E-2</v>
      </c>
      <c r="F346" s="1">
        <v>5</v>
      </c>
      <c r="G346" s="1">
        <v>0</v>
      </c>
      <c r="H346" s="1">
        <v>1.4112415566100001</v>
      </c>
      <c r="I346" s="1">
        <v>1.7259119094599999</v>
      </c>
      <c r="J346" s="1">
        <v>0.79087761833400005</v>
      </c>
      <c r="K346" s="1">
        <v>2594.0337722499999</v>
      </c>
      <c r="L346" s="1">
        <v>653.95693066000001</v>
      </c>
      <c r="M346" s="1" t="s">
        <v>198</v>
      </c>
      <c r="N346" s="1" t="b">
        <v>1</v>
      </c>
    </row>
    <row r="347" spans="1:14" ht="19" customHeight="1" x14ac:dyDescent="0.3">
      <c r="A347">
        <v>342</v>
      </c>
      <c r="B347" s="1">
        <v>2</v>
      </c>
      <c r="C347" s="1">
        <v>30</v>
      </c>
      <c r="D347" s="1">
        <v>2.5000000000000001E-2</v>
      </c>
      <c r="E347" s="1">
        <v>8.5000000000000006E-2</v>
      </c>
      <c r="F347" s="1">
        <v>5</v>
      </c>
      <c r="G347" s="1">
        <v>1</v>
      </c>
      <c r="H347" s="1">
        <v>1.4112415566100001</v>
      </c>
      <c r="I347" s="1">
        <v>1.2944339321</v>
      </c>
      <c r="J347" s="1">
        <v>0.648519647034</v>
      </c>
      <c r="K347" s="1">
        <v>2237.2554197200002</v>
      </c>
      <c r="L347" s="1">
        <v>536.244683141</v>
      </c>
      <c r="M347" s="1" t="s">
        <v>198</v>
      </c>
      <c r="N347" s="1" t="b">
        <v>1</v>
      </c>
    </row>
    <row r="348" spans="1:14" ht="19" customHeight="1" x14ac:dyDescent="0.3">
      <c r="A348">
        <v>343</v>
      </c>
      <c r="B348" s="1">
        <v>2</v>
      </c>
      <c r="C348" s="1">
        <v>30</v>
      </c>
      <c r="D348" s="1">
        <v>0.04</v>
      </c>
      <c r="E348" s="1">
        <v>0.04</v>
      </c>
      <c r="F348" s="1">
        <v>-5</v>
      </c>
      <c r="G348" s="1">
        <v>0</v>
      </c>
      <c r="H348" s="1">
        <v>1.48044686537</v>
      </c>
      <c r="I348" s="1">
        <v>1.8297198725999999</v>
      </c>
      <c r="J348" s="1">
        <v>0.79707087515300001</v>
      </c>
      <c r="K348" s="1">
        <v>2737.0941214600002</v>
      </c>
      <c r="L348" s="1">
        <v>659.07797989200003</v>
      </c>
      <c r="M348" s="1" t="s">
        <v>198</v>
      </c>
      <c r="N348" s="1" t="b">
        <v>1</v>
      </c>
    </row>
    <row r="349" spans="1:14" ht="19" customHeight="1" x14ac:dyDescent="0.3">
      <c r="A349">
        <v>344</v>
      </c>
      <c r="B349" s="1">
        <v>2</v>
      </c>
      <c r="C349" s="1">
        <v>30</v>
      </c>
      <c r="D349" s="1">
        <v>0.04</v>
      </c>
      <c r="E349" s="1">
        <v>0.04</v>
      </c>
      <c r="F349" s="1">
        <v>-5</v>
      </c>
      <c r="G349" s="1">
        <v>1</v>
      </c>
      <c r="H349" s="1">
        <v>1.48044686537</v>
      </c>
      <c r="I349" s="1">
        <v>1.3722899044500001</v>
      </c>
      <c r="J349" s="1">
        <v>0.65359811762499997</v>
      </c>
      <c r="K349" s="1">
        <v>2358.8567165499999</v>
      </c>
      <c r="L349" s="1">
        <v>540.44394351100004</v>
      </c>
      <c r="M349" s="1" t="s">
        <v>198</v>
      </c>
      <c r="N349" s="1" t="b">
        <v>1</v>
      </c>
    </row>
    <row r="350" spans="1:14" ht="19" customHeight="1" x14ac:dyDescent="0.3">
      <c r="A350">
        <v>345</v>
      </c>
      <c r="B350" s="1">
        <v>2</v>
      </c>
      <c r="C350" s="1">
        <v>30</v>
      </c>
      <c r="D350" s="1">
        <v>0.04</v>
      </c>
      <c r="E350" s="1">
        <v>0.04</v>
      </c>
      <c r="F350" s="1">
        <v>0</v>
      </c>
      <c r="G350" s="1">
        <v>0</v>
      </c>
      <c r="H350" s="1">
        <v>1.51413448437</v>
      </c>
      <c r="I350" s="1">
        <v>1.87135521082</v>
      </c>
      <c r="J350" s="1">
        <v>0.78957087515299995</v>
      </c>
      <c r="K350" s="1">
        <v>2799.3767917099999</v>
      </c>
      <c r="L350" s="1">
        <v>652.87641739200001</v>
      </c>
      <c r="M350" s="1" t="s">
        <v>198</v>
      </c>
      <c r="N350" s="1" t="b">
        <v>1</v>
      </c>
    </row>
    <row r="351" spans="1:14" ht="19" customHeight="1" x14ac:dyDescent="0.3">
      <c r="A351">
        <v>346</v>
      </c>
      <c r="B351" s="1">
        <v>2</v>
      </c>
      <c r="C351" s="1">
        <v>30</v>
      </c>
      <c r="D351" s="1">
        <v>0.04</v>
      </c>
      <c r="E351" s="1">
        <v>0.04</v>
      </c>
      <c r="F351" s="1">
        <v>0</v>
      </c>
      <c r="G351" s="1">
        <v>1</v>
      </c>
      <c r="H351" s="1">
        <v>1.51413448437</v>
      </c>
      <c r="I351" s="1">
        <v>1.40351640811</v>
      </c>
      <c r="J351" s="1">
        <v>0.64744811762499999</v>
      </c>
      <c r="K351" s="1">
        <v>2412.5325817200001</v>
      </c>
      <c r="L351" s="1">
        <v>535.35866226099995</v>
      </c>
      <c r="M351" s="1" t="s">
        <v>198</v>
      </c>
      <c r="N351" s="1" t="b">
        <v>1</v>
      </c>
    </row>
    <row r="352" spans="1:14" ht="19" customHeight="1" x14ac:dyDescent="0.3">
      <c r="A352">
        <v>347</v>
      </c>
      <c r="B352" s="1">
        <v>2</v>
      </c>
      <c r="C352" s="1">
        <v>30</v>
      </c>
      <c r="D352" s="1">
        <v>0.04</v>
      </c>
      <c r="E352" s="1">
        <v>0.04</v>
      </c>
      <c r="F352" s="1">
        <v>5</v>
      </c>
      <c r="G352" s="1">
        <v>0</v>
      </c>
      <c r="H352" s="1">
        <v>1.48044686537</v>
      </c>
      <c r="I352" s="1">
        <v>1.8297198725999999</v>
      </c>
      <c r="J352" s="1">
        <v>0.79707087515300001</v>
      </c>
      <c r="K352" s="1">
        <v>2737.0941214600002</v>
      </c>
      <c r="L352" s="1">
        <v>659.07797989200003</v>
      </c>
      <c r="M352" s="1" t="s">
        <v>198</v>
      </c>
      <c r="N352" s="1" t="b">
        <v>1</v>
      </c>
    </row>
    <row r="353" spans="1:14" ht="19" customHeight="1" x14ac:dyDescent="0.3">
      <c r="A353">
        <v>348</v>
      </c>
      <c r="B353" s="1">
        <v>2</v>
      </c>
      <c r="C353" s="1">
        <v>30</v>
      </c>
      <c r="D353" s="1">
        <v>0.04</v>
      </c>
      <c r="E353" s="1">
        <v>0.04</v>
      </c>
      <c r="F353" s="1">
        <v>5</v>
      </c>
      <c r="G353" s="1">
        <v>1</v>
      </c>
      <c r="H353" s="1">
        <v>1.48044686537</v>
      </c>
      <c r="I353" s="1">
        <v>1.3722899044500001</v>
      </c>
      <c r="J353" s="1">
        <v>0.65359811762499997</v>
      </c>
      <c r="K353" s="1">
        <v>2358.8567165499999</v>
      </c>
      <c r="L353" s="1">
        <v>540.44394351100004</v>
      </c>
      <c r="M353" s="1" t="s">
        <v>198</v>
      </c>
      <c r="N353" s="1" t="b">
        <v>1</v>
      </c>
    </row>
    <row r="354" spans="1:14" ht="19" customHeight="1" x14ac:dyDescent="0.3">
      <c r="A354">
        <v>349</v>
      </c>
      <c r="B354" s="1">
        <v>2</v>
      </c>
      <c r="C354" s="1">
        <v>30</v>
      </c>
      <c r="D354" s="1">
        <v>0.04</v>
      </c>
      <c r="E354" s="1">
        <v>0.06</v>
      </c>
      <c r="F354" s="1">
        <v>-5</v>
      </c>
      <c r="G354" s="1">
        <v>0</v>
      </c>
      <c r="H354" s="1">
        <v>1.5216426809200001</v>
      </c>
      <c r="I354" s="1">
        <v>1.89151359594</v>
      </c>
      <c r="J354" s="1">
        <v>0.80075753258100002</v>
      </c>
      <c r="K354" s="1">
        <v>2822.25359643</v>
      </c>
      <c r="L354" s="1">
        <v>662.12638475300002</v>
      </c>
      <c r="M354" s="1" t="s">
        <v>198</v>
      </c>
      <c r="N354" s="1" t="b">
        <v>1</v>
      </c>
    </row>
    <row r="355" spans="1:14" ht="19" customHeight="1" x14ac:dyDescent="0.3">
      <c r="A355">
        <v>350</v>
      </c>
      <c r="B355" s="1">
        <v>2</v>
      </c>
      <c r="C355" s="1">
        <v>30</v>
      </c>
      <c r="D355" s="1">
        <v>0.04</v>
      </c>
      <c r="E355" s="1">
        <v>0.06</v>
      </c>
      <c r="F355" s="1">
        <v>-5</v>
      </c>
      <c r="G355" s="1">
        <v>1</v>
      </c>
      <c r="H355" s="1">
        <v>1.5216426809200001</v>
      </c>
      <c r="I355" s="1">
        <v>1.41863519695</v>
      </c>
      <c r="J355" s="1">
        <v>0.65662117671599995</v>
      </c>
      <c r="K355" s="1">
        <v>2431.2422702700001</v>
      </c>
      <c r="L355" s="1">
        <v>542.94363549699995</v>
      </c>
      <c r="M355" s="1" t="s">
        <v>198</v>
      </c>
      <c r="N355" s="1" t="b">
        <v>1</v>
      </c>
    </row>
    <row r="356" spans="1:14" ht="19" customHeight="1" x14ac:dyDescent="0.3">
      <c r="A356">
        <v>351</v>
      </c>
      <c r="B356" s="1">
        <v>2</v>
      </c>
      <c r="C356" s="1">
        <v>30</v>
      </c>
      <c r="D356" s="1">
        <v>0.04</v>
      </c>
      <c r="E356" s="1">
        <v>0.06</v>
      </c>
      <c r="F356" s="1">
        <v>0</v>
      </c>
      <c r="G356" s="1">
        <v>0</v>
      </c>
      <c r="H356" s="1">
        <v>1.5562677121099999</v>
      </c>
      <c r="I356" s="1">
        <v>1.9345550524399999</v>
      </c>
      <c r="J356" s="1">
        <v>0.79325753258099996</v>
      </c>
      <c r="K356" s="1">
        <v>2886.4740734400002</v>
      </c>
      <c r="L356" s="1">
        <v>655.924822253</v>
      </c>
      <c r="M356" s="1" t="s">
        <v>198</v>
      </c>
      <c r="N356" s="1" t="b">
        <v>1</v>
      </c>
    </row>
    <row r="357" spans="1:14" ht="19" customHeight="1" x14ac:dyDescent="0.3">
      <c r="A357">
        <v>352</v>
      </c>
      <c r="B357" s="1">
        <v>2</v>
      </c>
      <c r="C357" s="1">
        <v>30</v>
      </c>
      <c r="D357" s="1">
        <v>0.04</v>
      </c>
      <c r="E357" s="1">
        <v>0.06</v>
      </c>
      <c r="F357" s="1">
        <v>0</v>
      </c>
      <c r="G357" s="1">
        <v>1</v>
      </c>
      <c r="H357" s="1">
        <v>1.5562677121099999</v>
      </c>
      <c r="I357" s="1">
        <v>1.4509162893300001</v>
      </c>
      <c r="J357" s="1">
        <v>0.65047117671599997</v>
      </c>
      <c r="K357" s="1">
        <v>2486.5652711900002</v>
      </c>
      <c r="L357" s="1">
        <v>537.85835424699997</v>
      </c>
      <c r="M357" s="1" t="s">
        <v>198</v>
      </c>
      <c r="N357" s="1" t="b">
        <v>1</v>
      </c>
    </row>
    <row r="358" spans="1:14" ht="19" customHeight="1" x14ac:dyDescent="0.3">
      <c r="A358">
        <v>353</v>
      </c>
      <c r="B358" s="1">
        <v>2</v>
      </c>
      <c r="C358" s="1">
        <v>30</v>
      </c>
      <c r="D358" s="1">
        <v>0.04</v>
      </c>
      <c r="E358" s="1">
        <v>0.06</v>
      </c>
      <c r="F358" s="1">
        <v>5</v>
      </c>
      <c r="G358" s="1">
        <v>0</v>
      </c>
      <c r="H358" s="1">
        <v>1.5216426809200001</v>
      </c>
      <c r="I358" s="1">
        <v>1.89151359594</v>
      </c>
      <c r="J358" s="1">
        <v>0.80075753258100002</v>
      </c>
      <c r="K358" s="1">
        <v>2822.25359643</v>
      </c>
      <c r="L358" s="1">
        <v>662.12638475300002</v>
      </c>
      <c r="M358" s="1" t="s">
        <v>198</v>
      </c>
      <c r="N358" s="1" t="b">
        <v>1</v>
      </c>
    </row>
    <row r="359" spans="1:14" ht="19" customHeight="1" x14ac:dyDescent="0.3">
      <c r="A359">
        <v>354</v>
      </c>
      <c r="B359" s="1">
        <v>2</v>
      </c>
      <c r="C359" s="1">
        <v>30</v>
      </c>
      <c r="D359" s="1">
        <v>0.04</v>
      </c>
      <c r="E359" s="1">
        <v>0.06</v>
      </c>
      <c r="F359" s="1">
        <v>5</v>
      </c>
      <c r="G359" s="1">
        <v>1</v>
      </c>
      <c r="H359" s="1">
        <v>1.5216426809200001</v>
      </c>
      <c r="I359" s="1">
        <v>1.41863519695</v>
      </c>
      <c r="J359" s="1">
        <v>0.65662117671599995</v>
      </c>
      <c r="K359" s="1">
        <v>2431.2422702700001</v>
      </c>
      <c r="L359" s="1">
        <v>542.94363549699995</v>
      </c>
      <c r="M359" s="1" t="s">
        <v>198</v>
      </c>
      <c r="N359" s="1" t="b">
        <v>1</v>
      </c>
    </row>
    <row r="360" spans="1:14" ht="19" customHeight="1" x14ac:dyDescent="0.3">
      <c r="A360">
        <v>355</v>
      </c>
      <c r="B360" s="1">
        <v>2</v>
      </c>
      <c r="C360" s="1">
        <v>30</v>
      </c>
      <c r="D360" s="1">
        <v>0.04</v>
      </c>
      <c r="E360" s="1">
        <v>8.5000000000000006E-2</v>
      </c>
      <c r="F360" s="1">
        <v>-5</v>
      </c>
      <c r="G360" s="1">
        <v>0</v>
      </c>
      <c r="H360" s="1">
        <v>1.41632636293</v>
      </c>
      <c r="I360" s="1">
        <v>1.73353911895</v>
      </c>
      <c r="J360" s="1">
        <v>0.79133266307000005</v>
      </c>
      <c r="K360" s="1">
        <v>2604.5450203300002</v>
      </c>
      <c r="L360" s="1">
        <v>654.33319577600003</v>
      </c>
      <c r="M360" s="1" t="s">
        <v>198</v>
      </c>
      <c r="N360" s="1" t="b">
        <v>1</v>
      </c>
    </row>
    <row r="361" spans="1:14" ht="19" customHeight="1" x14ac:dyDescent="0.3">
      <c r="A361">
        <v>356</v>
      </c>
      <c r="B361" s="1">
        <v>2</v>
      </c>
      <c r="C361" s="1">
        <v>30</v>
      </c>
      <c r="D361" s="1">
        <v>0.04</v>
      </c>
      <c r="E361" s="1">
        <v>8.5000000000000006E-2</v>
      </c>
      <c r="F361" s="1">
        <v>-5</v>
      </c>
      <c r="G361" s="1">
        <v>1</v>
      </c>
      <c r="H361" s="1">
        <v>1.41632636293</v>
      </c>
      <c r="I361" s="1">
        <v>1.3001543392099999</v>
      </c>
      <c r="J361" s="1">
        <v>0.64889278371699999</v>
      </c>
      <c r="K361" s="1">
        <v>2246.1899805799999</v>
      </c>
      <c r="L361" s="1">
        <v>536.55322053600003</v>
      </c>
      <c r="M361" s="1" t="s">
        <v>198</v>
      </c>
      <c r="N361" s="1" t="b">
        <v>1</v>
      </c>
    </row>
    <row r="362" spans="1:14" ht="19" customHeight="1" x14ac:dyDescent="0.3">
      <c r="A362">
        <v>357</v>
      </c>
      <c r="B362" s="1">
        <v>2</v>
      </c>
      <c r="C362" s="1">
        <v>30</v>
      </c>
      <c r="D362" s="1">
        <v>0.04</v>
      </c>
      <c r="E362" s="1">
        <v>8.5000000000000006E-2</v>
      </c>
      <c r="F362" s="1">
        <v>0</v>
      </c>
      <c r="G362" s="1">
        <v>0</v>
      </c>
      <c r="H362" s="1">
        <v>1.4485549177000001</v>
      </c>
      <c r="I362" s="1">
        <v>1.77298586082</v>
      </c>
      <c r="J362" s="1">
        <v>0.78383266306999999</v>
      </c>
      <c r="K362" s="1">
        <v>2663.8115312499999</v>
      </c>
      <c r="L362" s="1">
        <v>648.131633276</v>
      </c>
      <c r="M362" s="1" t="s">
        <v>198</v>
      </c>
      <c r="N362" s="1" t="b">
        <v>1</v>
      </c>
    </row>
    <row r="363" spans="1:14" ht="19" customHeight="1" x14ac:dyDescent="0.3">
      <c r="A363">
        <v>358</v>
      </c>
      <c r="B363" s="1">
        <v>2</v>
      </c>
      <c r="C363" s="1">
        <v>30</v>
      </c>
      <c r="D363" s="1">
        <v>0.04</v>
      </c>
      <c r="E363" s="1">
        <v>8.5000000000000006E-2</v>
      </c>
      <c r="F363" s="1">
        <v>0</v>
      </c>
      <c r="G363" s="1">
        <v>1</v>
      </c>
      <c r="H363" s="1">
        <v>1.4485549177000001</v>
      </c>
      <c r="I363" s="1">
        <v>1.3297393956200001</v>
      </c>
      <c r="J363" s="1">
        <v>0.642742783717</v>
      </c>
      <c r="K363" s="1">
        <v>2297.3021103299998</v>
      </c>
      <c r="L363" s="1">
        <v>531.46793928600005</v>
      </c>
      <c r="M363" s="1" t="s">
        <v>198</v>
      </c>
      <c r="N363" s="1" t="b">
        <v>1</v>
      </c>
    </row>
    <row r="364" spans="1:14" ht="19" customHeight="1" x14ac:dyDescent="0.3">
      <c r="A364">
        <v>359</v>
      </c>
      <c r="B364" s="1">
        <v>2</v>
      </c>
      <c r="C364" s="1">
        <v>30</v>
      </c>
      <c r="D364" s="1">
        <v>0.04</v>
      </c>
      <c r="E364" s="1">
        <v>8.5000000000000006E-2</v>
      </c>
      <c r="F364" s="1">
        <v>5</v>
      </c>
      <c r="G364" s="1">
        <v>0</v>
      </c>
      <c r="H364" s="1">
        <v>1.41632636293</v>
      </c>
      <c r="I364" s="1">
        <v>1.73353911895</v>
      </c>
      <c r="J364" s="1">
        <v>0.79133266307000005</v>
      </c>
      <c r="K364" s="1">
        <v>2604.5450203300002</v>
      </c>
      <c r="L364" s="1">
        <v>654.33319577600003</v>
      </c>
      <c r="M364" s="1" t="s">
        <v>198</v>
      </c>
      <c r="N364" s="1" t="b">
        <v>1</v>
      </c>
    </row>
    <row r="365" spans="1:14" ht="19" customHeight="1" x14ac:dyDescent="0.3">
      <c r="A365">
        <v>360</v>
      </c>
      <c r="B365" s="1">
        <v>2</v>
      </c>
      <c r="C365" s="1">
        <v>30</v>
      </c>
      <c r="D365" s="1">
        <v>0.04</v>
      </c>
      <c r="E365" s="1">
        <v>8.5000000000000006E-2</v>
      </c>
      <c r="F365" s="1">
        <v>5</v>
      </c>
      <c r="G365" s="1">
        <v>1</v>
      </c>
      <c r="H365" s="1">
        <v>1.41632636293</v>
      </c>
      <c r="I365" s="1">
        <v>1.3001543392099999</v>
      </c>
      <c r="J365" s="1">
        <v>0.64889278371699999</v>
      </c>
      <c r="K365" s="1">
        <v>2246.1899805799999</v>
      </c>
      <c r="L365" s="1">
        <v>536.55322053600003</v>
      </c>
      <c r="M365" s="1" t="s">
        <v>198</v>
      </c>
      <c r="N365" s="1" t="b">
        <v>1</v>
      </c>
    </row>
    <row r="366" spans="1:14" ht="19" customHeight="1" x14ac:dyDescent="0.3">
      <c r="A366">
        <v>361</v>
      </c>
      <c r="B366" s="1">
        <v>2</v>
      </c>
      <c r="C366" s="1">
        <v>30</v>
      </c>
      <c r="D366" s="1">
        <v>5.5E-2</v>
      </c>
      <c r="E366" s="1">
        <v>0.04</v>
      </c>
      <c r="F366" s="1">
        <v>-5</v>
      </c>
      <c r="G366" s="1">
        <v>0</v>
      </c>
      <c r="H366" s="1">
        <v>1.3405617633</v>
      </c>
      <c r="I366" s="1">
        <v>1.6198922195100001</v>
      </c>
      <c r="J366" s="1">
        <v>0.78455240832299999</v>
      </c>
      <c r="K366" s="1">
        <v>2447.9253870399998</v>
      </c>
      <c r="L366" s="1">
        <v>648.72677263200001</v>
      </c>
      <c r="M366" s="1" t="s">
        <v>198</v>
      </c>
      <c r="N366" s="1" t="b">
        <v>1</v>
      </c>
    </row>
    <row r="367" spans="1:14" ht="19" customHeight="1" x14ac:dyDescent="0.3">
      <c r="A367">
        <v>362</v>
      </c>
      <c r="B367" s="1">
        <v>2</v>
      </c>
      <c r="C367" s="1">
        <v>30</v>
      </c>
      <c r="D367" s="1">
        <v>5.5E-2</v>
      </c>
      <c r="E367" s="1">
        <v>0.04</v>
      </c>
      <c r="F367" s="1">
        <v>-5</v>
      </c>
      <c r="G367" s="1">
        <v>1</v>
      </c>
      <c r="H367" s="1">
        <v>1.3405617633</v>
      </c>
      <c r="I367" s="1">
        <v>1.2149191646299999</v>
      </c>
      <c r="J367" s="1">
        <v>0.64333297482499996</v>
      </c>
      <c r="K367" s="1">
        <v>2113.0632922899999</v>
      </c>
      <c r="L367" s="1">
        <v>531.95595355800003</v>
      </c>
      <c r="M367" s="1" t="s">
        <v>198</v>
      </c>
      <c r="N367" s="1" t="b">
        <v>1</v>
      </c>
    </row>
    <row r="368" spans="1:14" ht="19" customHeight="1" x14ac:dyDescent="0.3">
      <c r="A368">
        <v>363</v>
      </c>
      <c r="B368" s="1">
        <v>2</v>
      </c>
      <c r="C368" s="1">
        <v>30</v>
      </c>
      <c r="D368" s="1">
        <v>5.5E-2</v>
      </c>
      <c r="E368" s="1">
        <v>0.04</v>
      </c>
      <c r="F368" s="1">
        <v>0</v>
      </c>
      <c r="G368" s="1">
        <v>0</v>
      </c>
      <c r="H368" s="1">
        <v>1.3710662920300001</v>
      </c>
      <c r="I368" s="1">
        <v>1.6567529223099999</v>
      </c>
      <c r="J368" s="1">
        <v>0.77705240832300004</v>
      </c>
      <c r="K368" s="1">
        <v>2503.6280128499998</v>
      </c>
      <c r="L368" s="1">
        <v>642.52521013199998</v>
      </c>
      <c r="M368" s="1" t="s">
        <v>198</v>
      </c>
      <c r="N368" s="1" t="b">
        <v>1</v>
      </c>
    </row>
    <row r="369" spans="1:14" ht="19" customHeight="1" x14ac:dyDescent="0.3">
      <c r="A369">
        <v>364</v>
      </c>
      <c r="B369" s="1">
        <v>2</v>
      </c>
      <c r="C369" s="1">
        <v>30</v>
      </c>
      <c r="D369" s="1">
        <v>5.5E-2</v>
      </c>
      <c r="E369" s="1">
        <v>0.04</v>
      </c>
      <c r="F369" s="1">
        <v>0</v>
      </c>
      <c r="G369" s="1">
        <v>1</v>
      </c>
      <c r="H369" s="1">
        <v>1.3710662920300001</v>
      </c>
      <c r="I369" s="1">
        <v>1.2425646917299999</v>
      </c>
      <c r="J369" s="1">
        <v>0.63718297482499997</v>
      </c>
      <c r="K369" s="1">
        <v>2161.14611969</v>
      </c>
      <c r="L369" s="1">
        <v>526.87067230800005</v>
      </c>
      <c r="M369" s="1" t="s">
        <v>198</v>
      </c>
      <c r="N369" s="1" t="b">
        <v>1</v>
      </c>
    </row>
    <row r="370" spans="1:14" ht="19" customHeight="1" x14ac:dyDescent="0.3">
      <c r="A370">
        <v>365</v>
      </c>
      <c r="B370" s="1">
        <v>2</v>
      </c>
      <c r="C370" s="1">
        <v>30</v>
      </c>
      <c r="D370" s="1">
        <v>5.5E-2</v>
      </c>
      <c r="E370" s="1">
        <v>0.04</v>
      </c>
      <c r="F370" s="1">
        <v>5</v>
      </c>
      <c r="G370" s="1">
        <v>0</v>
      </c>
      <c r="H370" s="1">
        <v>1.3405617633</v>
      </c>
      <c r="I370" s="1">
        <v>1.6198922195100001</v>
      </c>
      <c r="J370" s="1">
        <v>0.78455240832299999</v>
      </c>
      <c r="K370" s="1">
        <v>2447.9253870399998</v>
      </c>
      <c r="L370" s="1">
        <v>648.72677263200001</v>
      </c>
      <c r="M370" s="1" t="s">
        <v>198</v>
      </c>
      <c r="N370" s="1" t="b">
        <v>1</v>
      </c>
    </row>
    <row r="371" spans="1:14" ht="19" customHeight="1" x14ac:dyDescent="0.3">
      <c r="A371">
        <v>366</v>
      </c>
      <c r="B371" s="1">
        <v>2</v>
      </c>
      <c r="C371" s="1">
        <v>30</v>
      </c>
      <c r="D371" s="1">
        <v>5.5E-2</v>
      </c>
      <c r="E371" s="1">
        <v>0.04</v>
      </c>
      <c r="F371" s="1">
        <v>5</v>
      </c>
      <c r="G371" s="1">
        <v>1</v>
      </c>
      <c r="H371" s="1">
        <v>1.3405617633</v>
      </c>
      <c r="I371" s="1">
        <v>1.2149191646299999</v>
      </c>
      <c r="J371" s="1">
        <v>0.64333297482499996</v>
      </c>
      <c r="K371" s="1">
        <v>2113.0632922899999</v>
      </c>
      <c r="L371" s="1">
        <v>531.95595355800003</v>
      </c>
      <c r="M371" s="1" t="s">
        <v>198</v>
      </c>
      <c r="N371" s="1" t="b">
        <v>1</v>
      </c>
    </row>
    <row r="372" spans="1:14" ht="19" customHeight="1" x14ac:dyDescent="0.3">
      <c r="A372">
        <v>367</v>
      </c>
      <c r="B372" s="1">
        <v>2</v>
      </c>
      <c r="C372" s="1">
        <v>30</v>
      </c>
      <c r="D372" s="1">
        <v>5.5E-2</v>
      </c>
      <c r="E372" s="1">
        <v>0.06</v>
      </c>
      <c r="F372" s="1">
        <v>-5</v>
      </c>
      <c r="G372" s="1">
        <v>0</v>
      </c>
      <c r="H372" s="1">
        <v>1.36819136301</v>
      </c>
      <c r="I372" s="1">
        <v>1.6613366190700001</v>
      </c>
      <c r="J372" s="1">
        <v>0.78702501063999997</v>
      </c>
      <c r="K372" s="1">
        <v>2505.04095018</v>
      </c>
      <c r="L372" s="1">
        <v>650.77130567300003</v>
      </c>
      <c r="M372" s="1" t="s">
        <v>198</v>
      </c>
      <c r="N372" s="1" t="b">
        <v>1</v>
      </c>
    </row>
    <row r="373" spans="1:14" ht="19" customHeight="1" x14ac:dyDescent="0.3">
      <c r="A373">
        <v>368</v>
      </c>
      <c r="B373" s="1">
        <v>2</v>
      </c>
      <c r="C373" s="1">
        <v>30</v>
      </c>
      <c r="D373" s="1">
        <v>5.5E-2</v>
      </c>
      <c r="E373" s="1">
        <v>0.06</v>
      </c>
      <c r="F373" s="1">
        <v>-5</v>
      </c>
      <c r="G373" s="1">
        <v>1</v>
      </c>
      <c r="H373" s="1">
        <v>1.36819136301</v>
      </c>
      <c r="I373" s="1">
        <v>1.2460024643000001</v>
      </c>
      <c r="J373" s="1">
        <v>0.64536050872499995</v>
      </c>
      <c r="K373" s="1">
        <v>2161.6115209599998</v>
      </c>
      <c r="L373" s="1">
        <v>533.63247065200005</v>
      </c>
      <c r="M373" s="1" t="s">
        <v>198</v>
      </c>
      <c r="N373" s="1" t="b">
        <v>1</v>
      </c>
    </row>
    <row r="374" spans="1:14" ht="19" customHeight="1" x14ac:dyDescent="0.3">
      <c r="A374">
        <v>369</v>
      </c>
      <c r="B374" s="1">
        <v>2</v>
      </c>
      <c r="C374" s="1">
        <v>30</v>
      </c>
      <c r="D374" s="1">
        <v>5.5E-2</v>
      </c>
      <c r="E374" s="1">
        <v>0.06</v>
      </c>
      <c r="F374" s="1">
        <v>0</v>
      </c>
      <c r="G374" s="1">
        <v>0</v>
      </c>
      <c r="H374" s="1">
        <v>1.39932460422</v>
      </c>
      <c r="I374" s="1">
        <v>1.6991403906</v>
      </c>
      <c r="J374" s="1">
        <v>0.77952501064000002</v>
      </c>
      <c r="K374" s="1">
        <v>2562.0432425899999</v>
      </c>
      <c r="L374" s="1">
        <v>644.56974317300001</v>
      </c>
      <c r="M374" s="1" t="s">
        <v>198</v>
      </c>
      <c r="N374" s="1" t="b">
        <v>1</v>
      </c>
    </row>
    <row r="375" spans="1:14" ht="19" customHeight="1" x14ac:dyDescent="0.3">
      <c r="A375">
        <v>370</v>
      </c>
      <c r="B375" s="1">
        <v>2</v>
      </c>
      <c r="C375" s="1">
        <v>30</v>
      </c>
      <c r="D375" s="1">
        <v>5.5E-2</v>
      </c>
      <c r="E375" s="1">
        <v>0.06</v>
      </c>
      <c r="F375" s="1">
        <v>0</v>
      </c>
      <c r="G375" s="1">
        <v>1</v>
      </c>
      <c r="H375" s="1">
        <v>1.39932460422</v>
      </c>
      <c r="I375" s="1">
        <v>1.2743552929499999</v>
      </c>
      <c r="J375" s="1">
        <v>0.63921050872499996</v>
      </c>
      <c r="K375" s="1">
        <v>2210.79906497</v>
      </c>
      <c r="L375" s="1">
        <v>528.54718940199996</v>
      </c>
      <c r="M375" s="1" t="s">
        <v>198</v>
      </c>
      <c r="N375" s="1" t="b">
        <v>1</v>
      </c>
    </row>
    <row r="376" spans="1:14" ht="19" customHeight="1" x14ac:dyDescent="0.3">
      <c r="A376">
        <v>371</v>
      </c>
      <c r="B376" s="1">
        <v>2</v>
      </c>
      <c r="C376" s="1">
        <v>30</v>
      </c>
      <c r="D376" s="1">
        <v>5.5E-2</v>
      </c>
      <c r="E376" s="1">
        <v>0.06</v>
      </c>
      <c r="F376" s="1">
        <v>5</v>
      </c>
      <c r="G376" s="1">
        <v>0</v>
      </c>
      <c r="H376" s="1">
        <v>1.36819136301</v>
      </c>
      <c r="I376" s="1">
        <v>1.6613366190700001</v>
      </c>
      <c r="J376" s="1">
        <v>0.78702501063999997</v>
      </c>
      <c r="K376" s="1">
        <v>2505.04095018</v>
      </c>
      <c r="L376" s="1">
        <v>650.77130567300003</v>
      </c>
      <c r="M376" s="1" t="s">
        <v>198</v>
      </c>
      <c r="N376" s="1" t="b">
        <v>1</v>
      </c>
    </row>
    <row r="377" spans="1:14" ht="19" customHeight="1" x14ac:dyDescent="0.3">
      <c r="A377">
        <v>372</v>
      </c>
      <c r="B377" s="1">
        <v>2</v>
      </c>
      <c r="C377" s="1">
        <v>30</v>
      </c>
      <c r="D377" s="1">
        <v>5.5E-2</v>
      </c>
      <c r="E377" s="1">
        <v>0.06</v>
      </c>
      <c r="F377" s="1">
        <v>5</v>
      </c>
      <c r="G377" s="1">
        <v>1</v>
      </c>
      <c r="H377" s="1">
        <v>1.36819136301</v>
      </c>
      <c r="I377" s="1">
        <v>1.2460024643000001</v>
      </c>
      <c r="J377" s="1">
        <v>0.64536050872499995</v>
      </c>
      <c r="K377" s="1">
        <v>2161.6115209599998</v>
      </c>
      <c r="L377" s="1">
        <v>533.63247065200005</v>
      </c>
      <c r="M377" s="1" t="s">
        <v>198</v>
      </c>
      <c r="N377" s="1" t="b">
        <v>1</v>
      </c>
    </row>
    <row r="378" spans="1:14" ht="19" customHeight="1" x14ac:dyDescent="0.3">
      <c r="A378">
        <v>373</v>
      </c>
      <c r="B378" s="1">
        <v>2</v>
      </c>
      <c r="C378" s="1">
        <v>30</v>
      </c>
      <c r="D378" s="1">
        <v>5.5E-2</v>
      </c>
      <c r="E378" s="1">
        <v>8.5000000000000006E-2</v>
      </c>
      <c r="F378" s="1">
        <v>-5</v>
      </c>
      <c r="G378" s="1">
        <v>0</v>
      </c>
      <c r="H378" s="1">
        <v>1.2975568175000001</v>
      </c>
      <c r="I378" s="1">
        <v>1.5553848008</v>
      </c>
      <c r="J378" s="1">
        <v>0.78070384990200004</v>
      </c>
      <c r="K378" s="1">
        <v>2359.0261006300002</v>
      </c>
      <c r="L378" s="1">
        <v>645.54449588700004</v>
      </c>
      <c r="M378" s="1" t="s">
        <v>198</v>
      </c>
      <c r="N378" s="1" t="b">
        <v>1</v>
      </c>
    </row>
    <row r="379" spans="1:14" ht="19" customHeight="1" x14ac:dyDescent="0.3">
      <c r="A379">
        <v>374</v>
      </c>
      <c r="B379" s="1">
        <v>2</v>
      </c>
      <c r="C379" s="1">
        <v>30</v>
      </c>
      <c r="D379" s="1">
        <v>5.5E-2</v>
      </c>
      <c r="E379" s="1">
        <v>8.5000000000000006E-2</v>
      </c>
      <c r="F379" s="1">
        <v>-5</v>
      </c>
      <c r="G379" s="1">
        <v>1</v>
      </c>
      <c r="H379" s="1">
        <v>1.2975568175000001</v>
      </c>
      <c r="I379" s="1">
        <v>1.1665386006</v>
      </c>
      <c r="J379" s="1">
        <v>0.64017715691900001</v>
      </c>
      <c r="K379" s="1">
        <v>2037.49889884</v>
      </c>
      <c r="L379" s="1">
        <v>529.34648662799998</v>
      </c>
      <c r="M379" s="1" t="s">
        <v>198</v>
      </c>
      <c r="N379" s="1" t="b">
        <v>1</v>
      </c>
    </row>
    <row r="380" spans="1:14" ht="19" customHeight="1" x14ac:dyDescent="0.3">
      <c r="A380">
        <v>375</v>
      </c>
      <c r="B380" s="1">
        <v>2</v>
      </c>
      <c r="C380" s="1">
        <v>30</v>
      </c>
      <c r="D380" s="1">
        <v>5.5E-2</v>
      </c>
      <c r="E380" s="1">
        <v>8.5000000000000006E-2</v>
      </c>
      <c r="F380" s="1">
        <v>0</v>
      </c>
      <c r="G380" s="1">
        <v>0</v>
      </c>
      <c r="H380" s="1">
        <v>1.3270827672100001</v>
      </c>
      <c r="I380" s="1">
        <v>1.59077763508</v>
      </c>
      <c r="J380" s="1">
        <v>0.77320384990199997</v>
      </c>
      <c r="K380" s="1">
        <v>2412.7058201499999</v>
      </c>
      <c r="L380" s="1">
        <v>639.34293338700002</v>
      </c>
      <c r="M380" s="1" t="s">
        <v>198</v>
      </c>
      <c r="N380" s="1" t="b">
        <v>1</v>
      </c>
    </row>
    <row r="381" spans="1:14" ht="19" customHeight="1" x14ac:dyDescent="0.3">
      <c r="A381">
        <v>376</v>
      </c>
      <c r="B381" s="1">
        <v>2</v>
      </c>
      <c r="C381" s="1">
        <v>30</v>
      </c>
      <c r="D381" s="1">
        <v>5.5E-2</v>
      </c>
      <c r="E381" s="1">
        <v>8.5000000000000006E-2</v>
      </c>
      <c r="F381" s="1">
        <v>0</v>
      </c>
      <c r="G381" s="1">
        <v>1</v>
      </c>
      <c r="H381" s="1">
        <v>1.3270827672100001</v>
      </c>
      <c r="I381" s="1">
        <v>1.19308322631</v>
      </c>
      <c r="J381" s="1">
        <v>0.63402715691900002</v>
      </c>
      <c r="K381" s="1">
        <v>2083.8622558900001</v>
      </c>
      <c r="L381" s="1">
        <v>524.261205378</v>
      </c>
      <c r="M381" s="1" t="s">
        <v>198</v>
      </c>
      <c r="N381" s="1" t="b">
        <v>1</v>
      </c>
    </row>
    <row r="382" spans="1:14" ht="19" customHeight="1" x14ac:dyDescent="0.3">
      <c r="A382">
        <v>377</v>
      </c>
      <c r="B382" s="1">
        <v>2</v>
      </c>
      <c r="C382" s="1">
        <v>30</v>
      </c>
      <c r="D382" s="1">
        <v>5.5E-2</v>
      </c>
      <c r="E382" s="1">
        <v>8.5000000000000006E-2</v>
      </c>
      <c r="F382" s="1">
        <v>5</v>
      </c>
      <c r="G382" s="1">
        <v>0</v>
      </c>
      <c r="H382" s="1">
        <v>1.2975568175000001</v>
      </c>
      <c r="I382" s="1">
        <v>1.5553848008</v>
      </c>
      <c r="J382" s="1">
        <v>0.78070384990200004</v>
      </c>
      <c r="K382" s="1">
        <v>2359.0261006300002</v>
      </c>
      <c r="L382" s="1">
        <v>645.54449588700004</v>
      </c>
      <c r="M382" s="1" t="s">
        <v>198</v>
      </c>
      <c r="N382" s="1" t="b">
        <v>1</v>
      </c>
    </row>
    <row r="383" spans="1:14" ht="19" customHeight="1" x14ac:dyDescent="0.3">
      <c r="A383">
        <v>378</v>
      </c>
      <c r="B383" s="1">
        <v>2</v>
      </c>
      <c r="C383" s="1">
        <v>30</v>
      </c>
      <c r="D383" s="1">
        <v>5.5E-2</v>
      </c>
      <c r="E383" s="1">
        <v>8.5000000000000006E-2</v>
      </c>
      <c r="F383" s="1">
        <v>5</v>
      </c>
      <c r="G383" s="1">
        <v>1</v>
      </c>
      <c r="H383" s="1">
        <v>1.2975568175000001</v>
      </c>
      <c r="I383" s="1">
        <v>1.1665386006</v>
      </c>
      <c r="J383" s="1">
        <v>0.64017715691900001</v>
      </c>
      <c r="K383" s="1">
        <v>2037.49889884</v>
      </c>
      <c r="L383" s="1">
        <v>529.34648662799998</v>
      </c>
      <c r="M383" s="1" t="s">
        <v>198</v>
      </c>
      <c r="N383" s="1" t="b">
        <v>1</v>
      </c>
    </row>
    <row r="384" spans="1:14" ht="19" customHeight="1" x14ac:dyDescent="0.3">
      <c r="A384">
        <v>379</v>
      </c>
      <c r="B384" s="1">
        <v>2</v>
      </c>
      <c r="C384" s="1">
        <v>50</v>
      </c>
      <c r="D384" s="1">
        <v>2.5000000000000001E-2</v>
      </c>
      <c r="E384" s="1">
        <v>0.04</v>
      </c>
      <c r="F384" s="1">
        <v>-5</v>
      </c>
      <c r="G384" s="1">
        <v>0</v>
      </c>
      <c r="H384" s="1">
        <v>1.4744580519099999</v>
      </c>
      <c r="I384" s="1">
        <v>1.8207366524299999</v>
      </c>
      <c r="J384" s="1">
        <v>0.79653492985600005</v>
      </c>
      <c r="K384" s="1">
        <v>7568.6503365299995</v>
      </c>
      <c r="L384" s="1">
        <v>1829.54116701</v>
      </c>
      <c r="M384" s="1" t="s">
        <v>198</v>
      </c>
      <c r="N384" s="1" t="b">
        <v>1</v>
      </c>
    </row>
    <row r="385" spans="1:14" ht="19" customHeight="1" x14ac:dyDescent="0.3">
      <c r="A385">
        <v>380</v>
      </c>
      <c r="B385" s="1">
        <v>2</v>
      </c>
      <c r="C385" s="1">
        <v>50</v>
      </c>
      <c r="D385" s="1">
        <v>2.5000000000000001E-2</v>
      </c>
      <c r="E385" s="1">
        <v>0.04</v>
      </c>
      <c r="F385" s="1">
        <v>-5</v>
      </c>
      <c r="G385" s="1">
        <v>1</v>
      </c>
      <c r="H385" s="1">
        <v>1.4744580519099999</v>
      </c>
      <c r="I385" s="1">
        <v>1.36555248932</v>
      </c>
      <c r="J385" s="1">
        <v>0.65315864248199995</v>
      </c>
      <c r="K385" s="1">
        <v>6523.1492118899996</v>
      </c>
      <c r="L385" s="1">
        <v>1500.2237569500001</v>
      </c>
      <c r="M385" s="1" t="s">
        <v>198</v>
      </c>
      <c r="N385" s="1" t="b">
        <v>1</v>
      </c>
    </row>
    <row r="386" spans="1:14" ht="19" customHeight="1" x14ac:dyDescent="0.3">
      <c r="A386">
        <v>381</v>
      </c>
      <c r="B386" s="1">
        <v>2</v>
      </c>
      <c r="C386" s="1">
        <v>50</v>
      </c>
      <c r="D386" s="1">
        <v>2.5000000000000001E-2</v>
      </c>
      <c r="E386" s="1">
        <v>0.04</v>
      </c>
      <c r="F386" s="1">
        <v>0</v>
      </c>
      <c r="G386" s="1">
        <v>0</v>
      </c>
      <c r="H386" s="1">
        <v>1.50800939526</v>
      </c>
      <c r="I386" s="1">
        <v>1.8621675771599999</v>
      </c>
      <c r="J386" s="1">
        <v>0.78903492985599999</v>
      </c>
      <c r="K386" s="1">
        <v>7740.8752335099998</v>
      </c>
      <c r="L386" s="1">
        <v>1812.31460451</v>
      </c>
      <c r="M386" s="1" t="s">
        <v>198</v>
      </c>
      <c r="N386" s="1" t="b">
        <v>1</v>
      </c>
    </row>
    <row r="387" spans="1:14" ht="19" customHeight="1" x14ac:dyDescent="0.3">
      <c r="A387">
        <v>382</v>
      </c>
      <c r="B387" s="1">
        <v>2</v>
      </c>
      <c r="C387" s="1">
        <v>50</v>
      </c>
      <c r="D387" s="1">
        <v>2.5000000000000001E-2</v>
      </c>
      <c r="E387" s="1">
        <v>0.04</v>
      </c>
      <c r="F387" s="1">
        <v>0</v>
      </c>
      <c r="G387" s="1">
        <v>1</v>
      </c>
      <c r="H387" s="1">
        <v>1.50800939526</v>
      </c>
      <c r="I387" s="1">
        <v>1.3966256828700001</v>
      </c>
      <c r="J387" s="1">
        <v>0.64700864248199996</v>
      </c>
      <c r="K387" s="1">
        <v>6671.5836950700004</v>
      </c>
      <c r="L387" s="1">
        <v>1486.0979757</v>
      </c>
      <c r="M387" s="1" t="s">
        <v>198</v>
      </c>
      <c r="N387" s="1" t="b">
        <v>1</v>
      </c>
    </row>
    <row r="388" spans="1:14" ht="19" customHeight="1" x14ac:dyDescent="0.3">
      <c r="A388">
        <v>383</v>
      </c>
      <c r="B388" s="1">
        <v>2</v>
      </c>
      <c r="C388" s="1">
        <v>50</v>
      </c>
      <c r="D388" s="1">
        <v>2.5000000000000001E-2</v>
      </c>
      <c r="E388" s="1">
        <v>0.04</v>
      </c>
      <c r="F388" s="1">
        <v>5</v>
      </c>
      <c r="G388" s="1">
        <v>0</v>
      </c>
      <c r="H388" s="1">
        <v>1.4744580519099999</v>
      </c>
      <c r="I388" s="1">
        <v>1.8207366524299999</v>
      </c>
      <c r="J388" s="1">
        <v>0.79653492985600005</v>
      </c>
      <c r="K388" s="1">
        <v>7568.6503365299995</v>
      </c>
      <c r="L388" s="1">
        <v>1829.54116701</v>
      </c>
      <c r="M388" s="1" t="s">
        <v>198</v>
      </c>
      <c r="N388" s="1" t="b">
        <v>1</v>
      </c>
    </row>
    <row r="389" spans="1:14" ht="19" customHeight="1" x14ac:dyDescent="0.3">
      <c r="A389">
        <v>384</v>
      </c>
      <c r="B389" s="1">
        <v>2</v>
      </c>
      <c r="C389" s="1">
        <v>50</v>
      </c>
      <c r="D389" s="1">
        <v>2.5000000000000001E-2</v>
      </c>
      <c r="E389" s="1">
        <v>0.04</v>
      </c>
      <c r="F389" s="1">
        <v>5</v>
      </c>
      <c r="G389" s="1">
        <v>1</v>
      </c>
      <c r="H389" s="1">
        <v>1.4744580519099999</v>
      </c>
      <c r="I389" s="1">
        <v>1.36555248932</v>
      </c>
      <c r="J389" s="1">
        <v>0.65315864248199995</v>
      </c>
      <c r="K389" s="1">
        <v>6523.1492118899996</v>
      </c>
      <c r="L389" s="1">
        <v>1500.2237569500001</v>
      </c>
      <c r="M389" s="1" t="s">
        <v>198</v>
      </c>
      <c r="N389" s="1" t="b">
        <v>1</v>
      </c>
    </row>
    <row r="390" spans="1:14" ht="19" customHeight="1" x14ac:dyDescent="0.3">
      <c r="A390">
        <v>385</v>
      </c>
      <c r="B390" s="1">
        <v>2</v>
      </c>
      <c r="C390" s="1">
        <v>50</v>
      </c>
      <c r="D390" s="1">
        <v>2.5000000000000001E-2</v>
      </c>
      <c r="E390" s="1">
        <v>0.06</v>
      </c>
      <c r="F390" s="1">
        <v>-5</v>
      </c>
      <c r="G390" s="1">
        <v>0</v>
      </c>
      <c r="H390" s="1">
        <v>1.51507306555</v>
      </c>
      <c r="I390" s="1">
        <v>1.8816591728800001</v>
      </c>
      <c r="J390" s="1">
        <v>0.80016961070100001</v>
      </c>
      <c r="K390" s="1">
        <v>7801.86936014</v>
      </c>
      <c r="L390" s="1">
        <v>1837.88957458</v>
      </c>
      <c r="M390" s="1" t="s">
        <v>198</v>
      </c>
      <c r="N390" s="1" t="b">
        <v>1</v>
      </c>
    </row>
    <row r="391" spans="1:14" ht="19" customHeight="1" x14ac:dyDescent="0.3">
      <c r="A391">
        <v>386</v>
      </c>
      <c r="B391" s="1">
        <v>2</v>
      </c>
      <c r="C391" s="1">
        <v>50</v>
      </c>
      <c r="D391" s="1">
        <v>2.5000000000000001E-2</v>
      </c>
      <c r="E391" s="1">
        <v>0.06</v>
      </c>
      <c r="F391" s="1">
        <v>-5</v>
      </c>
      <c r="G391" s="1">
        <v>1</v>
      </c>
      <c r="H391" s="1">
        <v>1.51507306555</v>
      </c>
      <c r="I391" s="1">
        <v>1.41124437966</v>
      </c>
      <c r="J391" s="1">
        <v>0.65613908077500005</v>
      </c>
      <c r="K391" s="1">
        <v>6721.3853819599999</v>
      </c>
      <c r="L391" s="1">
        <v>1507.0694511500001</v>
      </c>
      <c r="M391" s="1" t="s">
        <v>198</v>
      </c>
      <c r="N391" s="1" t="b">
        <v>1</v>
      </c>
    </row>
    <row r="392" spans="1:14" ht="19" customHeight="1" x14ac:dyDescent="0.3">
      <c r="A392">
        <v>387</v>
      </c>
      <c r="B392" s="1">
        <v>2</v>
      </c>
      <c r="C392" s="1">
        <v>50</v>
      </c>
      <c r="D392" s="1">
        <v>2.5000000000000001E-2</v>
      </c>
      <c r="E392" s="1">
        <v>0.06</v>
      </c>
      <c r="F392" s="1">
        <v>0</v>
      </c>
      <c r="G392" s="1">
        <v>0</v>
      </c>
      <c r="H392" s="1">
        <v>1.54954860492</v>
      </c>
      <c r="I392" s="1">
        <v>1.9244763916400001</v>
      </c>
      <c r="J392" s="1">
        <v>0.79266961070099995</v>
      </c>
      <c r="K392" s="1">
        <v>7979.4011639700002</v>
      </c>
      <c r="L392" s="1">
        <v>1820.66301208</v>
      </c>
      <c r="M392" s="1" t="s">
        <v>198</v>
      </c>
      <c r="N392" s="1" t="b">
        <v>1</v>
      </c>
    </row>
    <row r="393" spans="1:14" ht="19" customHeight="1" x14ac:dyDescent="0.3">
      <c r="A393">
        <v>388</v>
      </c>
      <c r="B393" s="1">
        <v>2</v>
      </c>
      <c r="C393" s="1">
        <v>50</v>
      </c>
      <c r="D393" s="1">
        <v>2.5000000000000001E-2</v>
      </c>
      <c r="E393" s="1">
        <v>0.06</v>
      </c>
      <c r="F393" s="1">
        <v>0</v>
      </c>
      <c r="G393" s="1">
        <v>1</v>
      </c>
      <c r="H393" s="1">
        <v>1.54954860492</v>
      </c>
      <c r="I393" s="1">
        <v>1.4433572937300001</v>
      </c>
      <c r="J393" s="1">
        <v>0.64998908077499995</v>
      </c>
      <c r="K393" s="1">
        <v>6874.3307359600003</v>
      </c>
      <c r="L393" s="1">
        <v>1492.9436699</v>
      </c>
      <c r="M393" s="1" t="s">
        <v>198</v>
      </c>
      <c r="N393" s="1" t="b">
        <v>1</v>
      </c>
    </row>
    <row r="394" spans="1:14" ht="19" customHeight="1" x14ac:dyDescent="0.3">
      <c r="A394">
        <v>389</v>
      </c>
      <c r="B394" s="1">
        <v>2</v>
      </c>
      <c r="C394" s="1">
        <v>50</v>
      </c>
      <c r="D394" s="1">
        <v>2.5000000000000001E-2</v>
      </c>
      <c r="E394" s="1">
        <v>0.06</v>
      </c>
      <c r="F394" s="1">
        <v>5</v>
      </c>
      <c r="G394" s="1">
        <v>0</v>
      </c>
      <c r="H394" s="1">
        <v>1.51507306555</v>
      </c>
      <c r="I394" s="1">
        <v>1.8816591728800001</v>
      </c>
      <c r="J394" s="1">
        <v>0.80016961070100001</v>
      </c>
      <c r="K394" s="1">
        <v>7801.86936014</v>
      </c>
      <c r="L394" s="1">
        <v>1837.88957458</v>
      </c>
      <c r="M394" s="1" t="s">
        <v>198</v>
      </c>
      <c r="N394" s="1" t="b">
        <v>1</v>
      </c>
    </row>
    <row r="395" spans="1:14" ht="19" customHeight="1" x14ac:dyDescent="0.3">
      <c r="A395">
        <v>390</v>
      </c>
      <c r="B395" s="1">
        <v>2</v>
      </c>
      <c r="C395" s="1">
        <v>50</v>
      </c>
      <c r="D395" s="1">
        <v>2.5000000000000001E-2</v>
      </c>
      <c r="E395" s="1">
        <v>0.06</v>
      </c>
      <c r="F395" s="1">
        <v>5</v>
      </c>
      <c r="G395" s="1">
        <v>1</v>
      </c>
      <c r="H395" s="1">
        <v>1.51507306555</v>
      </c>
      <c r="I395" s="1">
        <v>1.41124437966</v>
      </c>
      <c r="J395" s="1">
        <v>0.65613908077500005</v>
      </c>
      <c r="K395" s="1">
        <v>6721.3853819599999</v>
      </c>
      <c r="L395" s="1">
        <v>1507.0694511500001</v>
      </c>
      <c r="M395" s="1" t="s">
        <v>198</v>
      </c>
      <c r="N395" s="1" t="b">
        <v>1</v>
      </c>
    </row>
    <row r="396" spans="1:14" ht="19" customHeight="1" x14ac:dyDescent="0.3">
      <c r="A396">
        <v>391</v>
      </c>
      <c r="B396" s="1">
        <v>2</v>
      </c>
      <c r="C396" s="1">
        <v>50</v>
      </c>
      <c r="D396" s="1">
        <v>2.5000000000000001E-2</v>
      </c>
      <c r="E396" s="1">
        <v>8.5000000000000006E-2</v>
      </c>
      <c r="F396" s="1">
        <v>-5</v>
      </c>
      <c r="G396" s="1">
        <v>0</v>
      </c>
      <c r="H396" s="1">
        <v>1.4112415566100001</v>
      </c>
      <c r="I396" s="1">
        <v>1.7259119094599999</v>
      </c>
      <c r="J396" s="1">
        <v>0.79087761833400005</v>
      </c>
      <c r="K396" s="1">
        <v>7205.6493673699997</v>
      </c>
      <c r="L396" s="1">
        <v>1816.54702961</v>
      </c>
      <c r="M396" s="1" t="s">
        <v>198</v>
      </c>
      <c r="N396" s="1" t="b">
        <v>1</v>
      </c>
    </row>
    <row r="397" spans="1:14" ht="19" customHeight="1" x14ac:dyDescent="0.3">
      <c r="A397">
        <v>392</v>
      </c>
      <c r="B397" s="1">
        <v>2</v>
      </c>
      <c r="C397" s="1">
        <v>50</v>
      </c>
      <c r="D397" s="1">
        <v>2.5000000000000001E-2</v>
      </c>
      <c r="E397" s="1">
        <v>8.5000000000000006E-2</v>
      </c>
      <c r="F397" s="1">
        <v>-5</v>
      </c>
      <c r="G397" s="1">
        <v>1</v>
      </c>
      <c r="H397" s="1">
        <v>1.4112415566100001</v>
      </c>
      <c r="I397" s="1">
        <v>1.2944339321</v>
      </c>
      <c r="J397" s="1">
        <v>0.648519647034</v>
      </c>
      <c r="K397" s="1">
        <v>6214.5983881100001</v>
      </c>
      <c r="L397" s="1">
        <v>1489.5685642799999</v>
      </c>
      <c r="M397" s="1" t="s">
        <v>198</v>
      </c>
      <c r="N397" s="1" t="b">
        <v>1</v>
      </c>
    </row>
    <row r="398" spans="1:14" ht="19" customHeight="1" x14ac:dyDescent="0.3">
      <c r="A398">
        <v>393</v>
      </c>
      <c r="B398" s="1">
        <v>2</v>
      </c>
      <c r="C398" s="1">
        <v>50</v>
      </c>
      <c r="D398" s="1">
        <v>2.5000000000000001E-2</v>
      </c>
      <c r="E398" s="1">
        <v>8.5000000000000006E-2</v>
      </c>
      <c r="F398" s="1">
        <v>0</v>
      </c>
      <c r="G398" s="1">
        <v>0</v>
      </c>
      <c r="H398" s="1">
        <v>1.4433544064399999</v>
      </c>
      <c r="I398" s="1">
        <v>1.76518509393</v>
      </c>
      <c r="J398" s="1">
        <v>0.78337761833399999</v>
      </c>
      <c r="K398" s="1">
        <v>7369.61416491</v>
      </c>
      <c r="L398" s="1">
        <v>1799.32046711</v>
      </c>
      <c r="M398" s="1" t="s">
        <v>198</v>
      </c>
      <c r="N398" s="1" t="b">
        <v>1</v>
      </c>
    </row>
    <row r="399" spans="1:14" ht="19" customHeight="1" x14ac:dyDescent="0.3">
      <c r="A399">
        <v>394</v>
      </c>
      <c r="B399" s="1">
        <v>2</v>
      </c>
      <c r="C399" s="1">
        <v>50</v>
      </c>
      <c r="D399" s="1">
        <v>2.5000000000000001E-2</v>
      </c>
      <c r="E399" s="1">
        <v>8.5000000000000006E-2</v>
      </c>
      <c r="F399" s="1">
        <v>0</v>
      </c>
      <c r="G399" s="1">
        <v>1</v>
      </c>
      <c r="H399" s="1">
        <v>1.4433544064399999</v>
      </c>
      <c r="I399" s="1">
        <v>1.3238888204499999</v>
      </c>
      <c r="J399" s="1">
        <v>0.64236964703400001</v>
      </c>
      <c r="K399" s="1">
        <v>6356.0117867500003</v>
      </c>
      <c r="L399" s="1">
        <v>1475.4427830300001</v>
      </c>
      <c r="M399" s="1" t="s">
        <v>198</v>
      </c>
      <c r="N399" s="1" t="b">
        <v>1</v>
      </c>
    </row>
    <row r="400" spans="1:14" ht="19" customHeight="1" x14ac:dyDescent="0.3">
      <c r="A400">
        <v>395</v>
      </c>
      <c r="B400" s="1">
        <v>2</v>
      </c>
      <c r="C400" s="1">
        <v>50</v>
      </c>
      <c r="D400" s="1">
        <v>2.5000000000000001E-2</v>
      </c>
      <c r="E400" s="1">
        <v>8.5000000000000006E-2</v>
      </c>
      <c r="F400" s="1">
        <v>5</v>
      </c>
      <c r="G400" s="1">
        <v>0</v>
      </c>
      <c r="H400" s="1">
        <v>1.4112415566100001</v>
      </c>
      <c r="I400" s="1">
        <v>1.7259119094599999</v>
      </c>
      <c r="J400" s="1">
        <v>0.79087761833400005</v>
      </c>
      <c r="K400" s="1">
        <v>7205.6493673699997</v>
      </c>
      <c r="L400" s="1">
        <v>1816.54702961</v>
      </c>
      <c r="M400" s="1" t="s">
        <v>198</v>
      </c>
      <c r="N400" s="1" t="b">
        <v>1</v>
      </c>
    </row>
    <row r="401" spans="1:14" ht="19" customHeight="1" x14ac:dyDescent="0.3">
      <c r="A401">
        <v>396</v>
      </c>
      <c r="B401" s="1">
        <v>2</v>
      </c>
      <c r="C401" s="1">
        <v>50</v>
      </c>
      <c r="D401" s="1">
        <v>2.5000000000000001E-2</v>
      </c>
      <c r="E401" s="1">
        <v>8.5000000000000006E-2</v>
      </c>
      <c r="F401" s="1">
        <v>5</v>
      </c>
      <c r="G401" s="1">
        <v>1</v>
      </c>
      <c r="H401" s="1">
        <v>1.4112415566100001</v>
      </c>
      <c r="I401" s="1">
        <v>1.2944339321</v>
      </c>
      <c r="J401" s="1">
        <v>0.648519647034</v>
      </c>
      <c r="K401" s="1">
        <v>6214.5983881100001</v>
      </c>
      <c r="L401" s="1">
        <v>1489.5685642799999</v>
      </c>
      <c r="M401" s="1" t="s">
        <v>198</v>
      </c>
      <c r="N401" s="1" t="b">
        <v>1</v>
      </c>
    </row>
    <row r="402" spans="1:14" ht="19" customHeight="1" x14ac:dyDescent="0.3">
      <c r="A402">
        <v>397</v>
      </c>
      <c r="B402" s="1">
        <v>2</v>
      </c>
      <c r="C402" s="1">
        <v>50</v>
      </c>
      <c r="D402" s="1">
        <v>0.04</v>
      </c>
      <c r="E402" s="1">
        <v>0.04</v>
      </c>
      <c r="F402" s="1">
        <v>-5</v>
      </c>
      <c r="G402" s="1">
        <v>0</v>
      </c>
      <c r="H402" s="1">
        <v>1.48044686537</v>
      </c>
      <c r="I402" s="1">
        <v>1.8297198725999999</v>
      </c>
      <c r="J402" s="1">
        <v>0.79707087515300001</v>
      </c>
      <c r="K402" s="1">
        <v>7603.0392262799996</v>
      </c>
      <c r="L402" s="1">
        <v>1830.7721663699999</v>
      </c>
      <c r="M402" s="1" t="s">
        <v>198</v>
      </c>
      <c r="N402" s="1" t="b">
        <v>1</v>
      </c>
    </row>
    <row r="403" spans="1:14" ht="19" customHeight="1" x14ac:dyDescent="0.3">
      <c r="A403">
        <v>398</v>
      </c>
      <c r="B403" s="1">
        <v>2</v>
      </c>
      <c r="C403" s="1">
        <v>50</v>
      </c>
      <c r="D403" s="1">
        <v>0.04</v>
      </c>
      <c r="E403" s="1">
        <v>0.04</v>
      </c>
      <c r="F403" s="1">
        <v>-5</v>
      </c>
      <c r="G403" s="1">
        <v>1</v>
      </c>
      <c r="H403" s="1">
        <v>1.48044686537</v>
      </c>
      <c r="I403" s="1">
        <v>1.3722899044500001</v>
      </c>
      <c r="J403" s="1">
        <v>0.65359811762499997</v>
      </c>
      <c r="K403" s="1">
        <v>6552.3797681799997</v>
      </c>
      <c r="L403" s="1">
        <v>1501.2331764200001</v>
      </c>
      <c r="M403" s="1" t="s">
        <v>198</v>
      </c>
      <c r="N403" s="1" t="b">
        <v>1</v>
      </c>
    </row>
    <row r="404" spans="1:14" ht="19" customHeight="1" x14ac:dyDescent="0.3">
      <c r="A404">
        <v>399</v>
      </c>
      <c r="B404" s="1">
        <v>2</v>
      </c>
      <c r="C404" s="1">
        <v>50</v>
      </c>
      <c r="D404" s="1">
        <v>0.04</v>
      </c>
      <c r="E404" s="1">
        <v>0.04</v>
      </c>
      <c r="F404" s="1">
        <v>0</v>
      </c>
      <c r="G404" s="1">
        <v>0</v>
      </c>
      <c r="H404" s="1">
        <v>1.51413448437</v>
      </c>
      <c r="I404" s="1">
        <v>1.87135521082</v>
      </c>
      <c r="J404" s="1">
        <v>0.78957087515299995</v>
      </c>
      <c r="K404" s="1">
        <v>7776.0466436300003</v>
      </c>
      <c r="L404" s="1">
        <v>1813.5456038699999</v>
      </c>
      <c r="M404" s="1" t="s">
        <v>198</v>
      </c>
      <c r="N404" s="1" t="b">
        <v>1</v>
      </c>
    </row>
    <row r="405" spans="1:14" ht="19" customHeight="1" x14ac:dyDescent="0.3">
      <c r="A405">
        <v>400</v>
      </c>
      <c r="B405" s="1">
        <v>2</v>
      </c>
      <c r="C405" s="1">
        <v>50</v>
      </c>
      <c r="D405" s="1">
        <v>0.04</v>
      </c>
      <c r="E405" s="1">
        <v>0.04</v>
      </c>
      <c r="F405" s="1">
        <v>0</v>
      </c>
      <c r="G405" s="1">
        <v>1</v>
      </c>
      <c r="H405" s="1">
        <v>1.51413448437</v>
      </c>
      <c r="I405" s="1">
        <v>1.40351640811</v>
      </c>
      <c r="J405" s="1">
        <v>0.64744811762499999</v>
      </c>
      <c r="K405" s="1">
        <v>6701.4793936599999</v>
      </c>
      <c r="L405" s="1">
        <v>1487.10739517</v>
      </c>
      <c r="M405" s="1" t="s">
        <v>198</v>
      </c>
      <c r="N405" s="1" t="b">
        <v>1</v>
      </c>
    </row>
    <row r="406" spans="1:14" ht="19" customHeight="1" x14ac:dyDescent="0.3">
      <c r="A406">
        <v>401</v>
      </c>
      <c r="B406" s="1">
        <v>2</v>
      </c>
      <c r="C406" s="1">
        <v>50</v>
      </c>
      <c r="D406" s="1">
        <v>0.04</v>
      </c>
      <c r="E406" s="1">
        <v>0.04</v>
      </c>
      <c r="F406" s="1">
        <v>5</v>
      </c>
      <c r="G406" s="1">
        <v>0</v>
      </c>
      <c r="H406" s="1">
        <v>1.48044686537</v>
      </c>
      <c r="I406" s="1">
        <v>1.8297198725999999</v>
      </c>
      <c r="J406" s="1">
        <v>0.79707087515300001</v>
      </c>
      <c r="K406" s="1">
        <v>7603.0392262799996</v>
      </c>
      <c r="L406" s="1">
        <v>1830.7721663699999</v>
      </c>
      <c r="M406" s="1" t="s">
        <v>198</v>
      </c>
      <c r="N406" s="1" t="b">
        <v>1</v>
      </c>
    </row>
    <row r="407" spans="1:14" ht="19" customHeight="1" x14ac:dyDescent="0.3">
      <c r="A407">
        <v>402</v>
      </c>
      <c r="B407" s="1">
        <v>2</v>
      </c>
      <c r="C407" s="1">
        <v>50</v>
      </c>
      <c r="D407" s="1">
        <v>0.04</v>
      </c>
      <c r="E407" s="1">
        <v>0.04</v>
      </c>
      <c r="F407" s="1">
        <v>5</v>
      </c>
      <c r="G407" s="1">
        <v>1</v>
      </c>
      <c r="H407" s="1">
        <v>1.48044686537</v>
      </c>
      <c r="I407" s="1">
        <v>1.3722899044500001</v>
      </c>
      <c r="J407" s="1">
        <v>0.65359811762499997</v>
      </c>
      <c r="K407" s="1">
        <v>6552.3797681799997</v>
      </c>
      <c r="L407" s="1">
        <v>1501.2331764200001</v>
      </c>
      <c r="M407" s="1" t="s">
        <v>198</v>
      </c>
      <c r="N407" s="1" t="b">
        <v>1</v>
      </c>
    </row>
    <row r="408" spans="1:14" ht="19" customHeight="1" x14ac:dyDescent="0.3">
      <c r="A408">
        <v>403</v>
      </c>
      <c r="B408" s="1">
        <v>2</v>
      </c>
      <c r="C408" s="1">
        <v>50</v>
      </c>
      <c r="D408" s="1">
        <v>0.04</v>
      </c>
      <c r="E408" s="1">
        <v>0.06</v>
      </c>
      <c r="F408" s="1">
        <v>-5</v>
      </c>
      <c r="G408" s="1">
        <v>0</v>
      </c>
      <c r="H408" s="1">
        <v>1.5216426809200001</v>
      </c>
      <c r="I408" s="1">
        <v>1.89151359594</v>
      </c>
      <c r="J408" s="1">
        <v>0.80075753258100002</v>
      </c>
      <c r="K408" s="1">
        <v>7839.5933234200002</v>
      </c>
      <c r="L408" s="1">
        <v>1839.23995765</v>
      </c>
      <c r="M408" s="1" t="s">
        <v>198</v>
      </c>
      <c r="N408" s="1" t="b">
        <v>1</v>
      </c>
    </row>
    <row r="409" spans="1:14" ht="19" customHeight="1" x14ac:dyDescent="0.3">
      <c r="A409">
        <v>404</v>
      </c>
      <c r="B409" s="1">
        <v>2</v>
      </c>
      <c r="C409" s="1">
        <v>50</v>
      </c>
      <c r="D409" s="1">
        <v>0.04</v>
      </c>
      <c r="E409" s="1">
        <v>0.06</v>
      </c>
      <c r="F409" s="1">
        <v>-5</v>
      </c>
      <c r="G409" s="1">
        <v>1</v>
      </c>
      <c r="H409" s="1">
        <v>1.5216426809200001</v>
      </c>
      <c r="I409" s="1">
        <v>1.41863519695</v>
      </c>
      <c r="J409" s="1">
        <v>0.65662117671599995</v>
      </c>
      <c r="K409" s="1">
        <v>6753.4507507500002</v>
      </c>
      <c r="L409" s="1">
        <v>1508.17676527</v>
      </c>
      <c r="M409" s="1" t="s">
        <v>198</v>
      </c>
      <c r="N409" s="1" t="b">
        <v>1</v>
      </c>
    </row>
    <row r="410" spans="1:14" ht="19" customHeight="1" x14ac:dyDescent="0.3">
      <c r="A410">
        <v>405</v>
      </c>
      <c r="B410" s="1">
        <v>2</v>
      </c>
      <c r="C410" s="1">
        <v>50</v>
      </c>
      <c r="D410" s="1">
        <v>0.04</v>
      </c>
      <c r="E410" s="1">
        <v>0.06</v>
      </c>
      <c r="F410" s="1">
        <v>0</v>
      </c>
      <c r="G410" s="1">
        <v>0</v>
      </c>
      <c r="H410" s="1">
        <v>1.5562677121099999</v>
      </c>
      <c r="I410" s="1">
        <v>1.9345550524399999</v>
      </c>
      <c r="J410" s="1">
        <v>0.79325753258099996</v>
      </c>
      <c r="K410" s="1">
        <v>8017.9835373300002</v>
      </c>
      <c r="L410" s="1">
        <v>1822.01339515</v>
      </c>
      <c r="M410" s="1" t="s">
        <v>198</v>
      </c>
      <c r="N410" s="1" t="b">
        <v>1</v>
      </c>
    </row>
    <row r="411" spans="1:14" ht="19" customHeight="1" x14ac:dyDescent="0.3">
      <c r="A411">
        <v>406</v>
      </c>
      <c r="B411" s="1">
        <v>2</v>
      </c>
      <c r="C411" s="1">
        <v>50</v>
      </c>
      <c r="D411" s="1">
        <v>0.04</v>
      </c>
      <c r="E411" s="1">
        <v>0.06</v>
      </c>
      <c r="F411" s="1">
        <v>0</v>
      </c>
      <c r="G411" s="1">
        <v>1</v>
      </c>
      <c r="H411" s="1">
        <v>1.5562677121099999</v>
      </c>
      <c r="I411" s="1">
        <v>1.4509162893300001</v>
      </c>
      <c r="J411" s="1">
        <v>0.65047117671599997</v>
      </c>
      <c r="K411" s="1">
        <v>6907.1257533099997</v>
      </c>
      <c r="L411" s="1">
        <v>1494.05098402</v>
      </c>
      <c r="M411" s="1" t="s">
        <v>198</v>
      </c>
      <c r="N411" s="1" t="b">
        <v>1</v>
      </c>
    </row>
    <row r="412" spans="1:14" ht="19" customHeight="1" x14ac:dyDescent="0.3">
      <c r="A412">
        <v>407</v>
      </c>
      <c r="B412" s="1">
        <v>2</v>
      </c>
      <c r="C412" s="1">
        <v>50</v>
      </c>
      <c r="D412" s="1">
        <v>0.04</v>
      </c>
      <c r="E412" s="1">
        <v>0.06</v>
      </c>
      <c r="F412" s="1">
        <v>5</v>
      </c>
      <c r="G412" s="1">
        <v>0</v>
      </c>
      <c r="H412" s="1">
        <v>1.5216426809200001</v>
      </c>
      <c r="I412" s="1">
        <v>1.89151359594</v>
      </c>
      <c r="J412" s="1">
        <v>0.80075753258100002</v>
      </c>
      <c r="K412" s="1">
        <v>7839.5933234200002</v>
      </c>
      <c r="L412" s="1">
        <v>1839.23995765</v>
      </c>
      <c r="M412" s="1" t="s">
        <v>198</v>
      </c>
      <c r="N412" s="1" t="b">
        <v>1</v>
      </c>
    </row>
    <row r="413" spans="1:14" ht="19" customHeight="1" x14ac:dyDescent="0.3">
      <c r="A413">
        <v>408</v>
      </c>
      <c r="B413" s="1">
        <v>2</v>
      </c>
      <c r="C413" s="1">
        <v>50</v>
      </c>
      <c r="D413" s="1">
        <v>0.04</v>
      </c>
      <c r="E413" s="1">
        <v>0.06</v>
      </c>
      <c r="F413" s="1">
        <v>5</v>
      </c>
      <c r="G413" s="1">
        <v>1</v>
      </c>
      <c r="H413" s="1">
        <v>1.5216426809200001</v>
      </c>
      <c r="I413" s="1">
        <v>1.41863519695</v>
      </c>
      <c r="J413" s="1">
        <v>0.65662117671599995</v>
      </c>
      <c r="K413" s="1">
        <v>6753.4507507500002</v>
      </c>
      <c r="L413" s="1">
        <v>1508.17676527</v>
      </c>
      <c r="M413" s="1" t="s">
        <v>198</v>
      </c>
      <c r="N413" s="1" t="b">
        <v>1</v>
      </c>
    </row>
    <row r="414" spans="1:14" ht="19" customHeight="1" x14ac:dyDescent="0.3">
      <c r="A414">
        <v>409</v>
      </c>
      <c r="B414" s="1">
        <v>2</v>
      </c>
      <c r="C414" s="1">
        <v>50</v>
      </c>
      <c r="D414" s="1">
        <v>0.04</v>
      </c>
      <c r="E414" s="1">
        <v>8.5000000000000006E-2</v>
      </c>
      <c r="F414" s="1">
        <v>-5</v>
      </c>
      <c r="G414" s="1">
        <v>0</v>
      </c>
      <c r="H414" s="1">
        <v>1.41632636293</v>
      </c>
      <c r="I414" s="1">
        <v>1.73353911895</v>
      </c>
      <c r="J414" s="1">
        <v>0.79133266307000005</v>
      </c>
      <c r="K414" s="1">
        <v>7234.8472786800003</v>
      </c>
      <c r="L414" s="1">
        <v>1817.5922104900001</v>
      </c>
      <c r="M414" s="1" t="s">
        <v>198</v>
      </c>
      <c r="N414" s="1" t="b">
        <v>1</v>
      </c>
    </row>
    <row r="415" spans="1:14" ht="19" customHeight="1" x14ac:dyDescent="0.3">
      <c r="A415">
        <v>410</v>
      </c>
      <c r="B415" s="1">
        <v>2</v>
      </c>
      <c r="C415" s="1">
        <v>50</v>
      </c>
      <c r="D415" s="1">
        <v>0.04</v>
      </c>
      <c r="E415" s="1">
        <v>8.5000000000000006E-2</v>
      </c>
      <c r="F415" s="1">
        <v>-5</v>
      </c>
      <c r="G415" s="1">
        <v>1</v>
      </c>
      <c r="H415" s="1">
        <v>1.41632636293</v>
      </c>
      <c r="I415" s="1">
        <v>1.3001543392099999</v>
      </c>
      <c r="J415" s="1">
        <v>0.64889278371699999</v>
      </c>
      <c r="K415" s="1">
        <v>6239.4166127199996</v>
      </c>
      <c r="L415" s="1">
        <v>1490.4256126</v>
      </c>
      <c r="M415" s="1" t="s">
        <v>198</v>
      </c>
      <c r="N415" s="1" t="b">
        <v>1</v>
      </c>
    </row>
    <row r="416" spans="1:14" ht="19" customHeight="1" x14ac:dyDescent="0.3">
      <c r="A416">
        <v>411</v>
      </c>
      <c r="B416" s="1">
        <v>2</v>
      </c>
      <c r="C416" s="1">
        <v>50</v>
      </c>
      <c r="D416" s="1">
        <v>0.04</v>
      </c>
      <c r="E416" s="1">
        <v>8.5000000000000006E-2</v>
      </c>
      <c r="F416" s="1">
        <v>0</v>
      </c>
      <c r="G416" s="1">
        <v>0</v>
      </c>
      <c r="H416" s="1">
        <v>1.4485549177000001</v>
      </c>
      <c r="I416" s="1">
        <v>1.77298586082</v>
      </c>
      <c r="J416" s="1">
        <v>0.78383266306999999</v>
      </c>
      <c r="K416" s="1">
        <v>7399.4764756799996</v>
      </c>
      <c r="L416" s="1">
        <v>1800.3656479900001</v>
      </c>
      <c r="M416" s="1" t="s">
        <v>198</v>
      </c>
      <c r="N416" s="1" t="b">
        <v>1</v>
      </c>
    </row>
    <row r="417" spans="1:14" ht="19" customHeight="1" x14ac:dyDescent="0.3">
      <c r="A417">
        <v>412</v>
      </c>
      <c r="B417" s="1">
        <v>2</v>
      </c>
      <c r="C417" s="1">
        <v>50</v>
      </c>
      <c r="D417" s="1">
        <v>0.04</v>
      </c>
      <c r="E417" s="1">
        <v>8.5000000000000006E-2</v>
      </c>
      <c r="F417" s="1">
        <v>0</v>
      </c>
      <c r="G417" s="1">
        <v>1</v>
      </c>
      <c r="H417" s="1">
        <v>1.4485549177000001</v>
      </c>
      <c r="I417" s="1">
        <v>1.3297393956200001</v>
      </c>
      <c r="J417" s="1">
        <v>0.642742783717</v>
      </c>
      <c r="K417" s="1">
        <v>6381.3947509099999</v>
      </c>
      <c r="L417" s="1">
        <v>1476.29983135</v>
      </c>
      <c r="M417" s="1" t="s">
        <v>198</v>
      </c>
      <c r="N417" s="1" t="b">
        <v>1</v>
      </c>
    </row>
    <row r="418" spans="1:14" ht="19" customHeight="1" x14ac:dyDescent="0.3">
      <c r="A418">
        <v>413</v>
      </c>
      <c r="B418" s="1">
        <v>2</v>
      </c>
      <c r="C418" s="1">
        <v>50</v>
      </c>
      <c r="D418" s="1">
        <v>0.04</v>
      </c>
      <c r="E418" s="1">
        <v>8.5000000000000006E-2</v>
      </c>
      <c r="F418" s="1">
        <v>5</v>
      </c>
      <c r="G418" s="1">
        <v>0</v>
      </c>
      <c r="H418" s="1">
        <v>1.41632636293</v>
      </c>
      <c r="I418" s="1">
        <v>1.73353911895</v>
      </c>
      <c r="J418" s="1">
        <v>0.79133266307000005</v>
      </c>
      <c r="K418" s="1">
        <v>7234.8472786800003</v>
      </c>
      <c r="L418" s="1">
        <v>1817.5922104900001</v>
      </c>
      <c r="M418" s="1" t="s">
        <v>198</v>
      </c>
      <c r="N418" s="1" t="b">
        <v>1</v>
      </c>
    </row>
    <row r="419" spans="1:14" ht="19" customHeight="1" x14ac:dyDescent="0.3">
      <c r="A419">
        <v>414</v>
      </c>
      <c r="B419" s="1">
        <v>2</v>
      </c>
      <c r="C419" s="1">
        <v>50</v>
      </c>
      <c r="D419" s="1">
        <v>0.04</v>
      </c>
      <c r="E419" s="1">
        <v>8.5000000000000006E-2</v>
      </c>
      <c r="F419" s="1">
        <v>5</v>
      </c>
      <c r="G419" s="1">
        <v>1</v>
      </c>
      <c r="H419" s="1">
        <v>1.41632636293</v>
      </c>
      <c r="I419" s="1">
        <v>1.3001543392099999</v>
      </c>
      <c r="J419" s="1">
        <v>0.64889278371699999</v>
      </c>
      <c r="K419" s="1">
        <v>6239.4166127199996</v>
      </c>
      <c r="L419" s="1">
        <v>1490.4256126</v>
      </c>
      <c r="M419" s="1" t="s">
        <v>198</v>
      </c>
      <c r="N419" s="1" t="b">
        <v>1</v>
      </c>
    </row>
    <row r="420" spans="1:14" ht="19" customHeight="1" x14ac:dyDescent="0.3">
      <c r="A420">
        <v>415</v>
      </c>
      <c r="B420" s="1">
        <v>2</v>
      </c>
      <c r="C420" s="1">
        <v>50</v>
      </c>
      <c r="D420" s="1">
        <v>5.5E-2</v>
      </c>
      <c r="E420" s="1">
        <v>0.04</v>
      </c>
      <c r="F420" s="1">
        <v>-5</v>
      </c>
      <c r="G420" s="1">
        <v>0</v>
      </c>
      <c r="H420" s="1">
        <v>1.3405617633</v>
      </c>
      <c r="I420" s="1">
        <v>1.6198922195100001</v>
      </c>
      <c r="J420" s="1">
        <v>0.78455240832299999</v>
      </c>
      <c r="K420" s="1">
        <v>6799.7927417700002</v>
      </c>
      <c r="L420" s="1">
        <v>1802.0188128699999</v>
      </c>
      <c r="M420" s="1" t="s">
        <v>198</v>
      </c>
      <c r="N420" s="1" t="b">
        <v>1</v>
      </c>
    </row>
    <row r="421" spans="1:14" ht="19" customHeight="1" x14ac:dyDescent="0.3">
      <c r="A421">
        <v>416</v>
      </c>
      <c r="B421" s="1">
        <v>2</v>
      </c>
      <c r="C421" s="1">
        <v>50</v>
      </c>
      <c r="D421" s="1">
        <v>5.5E-2</v>
      </c>
      <c r="E421" s="1">
        <v>0.04</v>
      </c>
      <c r="F421" s="1">
        <v>-5</v>
      </c>
      <c r="G421" s="1">
        <v>1</v>
      </c>
      <c r="H421" s="1">
        <v>1.3405617633</v>
      </c>
      <c r="I421" s="1">
        <v>1.2149191646299999</v>
      </c>
      <c r="J421" s="1">
        <v>0.64333297482499996</v>
      </c>
      <c r="K421" s="1">
        <v>5869.6202563500001</v>
      </c>
      <c r="L421" s="1">
        <v>1477.6554265499999</v>
      </c>
      <c r="M421" s="1" t="s">
        <v>198</v>
      </c>
      <c r="N421" s="1" t="b">
        <v>1</v>
      </c>
    </row>
    <row r="422" spans="1:14" ht="19" customHeight="1" x14ac:dyDescent="0.3">
      <c r="A422">
        <v>417</v>
      </c>
      <c r="B422" s="1">
        <v>2</v>
      </c>
      <c r="C422" s="1">
        <v>50</v>
      </c>
      <c r="D422" s="1">
        <v>5.5E-2</v>
      </c>
      <c r="E422" s="1">
        <v>0.04</v>
      </c>
      <c r="F422" s="1">
        <v>0</v>
      </c>
      <c r="G422" s="1">
        <v>0</v>
      </c>
      <c r="H422" s="1">
        <v>1.3710662920300001</v>
      </c>
      <c r="I422" s="1">
        <v>1.6567529223099999</v>
      </c>
      <c r="J422" s="1">
        <v>0.77705240832300004</v>
      </c>
      <c r="K422" s="1">
        <v>6954.5222579199999</v>
      </c>
      <c r="L422" s="1">
        <v>1784.7922503699999</v>
      </c>
      <c r="M422" s="1" t="s">
        <v>198</v>
      </c>
      <c r="N422" s="1" t="b">
        <v>1</v>
      </c>
    </row>
    <row r="423" spans="1:14" ht="19" customHeight="1" x14ac:dyDescent="0.3">
      <c r="A423">
        <v>418</v>
      </c>
      <c r="B423" s="1">
        <v>2</v>
      </c>
      <c r="C423" s="1">
        <v>50</v>
      </c>
      <c r="D423" s="1">
        <v>5.5E-2</v>
      </c>
      <c r="E423" s="1">
        <v>0.04</v>
      </c>
      <c r="F423" s="1">
        <v>0</v>
      </c>
      <c r="G423" s="1">
        <v>1</v>
      </c>
      <c r="H423" s="1">
        <v>1.3710662920300001</v>
      </c>
      <c r="I423" s="1">
        <v>1.2425646917299999</v>
      </c>
      <c r="J423" s="1">
        <v>0.63718297482499997</v>
      </c>
      <c r="K423" s="1">
        <v>6003.18366582</v>
      </c>
      <c r="L423" s="1">
        <v>1463.5296453000001</v>
      </c>
      <c r="M423" s="1" t="s">
        <v>198</v>
      </c>
      <c r="N423" s="1" t="b">
        <v>1</v>
      </c>
    </row>
    <row r="424" spans="1:14" ht="19" customHeight="1" x14ac:dyDescent="0.3">
      <c r="A424">
        <v>419</v>
      </c>
      <c r="B424" s="1">
        <v>2</v>
      </c>
      <c r="C424" s="1">
        <v>50</v>
      </c>
      <c r="D424" s="1">
        <v>5.5E-2</v>
      </c>
      <c r="E424" s="1">
        <v>0.04</v>
      </c>
      <c r="F424" s="1">
        <v>5</v>
      </c>
      <c r="G424" s="1">
        <v>0</v>
      </c>
      <c r="H424" s="1">
        <v>1.3405617633</v>
      </c>
      <c r="I424" s="1">
        <v>1.6198922195100001</v>
      </c>
      <c r="J424" s="1">
        <v>0.78455240832299999</v>
      </c>
      <c r="K424" s="1">
        <v>6799.7927417700002</v>
      </c>
      <c r="L424" s="1">
        <v>1802.0188128699999</v>
      </c>
      <c r="M424" s="1" t="s">
        <v>198</v>
      </c>
      <c r="N424" s="1" t="b">
        <v>1</v>
      </c>
    </row>
    <row r="425" spans="1:14" ht="19" customHeight="1" x14ac:dyDescent="0.3">
      <c r="A425">
        <v>420</v>
      </c>
      <c r="B425" s="1">
        <v>2</v>
      </c>
      <c r="C425" s="1">
        <v>50</v>
      </c>
      <c r="D425" s="1">
        <v>5.5E-2</v>
      </c>
      <c r="E425" s="1">
        <v>0.04</v>
      </c>
      <c r="F425" s="1">
        <v>5</v>
      </c>
      <c r="G425" s="1">
        <v>1</v>
      </c>
      <c r="H425" s="1">
        <v>1.3405617633</v>
      </c>
      <c r="I425" s="1">
        <v>1.2149191646299999</v>
      </c>
      <c r="J425" s="1">
        <v>0.64333297482499996</v>
      </c>
      <c r="K425" s="1">
        <v>5869.6202563500001</v>
      </c>
      <c r="L425" s="1">
        <v>1477.6554265499999</v>
      </c>
      <c r="M425" s="1" t="s">
        <v>198</v>
      </c>
      <c r="N425" s="1" t="b">
        <v>1</v>
      </c>
    </row>
    <row r="426" spans="1:14" ht="19" customHeight="1" x14ac:dyDescent="0.3">
      <c r="A426">
        <v>421</v>
      </c>
      <c r="B426" s="1">
        <v>2</v>
      </c>
      <c r="C426" s="1">
        <v>50</v>
      </c>
      <c r="D426" s="1">
        <v>5.5E-2</v>
      </c>
      <c r="E426" s="1">
        <v>0.06</v>
      </c>
      <c r="F426" s="1">
        <v>-5</v>
      </c>
      <c r="G426" s="1">
        <v>0</v>
      </c>
      <c r="H426" s="1">
        <v>1.36819136301</v>
      </c>
      <c r="I426" s="1">
        <v>1.6613366190700001</v>
      </c>
      <c r="J426" s="1">
        <v>0.78702501063999997</v>
      </c>
      <c r="K426" s="1">
        <v>6958.4470838400002</v>
      </c>
      <c r="L426" s="1">
        <v>1807.6980713099999</v>
      </c>
      <c r="M426" s="1" t="s">
        <v>198</v>
      </c>
      <c r="N426" s="1" t="b">
        <v>1</v>
      </c>
    </row>
    <row r="427" spans="1:14" ht="19" customHeight="1" x14ac:dyDescent="0.3">
      <c r="A427">
        <v>422</v>
      </c>
      <c r="B427" s="1">
        <v>2</v>
      </c>
      <c r="C427" s="1">
        <v>50</v>
      </c>
      <c r="D427" s="1">
        <v>5.5E-2</v>
      </c>
      <c r="E427" s="1">
        <v>0.06</v>
      </c>
      <c r="F427" s="1">
        <v>-5</v>
      </c>
      <c r="G427" s="1">
        <v>1</v>
      </c>
      <c r="H427" s="1">
        <v>1.36819136301</v>
      </c>
      <c r="I427" s="1">
        <v>1.2460024643000001</v>
      </c>
      <c r="J427" s="1">
        <v>0.64536050872499995</v>
      </c>
      <c r="K427" s="1">
        <v>6004.4764471099998</v>
      </c>
      <c r="L427" s="1">
        <v>1482.3124184799999</v>
      </c>
      <c r="M427" s="1" t="s">
        <v>198</v>
      </c>
      <c r="N427" s="1" t="b">
        <v>1</v>
      </c>
    </row>
    <row r="428" spans="1:14" ht="19" customHeight="1" x14ac:dyDescent="0.3">
      <c r="A428">
        <v>423</v>
      </c>
      <c r="B428" s="1">
        <v>2</v>
      </c>
      <c r="C428" s="1">
        <v>50</v>
      </c>
      <c r="D428" s="1">
        <v>5.5E-2</v>
      </c>
      <c r="E428" s="1">
        <v>0.06</v>
      </c>
      <c r="F428" s="1">
        <v>0</v>
      </c>
      <c r="G428" s="1">
        <v>0</v>
      </c>
      <c r="H428" s="1">
        <v>1.39932460422</v>
      </c>
      <c r="I428" s="1">
        <v>1.6991403906</v>
      </c>
      <c r="J428" s="1">
        <v>0.77952501064000002</v>
      </c>
      <c r="K428" s="1">
        <v>7116.7867849599997</v>
      </c>
      <c r="L428" s="1">
        <v>1790.4715088099999</v>
      </c>
      <c r="M428" s="1" t="s">
        <v>198</v>
      </c>
      <c r="N428" s="1" t="b">
        <v>1</v>
      </c>
    </row>
    <row r="429" spans="1:14" ht="19" customHeight="1" x14ac:dyDescent="0.3">
      <c r="A429">
        <v>424</v>
      </c>
      <c r="B429" s="1">
        <v>2</v>
      </c>
      <c r="C429" s="1">
        <v>50</v>
      </c>
      <c r="D429" s="1">
        <v>5.5E-2</v>
      </c>
      <c r="E429" s="1">
        <v>0.06</v>
      </c>
      <c r="F429" s="1">
        <v>0</v>
      </c>
      <c r="G429" s="1">
        <v>1</v>
      </c>
      <c r="H429" s="1">
        <v>1.39932460422</v>
      </c>
      <c r="I429" s="1">
        <v>1.2743552929499999</v>
      </c>
      <c r="J429" s="1">
        <v>0.63921050872499996</v>
      </c>
      <c r="K429" s="1">
        <v>6141.1085137999999</v>
      </c>
      <c r="L429" s="1">
        <v>1468.1866372300001</v>
      </c>
      <c r="M429" s="1" t="s">
        <v>198</v>
      </c>
      <c r="N429" s="1" t="b">
        <v>1</v>
      </c>
    </row>
    <row r="430" spans="1:14" ht="19" customHeight="1" x14ac:dyDescent="0.3">
      <c r="A430">
        <v>425</v>
      </c>
      <c r="B430" s="1">
        <v>2</v>
      </c>
      <c r="C430" s="1">
        <v>50</v>
      </c>
      <c r="D430" s="1">
        <v>5.5E-2</v>
      </c>
      <c r="E430" s="1">
        <v>0.06</v>
      </c>
      <c r="F430" s="1">
        <v>5</v>
      </c>
      <c r="G430" s="1">
        <v>0</v>
      </c>
      <c r="H430" s="1">
        <v>1.36819136301</v>
      </c>
      <c r="I430" s="1">
        <v>1.6613366190700001</v>
      </c>
      <c r="J430" s="1">
        <v>0.78702501063999997</v>
      </c>
      <c r="K430" s="1">
        <v>6958.4470838400002</v>
      </c>
      <c r="L430" s="1">
        <v>1807.6980713099999</v>
      </c>
      <c r="M430" s="1" t="s">
        <v>198</v>
      </c>
      <c r="N430" s="1" t="b">
        <v>1</v>
      </c>
    </row>
    <row r="431" spans="1:14" ht="19" customHeight="1" x14ac:dyDescent="0.3">
      <c r="A431">
        <v>426</v>
      </c>
      <c r="B431" s="1">
        <v>2</v>
      </c>
      <c r="C431" s="1">
        <v>50</v>
      </c>
      <c r="D431" s="1">
        <v>5.5E-2</v>
      </c>
      <c r="E431" s="1">
        <v>0.06</v>
      </c>
      <c r="F431" s="1">
        <v>5</v>
      </c>
      <c r="G431" s="1">
        <v>1</v>
      </c>
      <c r="H431" s="1">
        <v>1.36819136301</v>
      </c>
      <c r="I431" s="1">
        <v>1.2460024643000001</v>
      </c>
      <c r="J431" s="1">
        <v>0.64536050872499995</v>
      </c>
      <c r="K431" s="1">
        <v>6004.4764471099998</v>
      </c>
      <c r="L431" s="1">
        <v>1482.3124184799999</v>
      </c>
      <c r="M431" s="1" t="s">
        <v>198</v>
      </c>
      <c r="N431" s="1" t="b">
        <v>1</v>
      </c>
    </row>
    <row r="432" spans="1:14" ht="19" customHeight="1" x14ac:dyDescent="0.3">
      <c r="A432">
        <v>427</v>
      </c>
      <c r="B432" s="1">
        <v>2</v>
      </c>
      <c r="C432" s="1">
        <v>50</v>
      </c>
      <c r="D432" s="1">
        <v>5.5E-2</v>
      </c>
      <c r="E432" s="1">
        <v>8.5000000000000006E-2</v>
      </c>
      <c r="F432" s="1">
        <v>-5</v>
      </c>
      <c r="G432" s="1">
        <v>0</v>
      </c>
      <c r="H432" s="1">
        <v>1.2975568175000001</v>
      </c>
      <c r="I432" s="1">
        <v>1.5553848008</v>
      </c>
      <c r="J432" s="1">
        <v>0.78070384990200004</v>
      </c>
      <c r="K432" s="1">
        <v>6552.8502795300001</v>
      </c>
      <c r="L432" s="1">
        <v>1793.17915524</v>
      </c>
      <c r="M432" s="1" t="s">
        <v>198</v>
      </c>
      <c r="N432" s="1" t="b">
        <v>1</v>
      </c>
    </row>
    <row r="433" spans="1:14" ht="19" customHeight="1" x14ac:dyDescent="0.3">
      <c r="A433">
        <v>428</v>
      </c>
      <c r="B433" s="1">
        <v>2</v>
      </c>
      <c r="C433" s="1">
        <v>50</v>
      </c>
      <c r="D433" s="1">
        <v>5.5E-2</v>
      </c>
      <c r="E433" s="1">
        <v>8.5000000000000006E-2</v>
      </c>
      <c r="F433" s="1">
        <v>-5</v>
      </c>
      <c r="G433" s="1">
        <v>1</v>
      </c>
      <c r="H433" s="1">
        <v>1.2975568175000001</v>
      </c>
      <c r="I433" s="1">
        <v>1.1665386006</v>
      </c>
      <c r="J433" s="1">
        <v>0.64017715691900001</v>
      </c>
      <c r="K433" s="1">
        <v>5659.7191634500005</v>
      </c>
      <c r="L433" s="1">
        <v>1470.4069073000001</v>
      </c>
      <c r="M433" s="1" t="s">
        <v>198</v>
      </c>
      <c r="N433" s="1" t="b">
        <v>1</v>
      </c>
    </row>
    <row r="434" spans="1:14" ht="19" customHeight="1" x14ac:dyDescent="0.3">
      <c r="A434">
        <v>429</v>
      </c>
      <c r="B434" s="1">
        <v>2</v>
      </c>
      <c r="C434" s="1">
        <v>50</v>
      </c>
      <c r="D434" s="1">
        <v>5.5E-2</v>
      </c>
      <c r="E434" s="1">
        <v>8.5000000000000006E-2</v>
      </c>
      <c r="F434" s="1">
        <v>0</v>
      </c>
      <c r="G434" s="1">
        <v>0</v>
      </c>
      <c r="H434" s="1">
        <v>1.3270827672100001</v>
      </c>
      <c r="I434" s="1">
        <v>1.59077763508</v>
      </c>
      <c r="J434" s="1">
        <v>0.77320384990199997</v>
      </c>
      <c r="K434" s="1">
        <v>6701.9606115200004</v>
      </c>
      <c r="L434" s="1">
        <v>1775.95259274</v>
      </c>
      <c r="M434" s="1" t="s">
        <v>198</v>
      </c>
      <c r="N434" s="1" t="b">
        <v>1</v>
      </c>
    </row>
    <row r="435" spans="1:14" ht="19" customHeight="1" x14ac:dyDescent="0.3">
      <c r="A435">
        <v>430</v>
      </c>
      <c r="B435" s="1">
        <v>2</v>
      </c>
      <c r="C435" s="1">
        <v>50</v>
      </c>
      <c r="D435" s="1">
        <v>5.5E-2</v>
      </c>
      <c r="E435" s="1">
        <v>8.5000000000000006E-2</v>
      </c>
      <c r="F435" s="1">
        <v>0</v>
      </c>
      <c r="G435" s="1">
        <v>1</v>
      </c>
      <c r="H435" s="1">
        <v>1.3270827672100001</v>
      </c>
      <c r="I435" s="1">
        <v>1.19308322631</v>
      </c>
      <c r="J435" s="1">
        <v>0.63402715691900002</v>
      </c>
      <c r="K435" s="1">
        <v>5788.50626637</v>
      </c>
      <c r="L435" s="1">
        <v>1456.28112605</v>
      </c>
      <c r="M435" s="1" t="s">
        <v>198</v>
      </c>
      <c r="N435" s="1" t="b">
        <v>1</v>
      </c>
    </row>
    <row r="436" spans="1:14" ht="19" customHeight="1" x14ac:dyDescent="0.3">
      <c r="A436">
        <v>431</v>
      </c>
      <c r="B436" s="1">
        <v>2</v>
      </c>
      <c r="C436" s="1">
        <v>50</v>
      </c>
      <c r="D436" s="1">
        <v>5.5E-2</v>
      </c>
      <c r="E436" s="1">
        <v>8.5000000000000006E-2</v>
      </c>
      <c r="F436" s="1">
        <v>5</v>
      </c>
      <c r="G436" s="1">
        <v>0</v>
      </c>
      <c r="H436" s="1">
        <v>1.2975568175000001</v>
      </c>
      <c r="I436" s="1">
        <v>1.5553848008</v>
      </c>
      <c r="J436" s="1">
        <v>0.78070384990200004</v>
      </c>
      <c r="K436" s="1">
        <v>6552.8502795300001</v>
      </c>
      <c r="L436" s="1">
        <v>1793.17915524</v>
      </c>
      <c r="M436" s="1" t="s">
        <v>198</v>
      </c>
      <c r="N436" s="1" t="b">
        <v>1</v>
      </c>
    </row>
    <row r="437" spans="1:14" ht="19" customHeight="1" x14ac:dyDescent="0.3">
      <c r="A437">
        <v>432</v>
      </c>
      <c r="B437" s="1">
        <v>2</v>
      </c>
      <c r="C437" s="1">
        <v>50</v>
      </c>
      <c r="D437" s="1">
        <v>5.5E-2</v>
      </c>
      <c r="E437" s="1">
        <v>8.5000000000000006E-2</v>
      </c>
      <c r="F437" s="1">
        <v>5</v>
      </c>
      <c r="G437" s="1">
        <v>1</v>
      </c>
      <c r="H437" s="1">
        <v>1.2975568175000001</v>
      </c>
      <c r="I437" s="1">
        <v>1.1665386006</v>
      </c>
      <c r="J437" s="1">
        <v>0.64017715691900001</v>
      </c>
      <c r="K437" s="1">
        <v>5659.7191634500005</v>
      </c>
      <c r="L437" s="1">
        <v>1470.4069073000001</v>
      </c>
      <c r="M437" s="1" t="s">
        <v>198</v>
      </c>
      <c r="N437" s="1" t="b">
        <v>1</v>
      </c>
    </row>
    <row r="438" spans="1:14" ht="19" customHeight="1" x14ac:dyDescent="0.3">
      <c r="A438">
        <v>433</v>
      </c>
      <c r="B438" s="1">
        <v>2</v>
      </c>
      <c r="C438" s="1">
        <v>70</v>
      </c>
      <c r="D438" s="1">
        <v>2.5000000000000001E-2</v>
      </c>
      <c r="E438" s="1">
        <v>0.04</v>
      </c>
      <c r="F438" s="1">
        <v>-5</v>
      </c>
      <c r="G438" s="1">
        <v>0</v>
      </c>
      <c r="H438" s="1">
        <v>1.4744580519099999</v>
      </c>
      <c r="I438" s="1">
        <v>1.8207366524299999</v>
      </c>
      <c r="J438" s="1">
        <v>0.79653492985600005</v>
      </c>
      <c r="K438" s="1">
        <v>14834.5546596</v>
      </c>
      <c r="L438" s="1">
        <v>3585.9006873399999</v>
      </c>
      <c r="M438" s="1" t="s">
        <v>198</v>
      </c>
      <c r="N438" s="1" t="b">
        <v>1</v>
      </c>
    </row>
    <row r="439" spans="1:14" ht="19" customHeight="1" x14ac:dyDescent="0.3">
      <c r="A439">
        <v>434</v>
      </c>
      <c r="B439" s="1">
        <v>2</v>
      </c>
      <c r="C439" s="1">
        <v>70</v>
      </c>
      <c r="D439" s="1">
        <v>2.5000000000000001E-2</v>
      </c>
      <c r="E439" s="1">
        <v>0.04</v>
      </c>
      <c r="F439" s="1">
        <v>-5</v>
      </c>
      <c r="G439" s="1">
        <v>1</v>
      </c>
      <c r="H439" s="1">
        <v>1.4744580519099999</v>
      </c>
      <c r="I439" s="1">
        <v>1.36555248932</v>
      </c>
      <c r="J439" s="1">
        <v>0.65315864248199995</v>
      </c>
      <c r="K439" s="1">
        <v>12785.372455299999</v>
      </c>
      <c r="L439" s="1">
        <v>2940.43856362</v>
      </c>
      <c r="M439" s="1" t="s">
        <v>198</v>
      </c>
      <c r="N439" s="1" t="b">
        <v>1</v>
      </c>
    </row>
    <row r="440" spans="1:14" ht="19" customHeight="1" x14ac:dyDescent="0.3">
      <c r="A440">
        <v>435</v>
      </c>
      <c r="B440" s="1">
        <v>2</v>
      </c>
      <c r="C440" s="1">
        <v>70</v>
      </c>
      <c r="D440" s="1">
        <v>2.5000000000000001E-2</v>
      </c>
      <c r="E440" s="1">
        <v>0.04</v>
      </c>
      <c r="F440" s="1">
        <v>0</v>
      </c>
      <c r="G440" s="1">
        <v>0</v>
      </c>
      <c r="H440" s="1">
        <v>1.50800939526</v>
      </c>
      <c r="I440" s="1">
        <v>1.8621675771599999</v>
      </c>
      <c r="J440" s="1">
        <v>0.78903492985599999</v>
      </c>
      <c r="K440" s="1">
        <v>15172.1154577</v>
      </c>
      <c r="L440" s="1">
        <v>3552.13662484</v>
      </c>
      <c r="M440" s="1" t="s">
        <v>198</v>
      </c>
      <c r="N440" s="1" t="b">
        <v>1</v>
      </c>
    </row>
    <row r="441" spans="1:14" ht="19" customHeight="1" x14ac:dyDescent="0.3">
      <c r="A441">
        <v>436</v>
      </c>
      <c r="B441" s="1">
        <v>2</v>
      </c>
      <c r="C441" s="1">
        <v>70</v>
      </c>
      <c r="D441" s="1">
        <v>2.5000000000000001E-2</v>
      </c>
      <c r="E441" s="1">
        <v>0.04</v>
      </c>
      <c r="F441" s="1">
        <v>0</v>
      </c>
      <c r="G441" s="1">
        <v>1</v>
      </c>
      <c r="H441" s="1">
        <v>1.50800939526</v>
      </c>
      <c r="I441" s="1">
        <v>1.3966256828700001</v>
      </c>
      <c r="J441" s="1">
        <v>0.64700864248199996</v>
      </c>
      <c r="K441" s="1">
        <v>13076.3040423</v>
      </c>
      <c r="L441" s="1">
        <v>2912.7520323700001</v>
      </c>
      <c r="M441" s="1" t="s">
        <v>198</v>
      </c>
      <c r="N441" s="1" t="b">
        <v>1</v>
      </c>
    </row>
    <row r="442" spans="1:14" ht="19" customHeight="1" x14ac:dyDescent="0.3">
      <c r="A442">
        <v>437</v>
      </c>
      <c r="B442" s="1">
        <v>2</v>
      </c>
      <c r="C442" s="1">
        <v>70</v>
      </c>
      <c r="D442" s="1">
        <v>2.5000000000000001E-2</v>
      </c>
      <c r="E442" s="1">
        <v>0.04</v>
      </c>
      <c r="F442" s="1">
        <v>5</v>
      </c>
      <c r="G442" s="1">
        <v>0</v>
      </c>
      <c r="H442" s="1">
        <v>1.4744580519099999</v>
      </c>
      <c r="I442" s="1">
        <v>1.8207366524299999</v>
      </c>
      <c r="J442" s="1">
        <v>0.79653492985600005</v>
      </c>
      <c r="K442" s="1">
        <v>14834.5546596</v>
      </c>
      <c r="L442" s="1">
        <v>3585.9006873399999</v>
      </c>
      <c r="M442" s="1" t="s">
        <v>198</v>
      </c>
      <c r="N442" s="1" t="b">
        <v>1</v>
      </c>
    </row>
    <row r="443" spans="1:14" ht="19" customHeight="1" x14ac:dyDescent="0.3">
      <c r="A443">
        <v>438</v>
      </c>
      <c r="B443" s="1">
        <v>2</v>
      </c>
      <c r="C443" s="1">
        <v>70</v>
      </c>
      <c r="D443" s="1">
        <v>2.5000000000000001E-2</v>
      </c>
      <c r="E443" s="1">
        <v>0.04</v>
      </c>
      <c r="F443" s="1">
        <v>5</v>
      </c>
      <c r="G443" s="1">
        <v>1</v>
      </c>
      <c r="H443" s="1">
        <v>1.4744580519099999</v>
      </c>
      <c r="I443" s="1">
        <v>1.36555248932</v>
      </c>
      <c r="J443" s="1">
        <v>0.65315864248199995</v>
      </c>
      <c r="K443" s="1">
        <v>12785.372455299999</v>
      </c>
      <c r="L443" s="1">
        <v>2940.43856362</v>
      </c>
      <c r="M443" s="1" t="s">
        <v>198</v>
      </c>
      <c r="N443" s="1" t="b">
        <v>1</v>
      </c>
    </row>
    <row r="444" spans="1:14" ht="19" customHeight="1" x14ac:dyDescent="0.3">
      <c r="A444">
        <v>439</v>
      </c>
      <c r="B444" s="1">
        <v>2</v>
      </c>
      <c r="C444" s="1">
        <v>70</v>
      </c>
      <c r="D444" s="1">
        <v>2.5000000000000001E-2</v>
      </c>
      <c r="E444" s="1">
        <v>0.06</v>
      </c>
      <c r="F444" s="1">
        <v>-5</v>
      </c>
      <c r="G444" s="1">
        <v>0</v>
      </c>
      <c r="H444" s="1">
        <v>1.51507306555</v>
      </c>
      <c r="I444" s="1">
        <v>1.8816591728800001</v>
      </c>
      <c r="J444" s="1">
        <v>0.80016961070100001</v>
      </c>
      <c r="K444" s="1">
        <v>15291.6639459</v>
      </c>
      <c r="L444" s="1">
        <v>3602.2635661700001</v>
      </c>
      <c r="M444" s="1" t="s">
        <v>198</v>
      </c>
      <c r="N444" s="1" t="b">
        <v>1</v>
      </c>
    </row>
    <row r="445" spans="1:14" ht="19" customHeight="1" x14ac:dyDescent="0.3">
      <c r="A445">
        <v>440</v>
      </c>
      <c r="B445" s="1">
        <v>2</v>
      </c>
      <c r="C445" s="1">
        <v>70</v>
      </c>
      <c r="D445" s="1">
        <v>2.5000000000000001E-2</v>
      </c>
      <c r="E445" s="1">
        <v>0.06</v>
      </c>
      <c r="F445" s="1">
        <v>-5</v>
      </c>
      <c r="G445" s="1">
        <v>1</v>
      </c>
      <c r="H445" s="1">
        <v>1.51507306555</v>
      </c>
      <c r="I445" s="1">
        <v>1.41124437966</v>
      </c>
      <c r="J445" s="1">
        <v>0.65613908077500005</v>
      </c>
      <c r="K445" s="1">
        <v>13173.9153486</v>
      </c>
      <c r="L445" s="1">
        <v>2953.8561242599999</v>
      </c>
      <c r="M445" s="1" t="s">
        <v>198</v>
      </c>
      <c r="N445" s="1" t="b">
        <v>1</v>
      </c>
    </row>
    <row r="446" spans="1:14" ht="19" customHeight="1" x14ac:dyDescent="0.3">
      <c r="A446">
        <v>441</v>
      </c>
      <c r="B446" s="1">
        <v>2</v>
      </c>
      <c r="C446" s="1">
        <v>70</v>
      </c>
      <c r="D446" s="1">
        <v>2.5000000000000001E-2</v>
      </c>
      <c r="E446" s="1">
        <v>0.06</v>
      </c>
      <c r="F446" s="1">
        <v>0</v>
      </c>
      <c r="G446" s="1">
        <v>0</v>
      </c>
      <c r="H446" s="1">
        <v>1.54954860492</v>
      </c>
      <c r="I446" s="1">
        <v>1.9244763916400001</v>
      </c>
      <c r="J446" s="1">
        <v>0.79266961070099995</v>
      </c>
      <c r="K446" s="1">
        <v>15639.6262814</v>
      </c>
      <c r="L446" s="1">
        <v>3568.4995036700002</v>
      </c>
      <c r="M446" s="1" t="s">
        <v>198</v>
      </c>
      <c r="N446" s="1" t="b">
        <v>1</v>
      </c>
    </row>
    <row r="447" spans="1:14" ht="19" customHeight="1" x14ac:dyDescent="0.3">
      <c r="A447">
        <v>442</v>
      </c>
      <c r="B447" s="1">
        <v>2</v>
      </c>
      <c r="C447" s="1">
        <v>70</v>
      </c>
      <c r="D447" s="1">
        <v>2.5000000000000001E-2</v>
      </c>
      <c r="E447" s="1">
        <v>0.06</v>
      </c>
      <c r="F447" s="1">
        <v>0</v>
      </c>
      <c r="G447" s="1">
        <v>1</v>
      </c>
      <c r="H447" s="1">
        <v>1.54954860492</v>
      </c>
      <c r="I447" s="1">
        <v>1.4433572937300001</v>
      </c>
      <c r="J447" s="1">
        <v>0.64998908077499995</v>
      </c>
      <c r="K447" s="1">
        <v>13473.6882425</v>
      </c>
      <c r="L447" s="1">
        <v>2926.16959301</v>
      </c>
      <c r="M447" s="1" t="s">
        <v>198</v>
      </c>
      <c r="N447" s="1" t="b">
        <v>1</v>
      </c>
    </row>
    <row r="448" spans="1:14" ht="19" customHeight="1" x14ac:dyDescent="0.3">
      <c r="A448">
        <v>443</v>
      </c>
      <c r="B448" s="1">
        <v>2</v>
      </c>
      <c r="C448" s="1">
        <v>70</v>
      </c>
      <c r="D448" s="1">
        <v>2.5000000000000001E-2</v>
      </c>
      <c r="E448" s="1">
        <v>0.06</v>
      </c>
      <c r="F448" s="1">
        <v>5</v>
      </c>
      <c r="G448" s="1">
        <v>0</v>
      </c>
      <c r="H448" s="1">
        <v>1.51507306555</v>
      </c>
      <c r="I448" s="1">
        <v>1.8816591728800001</v>
      </c>
      <c r="J448" s="1">
        <v>0.80016961070100001</v>
      </c>
      <c r="K448" s="1">
        <v>15291.6639459</v>
      </c>
      <c r="L448" s="1">
        <v>3602.2635661700001</v>
      </c>
      <c r="M448" s="1" t="s">
        <v>198</v>
      </c>
      <c r="N448" s="1" t="b">
        <v>1</v>
      </c>
    </row>
    <row r="449" spans="1:14" ht="19" customHeight="1" x14ac:dyDescent="0.3">
      <c r="A449">
        <v>444</v>
      </c>
      <c r="B449" s="1">
        <v>2</v>
      </c>
      <c r="C449" s="1">
        <v>70</v>
      </c>
      <c r="D449" s="1">
        <v>2.5000000000000001E-2</v>
      </c>
      <c r="E449" s="1">
        <v>0.06</v>
      </c>
      <c r="F449" s="1">
        <v>5</v>
      </c>
      <c r="G449" s="1">
        <v>1</v>
      </c>
      <c r="H449" s="1">
        <v>1.51507306555</v>
      </c>
      <c r="I449" s="1">
        <v>1.41124437966</v>
      </c>
      <c r="J449" s="1">
        <v>0.65613908077500005</v>
      </c>
      <c r="K449" s="1">
        <v>13173.9153486</v>
      </c>
      <c r="L449" s="1">
        <v>2953.8561242599999</v>
      </c>
      <c r="M449" s="1" t="s">
        <v>198</v>
      </c>
      <c r="N449" s="1" t="b">
        <v>1</v>
      </c>
    </row>
    <row r="450" spans="1:14" ht="19" customHeight="1" x14ac:dyDescent="0.3">
      <c r="A450">
        <v>445</v>
      </c>
      <c r="B450" s="1">
        <v>2</v>
      </c>
      <c r="C450" s="1">
        <v>70</v>
      </c>
      <c r="D450" s="1">
        <v>2.5000000000000001E-2</v>
      </c>
      <c r="E450" s="1">
        <v>8.5000000000000006E-2</v>
      </c>
      <c r="F450" s="1">
        <v>-5</v>
      </c>
      <c r="G450" s="1">
        <v>0</v>
      </c>
      <c r="H450" s="1">
        <v>1.4112415566100001</v>
      </c>
      <c r="I450" s="1">
        <v>1.7259119094599999</v>
      </c>
      <c r="J450" s="1">
        <v>0.79087761833400005</v>
      </c>
      <c r="K450" s="1">
        <v>14123.0727601</v>
      </c>
      <c r="L450" s="1">
        <v>3560.4321780400001</v>
      </c>
      <c r="M450" s="1" t="s">
        <v>198</v>
      </c>
      <c r="N450" s="1" t="b">
        <v>1</v>
      </c>
    </row>
    <row r="451" spans="1:14" ht="19" customHeight="1" x14ac:dyDescent="0.3">
      <c r="A451">
        <v>446</v>
      </c>
      <c r="B451" s="1">
        <v>2</v>
      </c>
      <c r="C451" s="1">
        <v>70</v>
      </c>
      <c r="D451" s="1">
        <v>2.5000000000000001E-2</v>
      </c>
      <c r="E451" s="1">
        <v>8.5000000000000006E-2</v>
      </c>
      <c r="F451" s="1">
        <v>-5</v>
      </c>
      <c r="G451" s="1">
        <v>1</v>
      </c>
      <c r="H451" s="1">
        <v>1.4112415566100001</v>
      </c>
      <c r="I451" s="1">
        <v>1.2944339321</v>
      </c>
      <c r="J451" s="1">
        <v>0.648519647034</v>
      </c>
      <c r="K451" s="1">
        <v>12180.6128407</v>
      </c>
      <c r="L451" s="1">
        <v>2919.5543859899999</v>
      </c>
      <c r="M451" s="1" t="s">
        <v>198</v>
      </c>
      <c r="N451" s="1" t="b">
        <v>1</v>
      </c>
    </row>
    <row r="452" spans="1:14" ht="19" customHeight="1" x14ac:dyDescent="0.3">
      <c r="A452">
        <v>447</v>
      </c>
      <c r="B452" s="1">
        <v>2</v>
      </c>
      <c r="C452" s="1">
        <v>70</v>
      </c>
      <c r="D452" s="1">
        <v>2.5000000000000001E-2</v>
      </c>
      <c r="E452" s="1">
        <v>8.5000000000000006E-2</v>
      </c>
      <c r="F452" s="1">
        <v>0</v>
      </c>
      <c r="G452" s="1">
        <v>0</v>
      </c>
      <c r="H452" s="1">
        <v>1.4433544064399999</v>
      </c>
      <c r="I452" s="1">
        <v>1.76518509393</v>
      </c>
      <c r="J452" s="1">
        <v>0.78337761833399999</v>
      </c>
      <c r="K452" s="1">
        <v>14444.443763200001</v>
      </c>
      <c r="L452" s="1">
        <v>3526.6681155400001</v>
      </c>
      <c r="M452" s="1" t="s">
        <v>198</v>
      </c>
      <c r="N452" s="1" t="b">
        <v>1</v>
      </c>
    </row>
    <row r="453" spans="1:14" ht="19" customHeight="1" x14ac:dyDescent="0.3">
      <c r="A453">
        <v>448</v>
      </c>
      <c r="B453" s="1">
        <v>2</v>
      </c>
      <c r="C453" s="1">
        <v>70</v>
      </c>
      <c r="D453" s="1">
        <v>2.5000000000000001E-2</v>
      </c>
      <c r="E453" s="1">
        <v>8.5000000000000006E-2</v>
      </c>
      <c r="F453" s="1">
        <v>0</v>
      </c>
      <c r="G453" s="1">
        <v>1</v>
      </c>
      <c r="H453" s="1">
        <v>1.4433544064399999</v>
      </c>
      <c r="I453" s="1">
        <v>1.3238888204499999</v>
      </c>
      <c r="J453" s="1">
        <v>0.64236964703400001</v>
      </c>
      <c r="K453" s="1">
        <v>12457.783101999999</v>
      </c>
      <c r="L453" s="1">
        <v>2891.86785474</v>
      </c>
      <c r="M453" s="1" t="s">
        <v>198</v>
      </c>
      <c r="N453" s="1" t="b">
        <v>1</v>
      </c>
    </row>
    <row r="454" spans="1:14" ht="19" customHeight="1" x14ac:dyDescent="0.3">
      <c r="A454">
        <v>449</v>
      </c>
      <c r="B454" s="1">
        <v>2</v>
      </c>
      <c r="C454" s="1">
        <v>70</v>
      </c>
      <c r="D454" s="1">
        <v>2.5000000000000001E-2</v>
      </c>
      <c r="E454" s="1">
        <v>8.5000000000000006E-2</v>
      </c>
      <c r="F454" s="1">
        <v>5</v>
      </c>
      <c r="G454" s="1">
        <v>0</v>
      </c>
      <c r="H454" s="1">
        <v>1.4112415566100001</v>
      </c>
      <c r="I454" s="1">
        <v>1.7259119094599999</v>
      </c>
      <c r="J454" s="1">
        <v>0.79087761833400005</v>
      </c>
      <c r="K454" s="1">
        <v>14123.0727601</v>
      </c>
      <c r="L454" s="1">
        <v>3560.4321780400001</v>
      </c>
      <c r="M454" s="1" t="s">
        <v>198</v>
      </c>
      <c r="N454" s="1" t="b">
        <v>1</v>
      </c>
    </row>
    <row r="455" spans="1:14" ht="19" customHeight="1" x14ac:dyDescent="0.3">
      <c r="A455">
        <v>450</v>
      </c>
      <c r="B455" s="1">
        <v>2</v>
      </c>
      <c r="C455" s="1">
        <v>70</v>
      </c>
      <c r="D455" s="1">
        <v>2.5000000000000001E-2</v>
      </c>
      <c r="E455" s="1">
        <v>8.5000000000000006E-2</v>
      </c>
      <c r="F455" s="1">
        <v>5</v>
      </c>
      <c r="G455" s="1">
        <v>1</v>
      </c>
      <c r="H455" s="1">
        <v>1.4112415566100001</v>
      </c>
      <c r="I455" s="1">
        <v>1.2944339321</v>
      </c>
      <c r="J455" s="1">
        <v>0.648519647034</v>
      </c>
      <c r="K455" s="1">
        <v>12180.6128407</v>
      </c>
      <c r="L455" s="1">
        <v>2919.5543859899999</v>
      </c>
      <c r="M455" s="1" t="s">
        <v>198</v>
      </c>
      <c r="N455" s="1" t="b">
        <v>1</v>
      </c>
    </row>
    <row r="456" spans="1:14" ht="19" customHeight="1" x14ac:dyDescent="0.3">
      <c r="A456">
        <v>451</v>
      </c>
      <c r="B456" s="1">
        <v>2</v>
      </c>
      <c r="C456" s="1">
        <v>70</v>
      </c>
      <c r="D456" s="1">
        <v>0.04</v>
      </c>
      <c r="E456" s="1">
        <v>0.04</v>
      </c>
      <c r="F456" s="1">
        <v>-5</v>
      </c>
      <c r="G456" s="1">
        <v>0</v>
      </c>
      <c r="H456" s="1">
        <v>1.48044686537</v>
      </c>
      <c r="I456" s="1">
        <v>1.8297198725999999</v>
      </c>
      <c r="J456" s="1">
        <v>0.79707087515300001</v>
      </c>
      <c r="K456" s="1">
        <v>14901.956883499999</v>
      </c>
      <c r="L456" s="1">
        <v>3588.3134460800002</v>
      </c>
      <c r="M456" s="1" t="s">
        <v>198</v>
      </c>
      <c r="N456" s="1" t="b">
        <v>1</v>
      </c>
    </row>
    <row r="457" spans="1:14" ht="19" customHeight="1" x14ac:dyDescent="0.3">
      <c r="A457">
        <v>452</v>
      </c>
      <c r="B457" s="1">
        <v>2</v>
      </c>
      <c r="C457" s="1">
        <v>70</v>
      </c>
      <c r="D457" s="1">
        <v>0.04</v>
      </c>
      <c r="E457" s="1">
        <v>0.04</v>
      </c>
      <c r="F457" s="1">
        <v>-5</v>
      </c>
      <c r="G457" s="1">
        <v>1</v>
      </c>
      <c r="H457" s="1">
        <v>1.48044686537</v>
      </c>
      <c r="I457" s="1">
        <v>1.3722899044500001</v>
      </c>
      <c r="J457" s="1">
        <v>0.65359811762499997</v>
      </c>
      <c r="K457" s="1">
        <v>12842.6643456</v>
      </c>
      <c r="L457" s="1">
        <v>2942.4170257800001</v>
      </c>
      <c r="M457" s="1" t="s">
        <v>198</v>
      </c>
      <c r="N457" s="1" t="b">
        <v>1</v>
      </c>
    </row>
    <row r="458" spans="1:14" ht="19" customHeight="1" x14ac:dyDescent="0.3">
      <c r="A458">
        <v>453</v>
      </c>
      <c r="B458" s="1">
        <v>2</v>
      </c>
      <c r="C458" s="1">
        <v>70</v>
      </c>
      <c r="D458" s="1">
        <v>0.04</v>
      </c>
      <c r="E458" s="1">
        <v>0.04</v>
      </c>
      <c r="F458" s="1">
        <v>0</v>
      </c>
      <c r="G458" s="1">
        <v>0</v>
      </c>
      <c r="H458" s="1">
        <v>1.51413448437</v>
      </c>
      <c r="I458" s="1">
        <v>1.87135521082</v>
      </c>
      <c r="J458" s="1">
        <v>0.78957087515299995</v>
      </c>
      <c r="K458" s="1">
        <v>15241.0514215</v>
      </c>
      <c r="L458" s="1">
        <v>3554.5493835799998</v>
      </c>
      <c r="M458" s="1" t="s">
        <v>198</v>
      </c>
      <c r="N458" s="1" t="b">
        <v>1</v>
      </c>
    </row>
    <row r="459" spans="1:14" ht="19" customHeight="1" x14ac:dyDescent="0.3">
      <c r="A459">
        <v>454</v>
      </c>
      <c r="B459" s="1">
        <v>2</v>
      </c>
      <c r="C459" s="1">
        <v>70</v>
      </c>
      <c r="D459" s="1">
        <v>0.04</v>
      </c>
      <c r="E459" s="1">
        <v>0.04</v>
      </c>
      <c r="F459" s="1">
        <v>0</v>
      </c>
      <c r="G459" s="1">
        <v>1</v>
      </c>
      <c r="H459" s="1">
        <v>1.51413448437</v>
      </c>
      <c r="I459" s="1">
        <v>1.40351640811</v>
      </c>
      <c r="J459" s="1">
        <v>0.64744811762499999</v>
      </c>
      <c r="K459" s="1">
        <v>13134.8996116</v>
      </c>
      <c r="L459" s="1">
        <v>2914.7304945300002</v>
      </c>
      <c r="M459" s="1" t="s">
        <v>198</v>
      </c>
      <c r="N459" s="1" t="b">
        <v>1</v>
      </c>
    </row>
    <row r="460" spans="1:14" ht="19" customHeight="1" x14ac:dyDescent="0.3">
      <c r="A460">
        <v>455</v>
      </c>
      <c r="B460" s="1">
        <v>2</v>
      </c>
      <c r="C460" s="1">
        <v>70</v>
      </c>
      <c r="D460" s="1">
        <v>0.04</v>
      </c>
      <c r="E460" s="1">
        <v>0.04</v>
      </c>
      <c r="F460" s="1">
        <v>5</v>
      </c>
      <c r="G460" s="1">
        <v>0</v>
      </c>
      <c r="H460" s="1">
        <v>1.48044686537</v>
      </c>
      <c r="I460" s="1">
        <v>1.8297198725999999</v>
      </c>
      <c r="J460" s="1">
        <v>0.79707087515300001</v>
      </c>
      <c r="K460" s="1">
        <v>14901.956883499999</v>
      </c>
      <c r="L460" s="1">
        <v>3588.3134460800002</v>
      </c>
      <c r="M460" s="1" t="s">
        <v>198</v>
      </c>
      <c r="N460" s="1" t="b">
        <v>1</v>
      </c>
    </row>
    <row r="461" spans="1:14" ht="19" customHeight="1" x14ac:dyDescent="0.3">
      <c r="A461">
        <v>456</v>
      </c>
      <c r="B461" s="1">
        <v>2</v>
      </c>
      <c r="C461" s="1">
        <v>70</v>
      </c>
      <c r="D461" s="1">
        <v>0.04</v>
      </c>
      <c r="E461" s="1">
        <v>0.04</v>
      </c>
      <c r="F461" s="1">
        <v>5</v>
      </c>
      <c r="G461" s="1">
        <v>1</v>
      </c>
      <c r="H461" s="1">
        <v>1.48044686537</v>
      </c>
      <c r="I461" s="1">
        <v>1.3722899044500001</v>
      </c>
      <c r="J461" s="1">
        <v>0.65359811762499997</v>
      </c>
      <c r="K461" s="1">
        <v>12842.6643456</v>
      </c>
      <c r="L461" s="1">
        <v>2942.4170257800001</v>
      </c>
      <c r="M461" s="1" t="s">
        <v>198</v>
      </c>
      <c r="N461" s="1" t="b">
        <v>1</v>
      </c>
    </row>
    <row r="462" spans="1:14" ht="19" customHeight="1" x14ac:dyDescent="0.3">
      <c r="A462">
        <v>457</v>
      </c>
      <c r="B462" s="1">
        <v>2</v>
      </c>
      <c r="C462" s="1">
        <v>70</v>
      </c>
      <c r="D462" s="1">
        <v>0.04</v>
      </c>
      <c r="E462" s="1">
        <v>0.06</v>
      </c>
      <c r="F462" s="1">
        <v>-5</v>
      </c>
      <c r="G462" s="1">
        <v>0</v>
      </c>
      <c r="H462" s="1">
        <v>1.5216426809200001</v>
      </c>
      <c r="I462" s="1">
        <v>1.89151359594</v>
      </c>
      <c r="J462" s="1">
        <v>0.80075753258100002</v>
      </c>
      <c r="K462" s="1">
        <v>15365.6029139</v>
      </c>
      <c r="L462" s="1">
        <v>3604.91031699</v>
      </c>
      <c r="M462" s="1" t="s">
        <v>198</v>
      </c>
      <c r="N462" s="1" t="b">
        <v>1</v>
      </c>
    </row>
    <row r="463" spans="1:14" ht="19" customHeight="1" x14ac:dyDescent="0.3">
      <c r="A463">
        <v>458</v>
      </c>
      <c r="B463" s="1">
        <v>2</v>
      </c>
      <c r="C463" s="1">
        <v>70</v>
      </c>
      <c r="D463" s="1">
        <v>0.04</v>
      </c>
      <c r="E463" s="1">
        <v>0.06</v>
      </c>
      <c r="F463" s="1">
        <v>-5</v>
      </c>
      <c r="G463" s="1">
        <v>1</v>
      </c>
      <c r="H463" s="1">
        <v>1.5216426809200001</v>
      </c>
      <c r="I463" s="1">
        <v>1.41863519695</v>
      </c>
      <c r="J463" s="1">
        <v>0.65662117671599995</v>
      </c>
      <c r="K463" s="1">
        <v>13236.7634715</v>
      </c>
      <c r="L463" s="1">
        <v>2956.0264599299999</v>
      </c>
      <c r="M463" s="1" t="s">
        <v>198</v>
      </c>
      <c r="N463" s="1" t="b">
        <v>1</v>
      </c>
    </row>
    <row r="464" spans="1:14" ht="19" customHeight="1" x14ac:dyDescent="0.3">
      <c r="A464">
        <v>459</v>
      </c>
      <c r="B464" s="1">
        <v>2</v>
      </c>
      <c r="C464" s="1">
        <v>70</v>
      </c>
      <c r="D464" s="1">
        <v>0.04</v>
      </c>
      <c r="E464" s="1">
        <v>0.06</v>
      </c>
      <c r="F464" s="1">
        <v>0</v>
      </c>
      <c r="G464" s="1">
        <v>0</v>
      </c>
      <c r="H464" s="1">
        <v>1.5562677121099999</v>
      </c>
      <c r="I464" s="1">
        <v>1.9345550524399999</v>
      </c>
      <c r="J464" s="1">
        <v>0.79325753258099996</v>
      </c>
      <c r="K464" s="1">
        <v>15715.2477332</v>
      </c>
      <c r="L464" s="1">
        <v>3571.14625449</v>
      </c>
      <c r="M464" s="1" t="s">
        <v>198</v>
      </c>
      <c r="N464" s="1" t="b">
        <v>1</v>
      </c>
    </row>
    <row r="465" spans="1:14" ht="19" customHeight="1" x14ac:dyDescent="0.3">
      <c r="A465">
        <v>460</v>
      </c>
      <c r="B465" s="1">
        <v>2</v>
      </c>
      <c r="C465" s="1">
        <v>70</v>
      </c>
      <c r="D465" s="1">
        <v>0.04</v>
      </c>
      <c r="E465" s="1">
        <v>0.06</v>
      </c>
      <c r="F465" s="1">
        <v>0</v>
      </c>
      <c r="G465" s="1">
        <v>1</v>
      </c>
      <c r="H465" s="1">
        <v>1.5562677121099999</v>
      </c>
      <c r="I465" s="1">
        <v>1.4509162893300001</v>
      </c>
      <c r="J465" s="1">
        <v>0.65047117671599997</v>
      </c>
      <c r="K465" s="1">
        <v>13537.9664765</v>
      </c>
      <c r="L465" s="1">
        <v>2928.33992868</v>
      </c>
      <c r="M465" s="1" t="s">
        <v>198</v>
      </c>
      <c r="N465" s="1" t="b">
        <v>1</v>
      </c>
    </row>
    <row r="466" spans="1:14" ht="19" customHeight="1" x14ac:dyDescent="0.3">
      <c r="A466">
        <v>461</v>
      </c>
      <c r="B466" s="1">
        <v>2</v>
      </c>
      <c r="C466" s="1">
        <v>70</v>
      </c>
      <c r="D466" s="1">
        <v>0.04</v>
      </c>
      <c r="E466" s="1">
        <v>0.06</v>
      </c>
      <c r="F466" s="1">
        <v>5</v>
      </c>
      <c r="G466" s="1">
        <v>0</v>
      </c>
      <c r="H466" s="1">
        <v>1.5216426809200001</v>
      </c>
      <c r="I466" s="1">
        <v>1.89151359594</v>
      </c>
      <c r="J466" s="1">
        <v>0.80075753258100002</v>
      </c>
      <c r="K466" s="1">
        <v>15365.6029139</v>
      </c>
      <c r="L466" s="1">
        <v>3604.91031699</v>
      </c>
      <c r="M466" s="1" t="s">
        <v>198</v>
      </c>
      <c r="N466" s="1" t="b">
        <v>1</v>
      </c>
    </row>
    <row r="467" spans="1:14" ht="19" customHeight="1" x14ac:dyDescent="0.3">
      <c r="A467">
        <v>462</v>
      </c>
      <c r="B467" s="1">
        <v>2</v>
      </c>
      <c r="C467" s="1">
        <v>70</v>
      </c>
      <c r="D467" s="1">
        <v>0.04</v>
      </c>
      <c r="E467" s="1">
        <v>0.06</v>
      </c>
      <c r="F467" s="1">
        <v>5</v>
      </c>
      <c r="G467" s="1">
        <v>1</v>
      </c>
      <c r="H467" s="1">
        <v>1.5216426809200001</v>
      </c>
      <c r="I467" s="1">
        <v>1.41863519695</v>
      </c>
      <c r="J467" s="1">
        <v>0.65662117671599995</v>
      </c>
      <c r="K467" s="1">
        <v>13236.7634715</v>
      </c>
      <c r="L467" s="1">
        <v>2956.0264599299999</v>
      </c>
      <c r="M467" s="1" t="s">
        <v>198</v>
      </c>
      <c r="N467" s="1" t="b">
        <v>1</v>
      </c>
    </row>
    <row r="468" spans="1:14" ht="19" customHeight="1" x14ac:dyDescent="0.3">
      <c r="A468">
        <v>463</v>
      </c>
      <c r="B468" s="1">
        <v>2</v>
      </c>
      <c r="C468" s="1">
        <v>70</v>
      </c>
      <c r="D468" s="1">
        <v>0.04</v>
      </c>
      <c r="E468" s="1">
        <v>8.5000000000000006E-2</v>
      </c>
      <c r="F468" s="1">
        <v>-5</v>
      </c>
      <c r="G468" s="1">
        <v>0</v>
      </c>
      <c r="H468" s="1">
        <v>1.41632636293</v>
      </c>
      <c r="I468" s="1">
        <v>1.73353911895</v>
      </c>
      <c r="J468" s="1">
        <v>0.79133266307000005</v>
      </c>
      <c r="K468" s="1">
        <v>14180.300666200001</v>
      </c>
      <c r="L468" s="1">
        <v>3562.48073256</v>
      </c>
      <c r="M468" s="1" t="s">
        <v>198</v>
      </c>
      <c r="N468" s="1" t="b">
        <v>1</v>
      </c>
    </row>
    <row r="469" spans="1:14" ht="19" customHeight="1" x14ac:dyDescent="0.3">
      <c r="A469">
        <v>464</v>
      </c>
      <c r="B469" s="1">
        <v>2</v>
      </c>
      <c r="C469" s="1">
        <v>70</v>
      </c>
      <c r="D469" s="1">
        <v>0.04</v>
      </c>
      <c r="E469" s="1">
        <v>8.5000000000000006E-2</v>
      </c>
      <c r="F469" s="1">
        <v>-5</v>
      </c>
      <c r="G469" s="1">
        <v>1</v>
      </c>
      <c r="H469" s="1">
        <v>1.41632636293</v>
      </c>
      <c r="I469" s="1">
        <v>1.3001543392099999</v>
      </c>
      <c r="J469" s="1">
        <v>0.64889278371699999</v>
      </c>
      <c r="K469" s="1">
        <v>12229.256560899999</v>
      </c>
      <c r="L469" s="1">
        <v>2921.2342007000002</v>
      </c>
      <c r="M469" s="1" t="s">
        <v>198</v>
      </c>
      <c r="N469" s="1" t="b">
        <v>1</v>
      </c>
    </row>
    <row r="470" spans="1:14" ht="19" customHeight="1" x14ac:dyDescent="0.3">
      <c r="A470">
        <v>465</v>
      </c>
      <c r="B470" s="1">
        <v>2</v>
      </c>
      <c r="C470" s="1">
        <v>70</v>
      </c>
      <c r="D470" s="1">
        <v>0.04</v>
      </c>
      <c r="E470" s="1">
        <v>8.5000000000000006E-2</v>
      </c>
      <c r="F470" s="1">
        <v>0</v>
      </c>
      <c r="G470" s="1">
        <v>0</v>
      </c>
      <c r="H470" s="1">
        <v>1.4485549177000001</v>
      </c>
      <c r="I470" s="1">
        <v>1.77298586082</v>
      </c>
      <c r="J470" s="1">
        <v>0.78383266306999999</v>
      </c>
      <c r="K470" s="1">
        <v>14502.9738923</v>
      </c>
      <c r="L470" s="1">
        <v>3528.7166700600001</v>
      </c>
      <c r="M470" s="1" t="s">
        <v>198</v>
      </c>
      <c r="N470" s="1" t="b">
        <v>1</v>
      </c>
    </row>
    <row r="471" spans="1:14" ht="19" customHeight="1" x14ac:dyDescent="0.3">
      <c r="A471">
        <v>466</v>
      </c>
      <c r="B471" s="1">
        <v>2</v>
      </c>
      <c r="C471" s="1">
        <v>70</v>
      </c>
      <c r="D471" s="1">
        <v>0.04</v>
      </c>
      <c r="E471" s="1">
        <v>8.5000000000000006E-2</v>
      </c>
      <c r="F471" s="1">
        <v>0</v>
      </c>
      <c r="G471" s="1">
        <v>1</v>
      </c>
      <c r="H471" s="1">
        <v>1.4485549177000001</v>
      </c>
      <c r="I471" s="1">
        <v>1.3297393956200001</v>
      </c>
      <c r="J471" s="1">
        <v>0.642742783717</v>
      </c>
      <c r="K471" s="1">
        <v>12507.533711800001</v>
      </c>
      <c r="L471" s="1">
        <v>2893.5476694499998</v>
      </c>
      <c r="M471" s="1" t="s">
        <v>198</v>
      </c>
      <c r="N471" s="1" t="b">
        <v>1</v>
      </c>
    </row>
    <row r="472" spans="1:14" ht="19" customHeight="1" x14ac:dyDescent="0.3">
      <c r="A472">
        <v>467</v>
      </c>
      <c r="B472" s="1">
        <v>2</v>
      </c>
      <c r="C472" s="1">
        <v>70</v>
      </c>
      <c r="D472" s="1">
        <v>0.04</v>
      </c>
      <c r="E472" s="1">
        <v>8.5000000000000006E-2</v>
      </c>
      <c r="F472" s="1">
        <v>5</v>
      </c>
      <c r="G472" s="1">
        <v>0</v>
      </c>
      <c r="H472" s="1">
        <v>1.41632636293</v>
      </c>
      <c r="I472" s="1">
        <v>1.73353911895</v>
      </c>
      <c r="J472" s="1">
        <v>0.79133266307000005</v>
      </c>
      <c r="K472" s="1">
        <v>14180.300666200001</v>
      </c>
      <c r="L472" s="1">
        <v>3562.48073256</v>
      </c>
      <c r="M472" s="1" t="s">
        <v>198</v>
      </c>
      <c r="N472" s="1" t="b">
        <v>1</v>
      </c>
    </row>
    <row r="473" spans="1:14" ht="19" customHeight="1" x14ac:dyDescent="0.3">
      <c r="A473">
        <v>468</v>
      </c>
      <c r="B473" s="1">
        <v>2</v>
      </c>
      <c r="C473" s="1">
        <v>70</v>
      </c>
      <c r="D473" s="1">
        <v>0.04</v>
      </c>
      <c r="E473" s="1">
        <v>8.5000000000000006E-2</v>
      </c>
      <c r="F473" s="1">
        <v>5</v>
      </c>
      <c r="G473" s="1">
        <v>1</v>
      </c>
      <c r="H473" s="1">
        <v>1.41632636293</v>
      </c>
      <c r="I473" s="1">
        <v>1.3001543392099999</v>
      </c>
      <c r="J473" s="1">
        <v>0.64889278371699999</v>
      </c>
      <c r="K473" s="1">
        <v>12229.256560899999</v>
      </c>
      <c r="L473" s="1">
        <v>2921.2342007000002</v>
      </c>
      <c r="M473" s="1" t="s">
        <v>198</v>
      </c>
      <c r="N473" s="1" t="b">
        <v>1</v>
      </c>
    </row>
    <row r="474" spans="1:14" ht="19" customHeight="1" x14ac:dyDescent="0.3">
      <c r="A474">
        <v>469</v>
      </c>
      <c r="B474" s="1">
        <v>2</v>
      </c>
      <c r="C474" s="1">
        <v>70</v>
      </c>
      <c r="D474" s="1">
        <v>5.5E-2</v>
      </c>
      <c r="E474" s="1">
        <v>0.04</v>
      </c>
      <c r="F474" s="1">
        <v>-5</v>
      </c>
      <c r="G474" s="1">
        <v>0</v>
      </c>
      <c r="H474" s="1">
        <v>1.3405617633</v>
      </c>
      <c r="I474" s="1">
        <v>1.6198922195100001</v>
      </c>
      <c r="J474" s="1">
        <v>0.78455240832299999</v>
      </c>
      <c r="K474" s="1">
        <v>13327.5937739</v>
      </c>
      <c r="L474" s="1">
        <v>3531.95687322</v>
      </c>
      <c r="M474" s="1" t="s">
        <v>198</v>
      </c>
      <c r="N474" s="1" t="b">
        <v>1</v>
      </c>
    </row>
    <row r="475" spans="1:14" ht="19" customHeight="1" x14ac:dyDescent="0.3">
      <c r="A475">
        <v>470</v>
      </c>
      <c r="B475" s="1">
        <v>2</v>
      </c>
      <c r="C475" s="1">
        <v>70</v>
      </c>
      <c r="D475" s="1">
        <v>5.5E-2</v>
      </c>
      <c r="E475" s="1">
        <v>0.04</v>
      </c>
      <c r="F475" s="1">
        <v>-5</v>
      </c>
      <c r="G475" s="1">
        <v>1</v>
      </c>
      <c r="H475" s="1">
        <v>1.3405617633</v>
      </c>
      <c r="I475" s="1">
        <v>1.2149191646299999</v>
      </c>
      <c r="J475" s="1">
        <v>0.64333297482499996</v>
      </c>
      <c r="K475" s="1">
        <v>11504.455702400001</v>
      </c>
      <c r="L475" s="1">
        <v>2896.20463604</v>
      </c>
      <c r="M475" s="1" t="s">
        <v>198</v>
      </c>
      <c r="N475" s="1" t="b">
        <v>1</v>
      </c>
    </row>
    <row r="476" spans="1:14" ht="19" customHeight="1" x14ac:dyDescent="0.3">
      <c r="A476">
        <v>471</v>
      </c>
      <c r="B476" s="1">
        <v>2</v>
      </c>
      <c r="C476" s="1">
        <v>70</v>
      </c>
      <c r="D476" s="1">
        <v>5.5E-2</v>
      </c>
      <c r="E476" s="1">
        <v>0.04</v>
      </c>
      <c r="F476" s="1">
        <v>0</v>
      </c>
      <c r="G476" s="1">
        <v>0</v>
      </c>
      <c r="H476" s="1">
        <v>1.3710662920300001</v>
      </c>
      <c r="I476" s="1">
        <v>1.6567529223099999</v>
      </c>
      <c r="J476" s="1">
        <v>0.77705240832300004</v>
      </c>
      <c r="K476" s="1">
        <v>13630.8636255</v>
      </c>
      <c r="L476" s="1">
        <v>3498.1928107200001</v>
      </c>
      <c r="M476" s="1" t="s">
        <v>198</v>
      </c>
      <c r="N476" s="1" t="b">
        <v>1</v>
      </c>
    </row>
    <row r="477" spans="1:14" ht="19" customHeight="1" x14ac:dyDescent="0.3">
      <c r="A477">
        <v>472</v>
      </c>
      <c r="B477" s="1">
        <v>2</v>
      </c>
      <c r="C477" s="1">
        <v>70</v>
      </c>
      <c r="D477" s="1">
        <v>5.5E-2</v>
      </c>
      <c r="E477" s="1">
        <v>0.04</v>
      </c>
      <c r="F477" s="1">
        <v>0</v>
      </c>
      <c r="G477" s="1">
        <v>1</v>
      </c>
      <c r="H477" s="1">
        <v>1.3710662920300001</v>
      </c>
      <c r="I477" s="1">
        <v>1.2425646917299999</v>
      </c>
      <c r="J477" s="1">
        <v>0.63718297482499997</v>
      </c>
      <c r="K477" s="1">
        <v>11766.239985</v>
      </c>
      <c r="L477" s="1">
        <v>2868.5181047900001</v>
      </c>
      <c r="M477" s="1" t="s">
        <v>198</v>
      </c>
      <c r="N477" s="1" t="b">
        <v>1</v>
      </c>
    </row>
    <row r="478" spans="1:14" ht="19" customHeight="1" x14ac:dyDescent="0.3">
      <c r="A478">
        <v>473</v>
      </c>
      <c r="B478" s="1">
        <v>2</v>
      </c>
      <c r="C478" s="1">
        <v>70</v>
      </c>
      <c r="D478" s="1">
        <v>5.5E-2</v>
      </c>
      <c r="E478" s="1">
        <v>0.04</v>
      </c>
      <c r="F478" s="1">
        <v>5</v>
      </c>
      <c r="G478" s="1">
        <v>0</v>
      </c>
      <c r="H478" s="1">
        <v>1.3405617633</v>
      </c>
      <c r="I478" s="1">
        <v>1.6198922195100001</v>
      </c>
      <c r="J478" s="1">
        <v>0.78455240832299999</v>
      </c>
      <c r="K478" s="1">
        <v>13327.5937739</v>
      </c>
      <c r="L478" s="1">
        <v>3531.95687322</v>
      </c>
      <c r="M478" s="1" t="s">
        <v>198</v>
      </c>
      <c r="N478" s="1" t="b">
        <v>1</v>
      </c>
    </row>
    <row r="479" spans="1:14" ht="19" customHeight="1" x14ac:dyDescent="0.3">
      <c r="A479">
        <v>474</v>
      </c>
      <c r="B479" s="1">
        <v>2</v>
      </c>
      <c r="C479" s="1">
        <v>70</v>
      </c>
      <c r="D479" s="1">
        <v>5.5E-2</v>
      </c>
      <c r="E479" s="1">
        <v>0.04</v>
      </c>
      <c r="F479" s="1">
        <v>5</v>
      </c>
      <c r="G479" s="1">
        <v>1</v>
      </c>
      <c r="H479" s="1">
        <v>1.3405617633</v>
      </c>
      <c r="I479" s="1">
        <v>1.2149191646299999</v>
      </c>
      <c r="J479" s="1">
        <v>0.64333297482499996</v>
      </c>
      <c r="K479" s="1">
        <v>11504.455702400001</v>
      </c>
      <c r="L479" s="1">
        <v>2896.20463604</v>
      </c>
      <c r="M479" s="1" t="s">
        <v>198</v>
      </c>
      <c r="N479" s="1" t="b">
        <v>1</v>
      </c>
    </row>
    <row r="480" spans="1:14" ht="19" customHeight="1" x14ac:dyDescent="0.3">
      <c r="A480">
        <v>475</v>
      </c>
      <c r="B480" s="1">
        <v>2</v>
      </c>
      <c r="C480" s="1">
        <v>70</v>
      </c>
      <c r="D480" s="1">
        <v>5.5E-2</v>
      </c>
      <c r="E480" s="1">
        <v>0.06</v>
      </c>
      <c r="F480" s="1">
        <v>-5</v>
      </c>
      <c r="G480" s="1">
        <v>0</v>
      </c>
      <c r="H480" s="1">
        <v>1.36819136301</v>
      </c>
      <c r="I480" s="1">
        <v>1.6613366190700001</v>
      </c>
      <c r="J480" s="1">
        <v>0.78702501063999997</v>
      </c>
      <c r="K480" s="1">
        <v>13638.556284300001</v>
      </c>
      <c r="L480" s="1">
        <v>3543.0882197699998</v>
      </c>
      <c r="M480" s="1" t="s">
        <v>198</v>
      </c>
      <c r="N480" s="1" t="b">
        <v>1</v>
      </c>
    </row>
    <row r="481" spans="1:14" ht="19" customHeight="1" x14ac:dyDescent="0.3">
      <c r="A481">
        <v>476</v>
      </c>
      <c r="B481" s="1">
        <v>2</v>
      </c>
      <c r="C481" s="1">
        <v>70</v>
      </c>
      <c r="D481" s="1">
        <v>5.5E-2</v>
      </c>
      <c r="E481" s="1">
        <v>0.06</v>
      </c>
      <c r="F481" s="1">
        <v>-5</v>
      </c>
      <c r="G481" s="1">
        <v>1</v>
      </c>
      <c r="H481" s="1">
        <v>1.36819136301</v>
      </c>
      <c r="I481" s="1">
        <v>1.2460024643000001</v>
      </c>
      <c r="J481" s="1">
        <v>0.64536050872499995</v>
      </c>
      <c r="K481" s="1">
        <v>11768.773836300001</v>
      </c>
      <c r="L481" s="1">
        <v>2905.33234021</v>
      </c>
      <c r="M481" s="1" t="s">
        <v>198</v>
      </c>
      <c r="N481" s="1" t="b">
        <v>1</v>
      </c>
    </row>
    <row r="482" spans="1:14" ht="19" customHeight="1" x14ac:dyDescent="0.3">
      <c r="A482">
        <v>477</v>
      </c>
      <c r="B482" s="1">
        <v>2</v>
      </c>
      <c r="C482" s="1">
        <v>70</v>
      </c>
      <c r="D482" s="1">
        <v>5.5E-2</v>
      </c>
      <c r="E482" s="1">
        <v>0.06</v>
      </c>
      <c r="F482" s="1">
        <v>0</v>
      </c>
      <c r="G482" s="1">
        <v>0</v>
      </c>
      <c r="H482" s="1">
        <v>1.39932460422</v>
      </c>
      <c r="I482" s="1">
        <v>1.6991403906</v>
      </c>
      <c r="J482" s="1">
        <v>0.77952501064000002</v>
      </c>
      <c r="K482" s="1">
        <v>13948.902098500001</v>
      </c>
      <c r="L482" s="1">
        <v>3509.3241572699999</v>
      </c>
      <c r="M482" s="1" t="s">
        <v>198</v>
      </c>
      <c r="N482" s="1" t="b">
        <v>1</v>
      </c>
    </row>
    <row r="483" spans="1:14" ht="19" customHeight="1" x14ac:dyDescent="0.3">
      <c r="A483">
        <v>478</v>
      </c>
      <c r="B483" s="1">
        <v>2</v>
      </c>
      <c r="C483" s="1">
        <v>70</v>
      </c>
      <c r="D483" s="1">
        <v>5.5E-2</v>
      </c>
      <c r="E483" s="1">
        <v>0.06</v>
      </c>
      <c r="F483" s="1">
        <v>0</v>
      </c>
      <c r="G483" s="1">
        <v>1</v>
      </c>
      <c r="H483" s="1">
        <v>1.39932460422</v>
      </c>
      <c r="I483" s="1">
        <v>1.2743552929499999</v>
      </c>
      <c r="J483" s="1">
        <v>0.63921050872499996</v>
      </c>
      <c r="K483" s="1">
        <v>12036.572687100001</v>
      </c>
      <c r="L483" s="1">
        <v>2877.6458089600001</v>
      </c>
      <c r="M483" s="1" t="s">
        <v>198</v>
      </c>
      <c r="N483" s="1" t="b">
        <v>1</v>
      </c>
    </row>
    <row r="484" spans="1:14" ht="19" customHeight="1" x14ac:dyDescent="0.3">
      <c r="A484">
        <v>479</v>
      </c>
      <c r="B484" s="1">
        <v>2</v>
      </c>
      <c r="C484" s="1">
        <v>70</v>
      </c>
      <c r="D484" s="1">
        <v>5.5E-2</v>
      </c>
      <c r="E484" s="1">
        <v>0.06</v>
      </c>
      <c r="F484" s="1">
        <v>5</v>
      </c>
      <c r="G484" s="1">
        <v>0</v>
      </c>
      <c r="H484" s="1">
        <v>1.36819136301</v>
      </c>
      <c r="I484" s="1">
        <v>1.6613366190700001</v>
      </c>
      <c r="J484" s="1">
        <v>0.78702501063999997</v>
      </c>
      <c r="K484" s="1">
        <v>13638.556284300001</v>
      </c>
      <c r="L484" s="1">
        <v>3543.0882197699998</v>
      </c>
      <c r="M484" s="1" t="s">
        <v>198</v>
      </c>
      <c r="N484" s="1" t="b">
        <v>1</v>
      </c>
    </row>
    <row r="485" spans="1:14" ht="19" customHeight="1" x14ac:dyDescent="0.3">
      <c r="A485">
        <v>480</v>
      </c>
      <c r="B485" s="1">
        <v>2</v>
      </c>
      <c r="C485" s="1">
        <v>70</v>
      </c>
      <c r="D485" s="1">
        <v>5.5E-2</v>
      </c>
      <c r="E485" s="1">
        <v>0.06</v>
      </c>
      <c r="F485" s="1">
        <v>5</v>
      </c>
      <c r="G485" s="1">
        <v>1</v>
      </c>
      <c r="H485" s="1">
        <v>1.36819136301</v>
      </c>
      <c r="I485" s="1">
        <v>1.2460024643000001</v>
      </c>
      <c r="J485" s="1">
        <v>0.64536050872499995</v>
      </c>
      <c r="K485" s="1">
        <v>11768.773836300001</v>
      </c>
      <c r="L485" s="1">
        <v>2905.33234021</v>
      </c>
      <c r="M485" s="1" t="s">
        <v>198</v>
      </c>
      <c r="N485" s="1" t="b">
        <v>1</v>
      </c>
    </row>
    <row r="486" spans="1:14" ht="19" customHeight="1" x14ac:dyDescent="0.3">
      <c r="A486">
        <v>481</v>
      </c>
      <c r="B486" s="1">
        <v>2</v>
      </c>
      <c r="C486" s="1">
        <v>70</v>
      </c>
      <c r="D486" s="1">
        <v>5.5E-2</v>
      </c>
      <c r="E486" s="1">
        <v>8.5000000000000006E-2</v>
      </c>
      <c r="F486" s="1">
        <v>-5</v>
      </c>
      <c r="G486" s="1">
        <v>0</v>
      </c>
      <c r="H486" s="1">
        <v>1.2975568175000001</v>
      </c>
      <c r="I486" s="1">
        <v>1.5553848008</v>
      </c>
      <c r="J486" s="1">
        <v>0.78070384990200004</v>
      </c>
      <c r="K486" s="1">
        <v>12843.5865479</v>
      </c>
      <c r="L486" s="1">
        <v>3514.6311442800002</v>
      </c>
      <c r="M486" s="1" t="s">
        <v>198</v>
      </c>
      <c r="N486" s="1" t="b">
        <v>1</v>
      </c>
    </row>
    <row r="487" spans="1:14" ht="19" customHeight="1" x14ac:dyDescent="0.3">
      <c r="A487">
        <v>482</v>
      </c>
      <c r="B487" s="1">
        <v>2</v>
      </c>
      <c r="C487" s="1">
        <v>70</v>
      </c>
      <c r="D487" s="1">
        <v>5.5E-2</v>
      </c>
      <c r="E487" s="1">
        <v>8.5000000000000006E-2</v>
      </c>
      <c r="F487" s="1">
        <v>-5</v>
      </c>
      <c r="G487" s="1">
        <v>1</v>
      </c>
      <c r="H487" s="1">
        <v>1.2975568175000001</v>
      </c>
      <c r="I487" s="1">
        <v>1.1665386006</v>
      </c>
      <c r="J487" s="1">
        <v>0.64017715691900001</v>
      </c>
      <c r="K487" s="1">
        <v>11093.049560400001</v>
      </c>
      <c r="L487" s="1">
        <v>2881.99753831</v>
      </c>
      <c r="M487" s="1" t="s">
        <v>198</v>
      </c>
      <c r="N487" s="1" t="b">
        <v>1</v>
      </c>
    </row>
    <row r="488" spans="1:14" ht="19" customHeight="1" x14ac:dyDescent="0.3">
      <c r="A488">
        <v>483</v>
      </c>
      <c r="B488" s="1">
        <v>2</v>
      </c>
      <c r="C488" s="1">
        <v>70</v>
      </c>
      <c r="D488" s="1">
        <v>5.5E-2</v>
      </c>
      <c r="E488" s="1">
        <v>8.5000000000000006E-2</v>
      </c>
      <c r="F488" s="1">
        <v>0</v>
      </c>
      <c r="G488" s="1">
        <v>0</v>
      </c>
      <c r="H488" s="1">
        <v>1.3270827672100001</v>
      </c>
      <c r="I488" s="1">
        <v>1.59077763508</v>
      </c>
      <c r="J488" s="1">
        <v>0.77320384990199997</v>
      </c>
      <c r="K488" s="1">
        <v>13135.842798600001</v>
      </c>
      <c r="L488" s="1">
        <v>3480.8670817799998</v>
      </c>
      <c r="M488" s="1" t="s">
        <v>198</v>
      </c>
      <c r="N488" s="1" t="b">
        <v>1</v>
      </c>
    </row>
    <row r="489" spans="1:14" ht="19" customHeight="1" x14ac:dyDescent="0.3">
      <c r="A489">
        <v>484</v>
      </c>
      <c r="B489" s="1">
        <v>2</v>
      </c>
      <c r="C489" s="1">
        <v>70</v>
      </c>
      <c r="D489" s="1">
        <v>5.5E-2</v>
      </c>
      <c r="E489" s="1">
        <v>8.5000000000000006E-2</v>
      </c>
      <c r="F489" s="1">
        <v>0</v>
      </c>
      <c r="G489" s="1">
        <v>1</v>
      </c>
      <c r="H489" s="1">
        <v>1.3270827672100001</v>
      </c>
      <c r="I489" s="1">
        <v>1.19308322631</v>
      </c>
      <c r="J489" s="1">
        <v>0.63402715691900002</v>
      </c>
      <c r="K489" s="1">
        <v>11345.4722821</v>
      </c>
      <c r="L489" s="1">
        <v>2854.3110070600001</v>
      </c>
      <c r="M489" s="1" t="s">
        <v>198</v>
      </c>
      <c r="N489" s="1" t="b">
        <v>1</v>
      </c>
    </row>
    <row r="490" spans="1:14" ht="19" customHeight="1" x14ac:dyDescent="0.3">
      <c r="A490">
        <v>485</v>
      </c>
      <c r="B490" s="1">
        <v>2</v>
      </c>
      <c r="C490" s="1">
        <v>70</v>
      </c>
      <c r="D490" s="1">
        <v>5.5E-2</v>
      </c>
      <c r="E490" s="1">
        <v>8.5000000000000006E-2</v>
      </c>
      <c r="F490" s="1">
        <v>5</v>
      </c>
      <c r="G490" s="1">
        <v>0</v>
      </c>
      <c r="H490" s="1">
        <v>1.2975568175000001</v>
      </c>
      <c r="I490" s="1">
        <v>1.5553848008</v>
      </c>
      <c r="J490" s="1">
        <v>0.78070384990200004</v>
      </c>
      <c r="K490" s="1">
        <v>12843.5865479</v>
      </c>
      <c r="L490" s="1">
        <v>3514.6311442800002</v>
      </c>
      <c r="M490" s="1" t="s">
        <v>198</v>
      </c>
      <c r="N490" s="1" t="b">
        <v>1</v>
      </c>
    </row>
    <row r="491" spans="1:14" ht="19" customHeight="1" x14ac:dyDescent="0.3">
      <c r="A491">
        <v>486</v>
      </c>
      <c r="B491" s="1">
        <v>2</v>
      </c>
      <c r="C491" s="1">
        <v>70</v>
      </c>
      <c r="D491" s="1">
        <v>5.5E-2</v>
      </c>
      <c r="E491" s="1">
        <v>8.5000000000000006E-2</v>
      </c>
      <c r="F491" s="1">
        <v>5</v>
      </c>
      <c r="G491" s="1">
        <v>1</v>
      </c>
      <c r="H491" s="1">
        <v>1.2975568175000001</v>
      </c>
      <c r="I491" s="1">
        <v>1.1665386006</v>
      </c>
      <c r="J491" s="1">
        <v>0.64017715691900001</v>
      </c>
      <c r="K491" s="1">
        <v>11093.049560400001</v>
      </c>
      <c r="L491" s="1">
        <v>2881.99753831</v>
      </c>
      <c r="M491" s="1" t="s">
        <v>198</v>
      </c>
      <c r="N491" s="1" t="b">
        <v>1</v>
      </c>
    </row>
    <row r="492" spans="1:14" ht="19" customHeight="1" x14ac:dyDescent="0.3">
      <c r="A492">
        <v>487</v>
      </c>
      <c r="B492" s="1">
        <v>2</v>
      </c>
      <c r="C492" s="1">
        <v>90</v>
      </c>
      <c r="D492" s="1">
        <v>2.5000000000000001E-2</v>
      </c>
      <c r="E492" s="1">
        <v>0.04</v>
      </c>
      <c r="F492" s="1">
        <v>-5</v>
      </c>
      <c r="G492" s="1">
        <v>0</v>
      </c>
      <c r="H492" s="1">
        <v>1.4744580519099999</v>
      </c>
      <c r="I492" s="1">
        <v>1.8207366524299999</v>
      </c>
      <c r="J492" s="1">
        <v>0.79653492985600005</v>
      </c>
      <c r="K492" s="1">
        <v>24522.4270904</v>
      </c>
      <c r="L492" s="1">
        <v>5927.7133811200001</v>
      </c>
      <c r="M492" s="1" t="s">
        <v>198</v>
      </c>
      <c r="N492" s="1" t="b">
        <v>1</v>
      </c>
    </row>
    <row r="493" spans="1:14" ht="19" customHeight="1" x14ac:dyDescent="0.3">
      <c r="A493">
        <v>488</v>
      </c>
      <c r="B493" s="1">
        <v>2</v>
      </c>
      <c r="C493" s="1">
        <v>90</v>
      </c>
      <c r="D493" s="1">
        <v>2.5000000000000001E-2</v>
      </c>
      <c r="E493" s="1">
        <v>0.04</v>
      </c>
      <c r="F493" s="1">
        <v>-5</v>
      </c>
      <c r="G493" s="1">
        <v>1</v>
      </c>
      <c r="H493" s="1">
        <v>1.4744580519099999</v>
      </c>
      <c r="I493" s="1">
        <v>1.36555248932</v>
      </c>
      <c r="J493" s="1">
        <v>0.65315864248199995</v>
      </c>
      <c r="K493" s="1">
        <v>21135.003446499999</v>
      </c>
      <c r="L493" s="1">
        <v>4860.7249725199999</v>
      </c>
      <c r="M493" s="1" t="s">
        <v>198</v>
      </c>
      <c r="N493" s="1" t="b">
        <v>1</v>
      </c>
    </row>
    <row r="494" spans="1:14" ht="19" customHeight="1" x14ac:dyDescent="0.3">
      <c r="A494">
        <v>489</v>
      </c>
      <c r="B494" s="1">
        <v>2</v>
      </c>
      <c r="C494" s="1">
        <v>90</v>
      </c>
      <c r="D494" s="1">
        <v>2.5000000000000001E-2</v>
      </c>
      <c r="E494" s="1">
        <v>0.04</v>
      </c>
      <c r="F494" s="1">
        <v>0</v>
      </c>
      <c r="G494" s="1">
        <v>0</v>
      </c>
      <c r="H494" s="1">
        <v>1.50800939526</v>
      </c>
      <c r="I494" s="1">
        <v>1.8621675771599999</v>
      </c>
      <c r="J494" s="1">
        <v>0.78903492985599999</v>
      </c>
      <c r="K494" s="1">
        <v>25080.4357566</v>
      </c>
      <c r="L494" s="1">
        <v>5871.8993186199996</v>
      </c>
      <c r="M494" s="1" t="s">
        <v>198</v>
      </c>
      <c r="N494" s="1" t="b">
        <v>1</v>
      </c>
    </row>
    <row r="495" spans="1:14" ht="19" customHeight="1" x14ac:dyDescent="0.3">
      <c r="A495">
        <v>490</v>
      </c>
      <c r="B495" s="1">
        <v>2</v>
      </c>
      <c r="C495" s="1">
        <v>90</v>
      </c>
      <c r="D495" s="1">
        <v>2.5000000000000001E-2</v>
      </c>
      <c r="E495" s="1">
        <v>0.04</v>
      </c>
      <c r="F495" s="1">
        <v>0</v>
      </c>
      <c r="G495" s="1">
        <v>1</v>
      </c>
      <c r="H495" s="1">
        <v>1.50800939526</v>
      </c>
      <c r="I495" s="1">
        <v>1.3966256828700001</v>
      </c>
      <c r="J495" s="1">
        <v>0.64700864248199996</v>
      </c>
      <c r="K495" s="1">
        <v>21615.931172000001</v>
      </c>
      <c r="L495" s="1">
        <v>4814.9574412700003</v>
      </c>
      <c r="M495" s="1" t="s">
        <v>198</v>
      </c>
      <c r="N495" s="1" t="b">
        <v>1</v>
      </c>
    </row>
    <row r="496" spans="1:14" ht="19" customHeight="1" x14ac:dyDescent="0.3">
      <c r="A496">
        <v>491</v>
      </c>
      <c r="B496" s="1">
        <v>2</v>
      </c>
      <c r="C496" s="1">
        <v>90</v>
      </c>
      <c r="D496" s="1">
        <v>2.5000000000000001E-2</v>
      </c>
      <c r="E496" s="1">
        <v>0.04</v>
      </c>
      <c r="F496" s="1">
        <v>5</v>
      </c>
      <c r="G496" s="1">
        <v>0</v>
      </c>
      <c r="H496" s="1">
        <v>1.4744580519099999</v>
      </c>
      <c r="I496" s="1">
        <v>1.8207366524299999</v>
      </c>
      <c r="J496" s="1">
        <v>0.79653492985600005</v>
      </c>
      <c r="K496" s="1">
        <v>24522.4270904</v>
      </c>
      <c r="L496" s="1">
        <v>5927.7133811200001</v>
      </c>
      <c r="M496" s="1" t="s">
        <v>198</v>
      </c>
      <c r="N496" s="1" t="b">
        <v>1</v>
      </c>
    </row>
    <row r="497" spans="1:14" ht="19" customHeight="1" x14ac:dyDescent="0.3">
      <c r="A497">
        <v>492</v>
      </c>
      <c r="B497" s="1">
        <v>2</v>
      </c>
      <c r="C497" s="1">
        <v>90</v>
      </c>
      <c r="D497" s="1">
        <v>2.5000000000000001E-2</v>
      </c>
      <c r="E497" s="1">
        <v>0.04</v>
      </c>
      <c r="F497" s="1">
        <v>5</v>
      </c>
      <c r="G497" s="1">
        <v>1</v>
      </c>
      <c r="H497" s="1">
        <v>1.4744580519099999</v>
      </c>
      <c r="I497" s="1">
        <v>1.36555248932</v>
      </c>
      <c r="J497" s="1">
        <v>0.65315864248199995</v>
      </c>
      <c r="K497" s="1">
        <v>21135.003446499999</v>
      </c>
      <c r="L497" s="1">
        <v>4860.7249725199999</v>
      </c>
      <c r="M497" s="1" t="s">
        <v>198</v>
      </c>
      <c r="N497" s="1" t="b">
        <v>1</v>
      </c>
    </row>
    <row r="498" spans="1:14" ht="19" customHeight="1" x14ac:dyDescent="0.3">
      <c r="A498">
        <v>493</v>
      </c>
      <c r="B498" s="1">
        <v>2</v>
      </c>
      <c r="C498" s="1">
        <v>90</v>
      </c>
      <c r="D498" s="1">
        <v>2.5000000000000001E-2</v>
      </c>
      <c r="E498" s="1">
        <v>0.06</v>
      </c>
      <c r="F498" s="1">
        <v>-5</v>
      </c>
      <c r="G498" s="1">
        <v>0</v>
      </c>
      <c r="H498" s="1">
        <v>1.51507306555</v>
      </c>
      <c r="I498" s="1">
        <v>1.8816591728800001</v>
      </c>
      <c r="J498" s="1">
        <v>0.80016961070100001</v>
      </c>
      <c r="K498" s="1">
        <v>25278.056726800001</v>
      </c>
      <c r="L498" s="1">
        <v>5954.7622216299997</v>
      </c>
      <c r="M498" s="1" t="s">
        <v>198</v>
      </c>
      <c r="N498" s="1" t="b">
        <v>1</v>
      </c>
    </row>
    <row r="499" spans="1:14" ht="19" customHeight="1" x14ac:dyDescent="0.3">
      <c r="A499">
        <v>494</v>
      </c>
      <c r="B499" s="1">
        <v>2</v>
      </c>
      <c r="C499" s="1">
        <v>90</v>
      </c>
      <c r="D499" s="1">
        <v>2.5000000000000001E-2</v>
      </c>
      <c r="E499" s="1">
        <v>0.06</v>
      </c>
      <c r="F499" s="1">
        <v>-5</v>
      </c>
      <c r="G499" s="1">
        <v>1</v>
      </c>
      <c r="H499" s="1">
        <v>1.51507306555</v>
      </c>
      <c r="I499" s="1">
        <v>1.41124437966</v>
      </c>
      <c r="J499" s="1">
        <v>0.65613908077500005</v>
      </c>
      <c r="K499" s="1">
        <v>21777.288637599999</v>
      </c>
      <c r="L499" s="1">
        <v>4882.9050217399999</v>
      </c>
      <c r="M499" s="1" t="s">
        <v>198</v>
      </c>
      <c r="N499" s="1" t="b">
        <v>1</v>
      </c>
    </row>
    <row r="500" spans="1:14" ht="19" customHeight="1" x14ac:dyDescent="0.3">
      <c r="A500">
        <v>495</v>
      </c>
      <c r="B500" s="1">
        <v>2</v>
      </c>
      <c r="C500" s="1">
        <v>90</v>
      </c>
      <c r="D500" s="1">
        <v>2.5000000000000001E-2</v>
      </c>
      <c r="E500" s="1">
        <v>0.06</v>
      </c>
      <c r="F500" s="1">
        <v>0</v>
      </c>
      <c r="G500" s="1">
        <v>0</v>
      </c>
      <c r="H500" s="1">
        <v>1.54954860492</v>
      </c>
      <c r="I500" s="1">
        <v>1.9244763916400001</v>
      </c>
      <c r="J500" s="1">
        <v>0.79266961070099995</v>
      </c>
      <c r="K500" s="1">
        <v>25853.2597713</v>
      </c>
      <c r="L500" s="1">
        <v>5898.94815913</v>
      </c>
      <c r="M500" s="1" t="s">
        <v>198</v>
      </c>
      <c r="N500" s="1" t="b">
        <v>1</v>
      </c>
    </row>
    <row r="501" spans="1:14" ht="19" customHeight="1" x14ac:dyDescent="0.3">
      <c r="A501">
        <v>496</v>
      </c>
      <c r="B501" s="1">
        <v>2</v>
      </c>
      <c r="C501" s="1">
        <v>90</v>
      </c>
      <c r="D501" s="1">
        <v>2.5000000000000001E-2</v>
      </c>
      <c r="E501" s="1">
        <v>0.06</v>
      </c>
      <c r="F501" s="1">
        <v>0</v>
      </c>
      <c r="G501" s="1">
        <v>1</v>
      </c>
      <c r="H501" s="1">
        <v>1.54954860492</v>
      </c>
      <c r="I501" s="1">
        <v>1.4433572937300001</v>
      </c>
      <c r="J501" s="1">
        <v>0.64998908077499995</v>
      </c>
      <c r="K501" s="1">
        <v>22272.8315845</v>
      </c>
      <c r="L501" s="1">
        <v>4837.1374904900003</v>
      </c>
      <c r="M501" s="1" t="s">
        <v>198</v>
      </c>
      <c r="N501" s="1" t="b">
        <v>1</v>
      </c>
    </row>
    <row r="502" spans="1:14" ht="19" customHeight="1" x14ac:dyDescent="0.3">
      <c r="A502">
        <v>497</v>
      </c>
      <c r="B502" s="1">
        <v>2</v>
      </c>
      <c r="C502" s="1">
        <v>90</v>
      </c>
      <c r="D502" s="1">
        <v>2.5000000000000001E-2</v>
      </c>
      <c r="E502" s="1">
        <v>0.06</v>
      </c>
      <c r="F502" s="1">
        <v>5</v>
      </c>
      <c r="G502" s="1">
        <v>0</v>
      </c>
      <c r="H502" s="1">
        <v>1.51507306555</v>
      </c>
      <c r="I502" s="1">
        <v>1.8816591728800001</v>
      </c>
      <c r="J502" s="1">
        <v>0.80016961070100001</v>
      </c>
      <c r="K502" s="1">
        <v>25278.056726800001</v>
      </c>
      <c r="L502" s="1">
        <v>5954.7622216299997</v>
      </c>
      <c r="M502" s="1" t="s">
        <v>198</v>
      </c>
      <c r="N502" s="1" t="b">
        <v>1</v>
      </c>
    </row>
    <row r="503" spans="1:14" ht="19" customHeight="1" x14ac:dyDescent="0.3">
      <c r="A503">
        <v>498</v>
      </c>
      <c r="B503" s="1">
        <v>2</v>
      </c>
      <c r="C503" s="1">
        <v>90</v>
      </c>
      <c r="D503" s="1">
        <v>2.5000000000000001E-2</v>
      </c>
      <c r="E503" s="1">
        <v>0.06</v>
      </c>
      <c r="F503" s="1">
        <v>5</v>
      </c>
      <c r="G503" s="1">
        <v>1</v>
      </c>
      <c r="H503" s="1">
        <v>1.51507306555</v>
      </c>
      <c r="I503" s="1">
        <v>1.41124437966</v>
      </c>
      <c r="J503" s="1">
        <v>0.65613908077500005</v>
      </c>
      <c r="K503" s="1">
        <v>21777.288637599999</v>
      </c>
      <c r="L503" s="1">
        <v>4882.9050217399999</v>
      </c>
      <c r="M503" s="1" t="s">
        <v>198</v>
      </c>
      <c r="N503" s="1" t="b">
        <v>1</v>
      </c>
    </row>
    <row r="504" spans="1:14" ht="19" customHeight="1" x14ac:dyDescent="0.3">
      <c r="A504">
        <v>499</v>
      </c>
      <c r="B504" s="1">
        <v>2</v>
      </c>
      <c r="C504" s="1">
        <v>90</v>
      </c>
      <c r="D504" s="1">
        <v>2.5000000000000001E-2</v>
      </c>
      <c r="E504" s="1">
        <v>8.5000000000000006E-2</v>
      </c>
      <c r="F504" s="1">
        <v>-5</v>
      </c>
      <c r="G504" s="1">
        <v>0</v>
      </c>
      <c r="H504" s="1">
        <v>1.4112415566100001</v>
      </c>
      <c r="I504" s="1">
        <v>1.7259119094599999</v>
      </c>
      <c r="J504" s="1">
        <v>0.79087761833400005</v>
      </c>
      <c r="K504" s="1">
        <v>23346.3039503</v>
      </c>
      <c r="L504" s="1">
        <v>5885.6123759399998</v>
      </c>
      <c r="M504" s="1" t="s">
        <v>198</v>
      </c>
      <c r="N504" s="1" t="b">
        <v>1</v>
      </c>
    </row>
    <row r="505" spans="1:14" ht="19" customHeight="1" x14ac:dyDescent="0.3">
      <c r="A505">
        <v>500</v>
      </c>
      <c r="B505" s="1">
        <v>2</v>
      </c>
      <c r="C505" s="1">
        <v>90</v>
      </c>
      <c r="D505" s="1">
        <v>2.5000000000000001E-2</v>
      </c>
      <c r="E505" s="1">
        <v>8.5000000000000006E-2</v>
      </c>
      <c r="F505" s="1">
        <v>-5</v>
      </c>
      <c r="G505" s="1">
        <v>1</v>
      </c>
      <c r="H505" s="1">
        <v>1.4112415566100001</v>
      </c>
      <c r="I505" s="1">
        <v>1.2944339321</v>
      </c>
      <c r="J505" s="1">
        <v>0.648519647034</v>
      </c>
      <c r="K505" s="1">
        <v>20135.2987775</v>
      </c>
      <c r="L505" s="1">
        <v>4826.2021482700002</v>
      </c>
      <c r="M505" s="1" t="s">
        <v>198</v>
      </c>
      <c r="N505" s="1" t="b">
        <v>1</v>
      </c>
    </row>
    <row r="506" spans="1:14" ht="19" customHeight="1" x14ac:dyDescent="0.3">
      <c r="A506">
        <v>501</v>
      </c>
      <c r="B506" s="1">
        <v>2</v>
      </c>
      <c r="C506" s="1">
        <v>90</v>
      </c>
      <c r="D506" s="1">
        <v>2.5000000000000001E-2</v>
      </c>
      <c r="E506" s="1">
        <v>8.5000000000000006E-2</v>
      </c>
      <c r="F506" s="1">
        <v>0</v>
      </c>
      <c r="G506" s="1">
        <v>0</v>
      </c>
      <c r="H506" s="1">
        <v>1.4433544064399999</v>
      </c>
      <c r="I506" s="1">
        <v>1.76518509393</v>
      </c>
      <c r="J506" s="1">
        <v>0.78337761833399999</v>
      </c>
      <c r="K506" s="1">
        <v>23877.549894299998</v>
      </c>
      <c r="L506" s="1">
        <v>5829.7983134400001</v>
      </c>
      <c r="M506" s="1" t="s">
        <v>198</v>
      </c>
      <c r="N506" s="1" t="b">
        <v>1</v>
      </c>
    </row>
    <row r="507" spans="1:14" ht="19" customHeight="1" x14ac:dyDescent="0.3">
      <c r="A507">
        <v>502</v>
      </c>
      <c r="B507" s="1">
        <v>2</v>
      </c>
      <c r="C507" s="1">
        <v>90</v>
      </c>
      <c r="D507" s="1">
        <v>2.5000000000000001E-2</v>
      </c>
      <c r="E507" s="1">
        <v>8.5000000000000006E-2</v>
      </c>
      <c r="F507" s="1">
        <v>0</v>
      </c>
      <c r="G507" s="1">
        <v>1</v>
      </c>
      <c r="H507" s="1">
        <v>1.4433544064399999</v>
      </c>
      <c r="I507" s="1">
        <v>1.3238888204499999</v>
      </c>
      <c r="J507" s="1">
        <v>0.64236964703400001</v>
      </c>
      <c r="K507" s="1">
        <v>20593.478189099998</v>
      </c>
      <c r="L507" s="1">
        <v>4780.4346170199997</v>
      </c>
      <c r="M507" s="1" t="s">
        <v>198</v>
      </c>
      <c r="N507" s="1" t="b">
        <v>1</v>
      </c>
    </row>
    <row r="508" spans="1:14" ht="19" customHeight="1" x14ac:dyDescent="0.3">
      <c r="A508">
        <v>503</v>
      </c>
      <c r="B508" s="1">
        <v>2</v>
      </c>
      <c r="C508" s="1">
        <v>90</v>
      </c>
      <c r="D508" s="1">
        <v>2.5000000000000001E-2</v>
      </c>
      <c r="E508" s="1">
        <v>8.5000000000000006E-2</v>
      </c>
      <c r="F508" s="1">
        <v>5</v>
      </c>
      <c r="G508" s="1">
        <v>0</v>
      </c>
      <c r="H508" s="1">
        <v>1.4112415566100001</v>
      </c>
      <c r="I508" s="1">
        <v>1.7259119094599999</v>
      </c>
      <c r="J508" s="1">
        <v>0.79087761833400005</v>
      </c>
      <c r="K508" s="1">
        <v>23346.3039503</v>
      </c>
      <c r="L508" s="1">
        <v>5885.6123759399998</v>
      </c>
      <c r="M508" s="1" t="s">
        <v>198</v>
      </c>
      <c r="N508" s="1" t="b">
        <v>1</v>
      </c>
    </row>
    <row r="509" spans="1:14" ht="19" customHeight="1" x14ac:dyDescent="0.3">
      <c r="A509">
        <v>504</v>
      </c>
      <c r="B509" s="1">
        <v>2</v>
      </c>
      <c r="C509" s="1">
        <v>90</v>
      </c>
      <c r="D509" s="1">
        <v>2.5000000000000001E-2</v>
      </c>
      <c r="E509" s="1">
        <v>8.5000000000000006E-2</v>
      </c>
      <c r="F509" s="1">
        <v>5</v>
      </c>
      <c r="G509" s="1">
        <v>1</v>
      </c>
      <c r="H509" s="1">
        <v>1.4112415566100001</v>
      </c>
      <c r="I509" s="1">
        <v>1.2944339321</v>
      </c>
      <c r="J509" s="1">
        <v>0.648519647034</v>
      </c>
      <c r="K509" s="1">
        <v>20135.2987775</v>
      </c>
      <c r="L509" s="1">
        <v>4826.2021482700002</v>
      </c>
      <c r="M509" s="1" t="s">
        <v>198</v>
      </c>
      <c r="N509" s="1" t="b">
        <v>1</v>
      </c>
    </row>
    <row r="510" spans="1:14" ht="19" customHeight="1" x14ac:dyDescent="0.3">
      <c r="A510">
        <v>505</v>
      </c>
      <c r="B510" s="1">
        <v>2</v>
      </c>
      <c r="C510" s="1">
        <v>90</v>
      </c>
      <c r="D510" s="1">
        <v>0.04</v>
      </c>
      <c r="E510" s="1">
        <v>0.04</v>
      </c>
      <c r="F510" s="1">
        <v>-5</v>
      </c>
      <c r="G510" s="1">
        <v>0</v>
      </c>
      <c r="H510" s="1">
        <v>1.48044686537</v>
      </c>
      <c r="I510" s="1">
        <v>1.8297198725999999</v>
      </c>
      <c r="J510" s="1">
        <v>0.79707087515300001</v>
      </c>
      <c r="K510" s="1">
        <v>24633.847093100001</v>
      </c>
      <c r="L510" s="1">
        <v>5931.7018190299996</v>
      </c>
      <c r="M510" s="1" t="s">
        <v>198</v>
      </c>
      <c r="N510" s="1" t="b">
        <v>1</v>
      </c>
    </row>
    <row r="511" spans="1:14" ht="19" customHeight="1" x14ac:dyDescent="0.3">
      <c r="A511">
        <v>506</v>
      </c>
      <c r="B511" s="1">
        <v>2</v>
      </c>
      <c r="C511" s="1">
        <v>90</v>
      </c>
      <c r="D511" s="1">
        <v>0.04</v>
      </c>
      <c r="E511" s="1">
        <v>0.04</v>
      </c>
      <c r="F511" s="1">
        <v>-5</v>
      </c>
      <c r="G511" s="1">
        <v>1</v>
      </c>
      <c r="H511" s="1">
        <v>1.48044686537</v>
      </c>
      <c r="I511" s="1">
        <v>1.3722899044500001</v>
      </c>
      <c r="J511" s="1">
        <v>0.65359811762499997</v>
      </c>
      <c r="K511" s="1">
        <v>21229.710448900001</v>
      </c>
      <c r="L511" s="1">
        <v>4863.9954915999997</v>
      </c>
      <c r="M511" s="1" t="s">
        <v>198</v>
      </c>
      <c r="N511" s="1" t="b">
        <v>1</v>
      </c>
    </row>
    <row r="512" spans="1:14" ht="19" customHeight="1" x14ac:dyDescent="0.3">
      <c r="A512">
        <v>507</v>
      </c>
      <c r="B512" s="1">
        <v>2</v>
      </c>
      <c r="C512" s="1">
        <v>90</v>
      </c>
      <c r="D512" s="1">
        <v>0.04</v>
      </c>
      <c r="E512" s="1">
        <v>0.04</v>
      </c>
      <c r="F512" s="1">
        <v>0</v>
      </c>
      <c r="G512" s="1">
        <v>0</v>
      </c>
      <c r="H512" s="1">
        <v>1.51413448437</v>
      </c>
      <c r="I512" s="1">
        <v>1.87135521082</v>
      </c>
      <c r="J512" s="1">
        <v>0.78957087515299995</v>
      </c>
      <c r="K512" s="1">
        <v>25194.391125300001</v>
      </c>
      <c r="L512" s="1">
        <v>5875.8877565299999</v>
      </c>
      <c r="M512" s="1" t="s">
        <v>198</v>
      </c>
      <c r="N512" s="1" t="b">
        <v>1</v>
      </c>
    </row>
    <row r="513" spans="1:14" ht="19" customHeight="1" x14ac:dyDescent="0.3">
      <c r="A513">
        <v>508</v>
      </c>
      <c r="B513" s="1">
        <v>2</v>
      </c>
      <c r="C513" s="1">
        <v>90</v>
      </c>
      <c r="D513" s="1">
        <v>0.04</v>
      </c>
      <c r="E513" s="1">
        <v>0.04</v>
      </c>
      <c r="F513" s="1">
        <v>0</v>
      </c>
      <c r="G513" s="1">
        <v>1</v>
      </c>
      <c r="H513" s="1">
        <v>1.51413448437</v>
      </c>
      <c r="I513" s="1">
        <v>1.40351640811</v>
      </c>
      <c r="J513" s="1">
        <v>0.64744811762499999</v>
      </c>
      <c r="K513" s="1">
        <v>21712.793235500001</v>
      </c>
      <c r="L513" s="1">
        <v>4818.2279603500001</v>
      </c>
      <c r="M513" s="1" t="s">
        <v>198</v>
      </c>
      <c r="N513" s="1" t="b">
        <v>1</v>
      </c>
    </row>
    <row r="514" spans="1:14" ht="19" customHeight="1" x14ac:dyDescent="0.3">
      <c r="A514">
        <v>509</v>
      </c>
      <c r="B514" s="1">
        <v>2</v>
      </c>
      <c r="C514" s="1">
        <v>90</v>
      </c>
      <c r="D514" s="1">
        <v>0.04</v>
      </c>
      <c r="E514" s="1">
        <v>0.04</v>
      </c>
      <c r="F514" s="1">
        <v>5</v>
      </c>
      <c r="G514" s="1">
        <v>0</v>
      </c>
      <c r="H514" s="1">
        <v>1.48044686537</v>
      </c>
      <c r="I514" s="1">
        <v>1.8297198725999999</v>
      </c>
      <c r="J514" s="1">
        <v>0.79707087515300001</v>
      </c>
      <c r="K514" s="1">
        <v>24633.847093100001</v>
      </c>
      <c r="L514" s="1">
        <v>5931.7018190299996</v>
      </c>
      <c r="M514" s="1" t="s">
        <v>198</v>
      </c>
      <c r="N514" s="1" t="b">
        <v>1</v>
      </c>
    </row>
    <row r="515" spans="1:14" ht="19" customHeight="1" x14ac:dyDescent="0.3">
      <c r="A515">
        <v>510</v>
      </c>
      <c r="B515" s="1">
        <v>2</v>
      </c>
      <c r="C515" s="1">
        <v>90</v>
      </c>
      <c r="D515" s="1">
        <v>0.04</v>
      </c>
      <c r="E515" s="1">
        <v>0.04</v>
      </c>
      <c r="F515" s="1">
        <v>5</v>
      </c>
      <c r="G515" s="1">
        <v>1</v>
      </c>
      <c r="H515" s="1">
        <v>1.48044686537</v>
      </c>
      <c r="I515" s="1">
        <v>1.3722899044500001</v>
      </c>
      <c r="J515" s="1">
        <v>0.65359811762499997</v>
      </c>
      <c r="K515" s="1">
        <v>21229.710448900001</v>
      </c>
      <c r="L515" s="1">
        <v>4863.9954915999997</v>
      </c>
      <c r="M515" s="1" t="s">
        <v>198</v>
      </c>
      <c r="N515" s="1" t="b">
        <v>1</v>
      </c>
    </row>
    <row r="516" spans="1:14" ht="19" customHeight="1" x14ac:dyDescent="0.3">
      <c r="A516">
        <v>511</v>
      </c>
      <c r="B516" s="1">
        <v>2</v>
      </c>
      <c r="C516" s="1">
        <v>90</v>
      </c>
      <c r="D516" s="1">
        <v>0.04</v>
      </c>
      <c r="E516" s="1">
        <v>0.06</v>
      </c>
      <c r="F516" s="1">
        <v>-5</v>
      </c>
      <c r="G516" s="1">
        <v>0</v>
      </c>
      <c r="H516" s="1">
        <v>1.5216426809200001</v>
      </c>
      <c r="I516" s="1">
        <v>1.89151359594</v>
      </c>
      <c r="J516" s="1">
        <v>0.80075753258100002</v>
      </c>
      <c r="K516" s="1">
        <v>25400.282367899999</v>
      </c>
      <c r="L516" s="1">
        <v>5959.1374627699997</v>
      </c>
      <c r="M516" s="1" t="s">
        <v>198</v>
      </c>
      <c r="N516" s="1" t="b">
        <v>1</v>
      </c>
    </row>
    <row r="517" spans="1:14" ht="19" customHeight="1" x14ac:dyDescent="0.3">
      <c r="A517">
        <v>512</v>
      </c>
      <c r="B517" s="1">
        <v>2</v>
      </c>
      <c r="C517" s="1">
        <v>90</v>
      </c>
      <c r="D517" s="1">
        <v>0.04</v>
      </c>
      <c r="E517" s="1">
        <v>0.06</v>
      </c>
      <c r="F517" s="1">
        <v>-5</v>
      </c>
      <c r="G517" s="1">
        <v>1</v>
      </c>
      <c r="H517" s="1">
        <v>1.5216426809200001</v>
      </c>
      <c r="I517" s="1">
        <v>1.41863519695</v>
      </c>
      <c r="J517" s="1">
        <v>0.65662117671599995</v>
      </c>
      <c r="K517" s="1">
        <v>21881.1804324</v>
      </c>
      <c r="L517" s="1">
        <v>4886.4927194700003</v>
      </c>
      <c r="M517" s="1" t="s">
        <v>198</v>
      </c>
      <c r="N517" s="1" t="b">
        <v>1</v>
      </c>
    </row>
    <row r="518" spans="1:14" ht="19" customHeight="1" x14ac:dyDescent="0.3">
      <c r="A518">
        <v>513</v>
      </c>
      <c r="B518" s="1">
        <v>2</v>
      </c>
      <c r="C518" s="1">
        <v>90</v>
      </c>
      <c r="D518" s="1">
        <v>0.04</v>
      </c>
      <c r="E518" s="1">
        <v>0.06</v>
      </c>
      <c r="F518" s="1">
        <v>0</v>
      </c>
      <c r="G518" s="1">
        <v>0</v>
      </c>
      <c r="H518" s="1">
        <v>1.5562677121099999</v>
      </c>
      <c r="I518" s="1">
        <v>1.9345550524399999</v>
      </c>
      <c r="J518" s="1">
        <v>0.79325753258099996</v>
      </c>
      <c r="K518" s="1">
        <v>25978.266660900001</v>
      </c>
      <c r="L518" s="1">
        <v>5903.3234002700001</v>
      </c>
      <c r="M518" s="1" t="s">
        <v>198</v>
      </c>
      <c r="N518" s="1" t="b">
        <v>1</v>
      </c>
    </row>
    <row r="519" spans="1:14" ht="19" customHeight="1" x14ac:dyDescent="0.3">
      <c r="A519">
        <v>514</v>
      </c>
      <c r="B519" s="1">
        <v>2</v>
      </c>
      <c r="C519" s="1">
        <v>90</v>
      </c>
      <c r="D519" s="1">
        <v>0.04</v>
      </c>
      <c r="E519" s="1">
        <v>0.06</v>
      </c>
      <c r="F519" s="1">
        <v>0</v>
      </c>
      <c r="G519" s="1">
        <v>1</v>
      </c>
      <c r="H519" s="1">
        <v>1.5562677121099999</v>
      </c>
      <c r="I519" s="1">
        <v>1.4509162893300001</v>
      </c>
      <c r="J519" s="1">
        <v>0.65047117671599997</v>
      </c>
      <c r="K519" s="1">
        <v>22379.087440700001</v>
      </c>
      <c r="L519" s="1">
        <v>4840.7251882199998</v>
      </c>
      <c r="M519" s="1" t="s">
        <v>198</v>
      </c>
      <c r="N519" s="1" t="b">
        <v>1</v>
      </c>
    </row>
    <row r="520" spans="1:14" ht="19" customHeight="1" x14ac:dyDescent="0.3">
      <c r="A520">
        <v>515</v>
      </c>
      <c r="B520" s="1">
        <v>2</v>
      </c>
      <c r="C520" s="1">
        <v>90</v>
      </c>
      <c r="D520" s="1">
        <v>0.04</v>
      </c>
      <c r="E520" s="1">
        <v>0.06</v>
      </c>
      <c r="F520" s="1">
        <v>5</v>
      </c>
      <c r="G520" s="1">
        <v>0</v>
      </c>
      <c r="H520" s="1">
        <v>1.5216426809200001</v>
      </c>
      <c r="I520" s="1">
        <v>1.89151359594</v>
      </c>
      <c r="J520" s="1">
        <v>0.80075753258100002</v>
      </c>
      <c r="K520" s="1">
        <v>25400.282367899999</v>
      </c>
      <c r="L520" s="1">
        <v>5959.1374627699997</v>
      </c>
      <c r="M520" s="1" t="s">
        <v>198</v>
      </c>
      <c r="N520" s="1" t="b">
        <v>1</v>
      </c>
    </row>
    <row r="521" spans="1:14" ht="19" customHeight="1" x14ac:dyDescent="0.3">
      <c r="A521">
        <v>516</v>
      </c>
      <c r="B521" s="1">
        <v>2</v>
      </c>
      <c r="C521" s="1">
        <v>90</v>
      </c>
      <c r="D521" s="1">
        <v>0.04</v>
      </c>
      <c r="E521" s="1">
        <v>0.06</v>
      </c>
      <c r="F521" s="1">
        <v>5</v>
      </c>
      <c r="G521" s="1">
        <v>1</v>
      </c>
      <c r="H521" s="1">
        <v>1.5216426809200001</v>
      </c>
      <c r="I521" s="1">
        <v>1.41863519695</v>
      </c>
      <c r="J521" s="1">
        <v>0.65662117671599995</v>
      </c>
      <c r="K521" s="1">
        <v>21881.1804324</v>
      </c>
      <c r="L521" s="1">
        <v>4886.4927194700003</v>
      </c>
      <c r="M521" s="1" t="s">
        <v>198</v>
      </c>
      <c r="N521" s="1" t="b">
        <v>1</v>
      </c>
    </row>
    <row r="522" spans="1:14" ht="19" customHeight="1" x14ac:dyDescent="0.3">
      <c r="A522">
        <v>517</v>
      </c>
      <c r="B522" s="1">
        <v>2</v>
      </c>
      <c r="C522" s="1">
        <v>90</v>
      </c>
      <c r="D522" s="1">
        <v>0.04</v>
      </c>
      <c r="E522" s="1">
        <v>8.5000000000000006E-2</v>
      </c>
      <c r="F522" s="1">
        <v>-5</v>
      </c>
      <c r="G522" s="1">
        <v>0</v>
      </c>
      <c r="H522" s="1">
        <v>1.41632636293</v>
      </c>
      <c r="I522" s="1">
        <v>1.73353911895</v>
      </c>
      <c r="J522" s="1">
        <v>0.79133266307000005</v>
      </c>
      <c r="K522" s="1">
        <v>23440.905182900002</v>
      </c>
      <c r="L522" s="1">
        <v>5888.9987619800004</v>
      </c>
      <c r="M522" s="1" t="s">
        <v>198</v>
      </c>
      <c r="N522" s="1" t="b">
        <v>1</v>
      </c>
    </row>
    <row r="523" spans="1:14" ht="19" customHeight="1" x14ac:dyDescent="0.3">
      <c r="A523">
        <v>518</v>
      </c>
      <c r="B523" s="1">
        <v>2</v>
      </c>
      <c r="C523" s="1">
        <v>90</v>
      </c>
      <c r="D523" s="1">
        <v>0.04</v>
      </c>
      <c r="E523" s="1">
        <v>8.5000000000000006E-2</v>
      </c>
      <c r="F523" s="1">
        <v>-5</v>
      </c>
      <c r="G523" s="1">
        <v>1</v>
      </c>
      <c r="H523" s="1">
        <v>1.41632636293</v>
      </c>
      <c r="I523" s="1">
        <v>1.3001543392099999</v>
      </c>
      <c r="J523" s="1">
        <v>0.64889278371699999</v>
      </c>
      <c r="K523" s="1">
        <v>20215.7098252</v>
      </c>
      <c r="L523" s="1">
        <v>4828.9789848299997</v>
      </c>
      <c r="M523" s="1" t="s">
        <v>198</v>
      </c>
      <c r="N523" s="1" t="b">
        <v>1</v>
      </c>
    </row>
    <row r="524" spans="1:14" ht="19" customHeight="1" x14ac:dyDescent="0.3">
      <c r="A524">
        <v>519</v>
      </c>
      <c r="B524" s="1">
        <v>2</v>
      </c>
      <c r="C524" s="1">
        <v>90</v>
      </c>
      <c r="D524" s="1">
        <v>0.04</v>
      </c>
      <c r="E524" s="1">
        <v>8.5000000000000006E-2</v>
      </c>
      <c r="F524" s="1">
        <v>0</v>
      </c>
      <c r="G524" s="1">
        <v>0</v>
      </c>
      <c r="H524" s="1">
        <v>1.4485549177000001</v>
      </c>
      <c r="I524" s="1">
        <v>1.77298586082</v>
      </c>
      <c r="J524" s="1">
        <v>0.78383266306999999</v>
      </c>
      <c r="K524" s="1">
        <v>23974.3037812</v>
      </c>
      <c r="L524" s="1">
        <v>5833.1846994799998</v>
      </c>
      <c r="M524" s="1" t="s">
        <v>198</v>
      </c>
      <c r="N524" s="1" t="b">
        <v>1</v>
      </c>
    </row>
    <row r="525" spans="1:14" ht="19" customHeight="1" x14ac:dyDescent="0.3">
      <c r="A525">
        <v>520</v>
      </c>
      <c r="B525" s="1">
        <v>2</v>
      </c>
      <c r="C525" s="1">
        <v>90</v>
      </c>
      <c r="D525" s="1">
        <v>0.04</v>
      </c>
      <c r="E525" s="1">
        <v>8.5000000000000006E-2</v>
      </c>
      <c r="F525" s="1">
        <v>0</v>
      </c>
      <c r="G525" s="1">
        <v>1</v>
      </c>
      <c r="H525" s="1">
        <v>1.4485549177000001</v>
      </c>
      <c r="I525" s="1">
        <v>1.3297393956200001</v>
      </c>
      <c r="J525" s="1">
        <v>0.642742783717</v>
      </c>
      <c r="K525" s="1">
        <v>20675.718992999999</v>
      </c>
      <c r="L525" s="1">
        <v>4783.2114535800001</v>
      </c>
      <c r="M525" s="1" t="s">
        <v>198</v>
      </c>
      <c r="N525" s="1" t="b">
        <v>1</v>
      </c>
    </row>
    <row r="526" spans="1:14" ht="19" customHeight="1" x14ac:dyDescent="0.3">
      <c r="A526">
        <v>521</v>
      </c>
      <c r="B526" s="1">
        <v>2</v>
      </c>
      <c r="C526" s="1">
        <v>90</v>
      </c>
      <c r="D526" s="1">
        <v>0.04</v>
      </c>
      <c r="E526" s="1">
        <v>8.5000000000000006E-2</v>
      </c>
      <c r="F526" s="1">
        <v>5</v>
      </c>
      <c r="G526" s="1">
        <v>0</v>
      </c>
      <c r="H526" s="1">
        <v>1.41632636293</v>
      </c>
      <c r="I526" s="1">
        <v>1.73353911895</v>
      </c>
      <c r="J526" s="1">
        <v>0.79133266307000005</v>
      </c>
      <c r="K526" s="1">
        <v>23440.905182900002</v>
      </c>
      <c r="L526" s="1">
        <v>5888.9987619800004</v>
      </c>
      <c r="M526" s="1" t="s">
        <v>198</v>
      </c>
      <c r="N526" s="1" t="b">
        <v>1</v>
      </c>
    </row>
    <row r="527" spans="1:14" ht="19" customHeight="1" x14ac:dyDescent="0.3">
      <c r="A527">
        <v>522</v>
      </c>
      <c r="B527" s="1">
        <v>2</v>
      </c>
      <c r="C527" s="1">
        <v>90</v>
      </c>
      <c r="D527" s="1">
        <v>0.04</v>
      </c>
      <c r="E527" s="1">
        <v>8.5000000000000006E-2</v>
      </c>
      <c r="F527" s="1">
        <v>5</v>
      </c>
      <c r="G527" s="1">
        <v>1</v>
      </c>
      <c r="H527" s="1">
        <v>1.41632636293</v>
      </c>
      <c r="I527" s="1">
        <v>1.3001543392099999</v>
      </c>
      <c r="J527" s="1">
        <v>0.64889278371699999</v>
      </c>
      <c r="K527" s="1">
        <v>20215.7098252</v>
      </c>
      <c r="L527" s="1">
        <v>4828.9789848299997</v>
      </c>
      <c r="M527" s="1" t="s">
        <v>198</v>
      </c>
      <c r="N527" s="1" t="b">
        <v>1</v>
      </c>
    </row>
    <row r="528" spans="1:14" ht="19" customHeight="1" x14ac:dyDescent="0.3">
      <c r="A528">
        <v>523</v>
      </c>
      <c r="B528" s="1">
        <v>2</v>
      </c>
      <c r="C528" s="1">
        <v>90</v>
      </c>
      <c r="D528" s="1">
        <v>5.5E-2</v>
      </c>
      <c r="E528" s="1">
        <v>0.04</v>
      </c>
      <c r="F528" s="1">
        <v>-5</v>
      </c>
      <c r="G528" s="1">
        <v>0</v>
      </c>
      <c r="H528" s="1">
        <v>1.3405617633</v>
      </c>
      <c r="I528" s="1">
        <v>1.6198922195100001</v>
      </c>
      <c r="J528" s="1">
        <v>0.78455240832299999</v>
      </c>
      <c r="K528" s="1">
        <v>22031.3284833</v>
      </c>
      <c r="L528" s="1">
        <v>5838.5409536899997</v>
      </c>
      <c r="M528" s="1" t="s">
        <v>198</v>
      </c>
      <c r="N528" s="1" t="b">
        <v>1</v>
      </c>
    </row>
    <row r="529" spans="1:14" ht="19" customHeight="1" x14ac:dyDescent="0.3">
      <c r="A529">
        <v>524</v>
      </c>
      <c r="B529" s="1">
        <v>2</v>
      </c>
      <c r="C529" s="1">
        <v>90</v>
      </c>
      <c r="D529" s="1">
        <v>5.5E-2</v>
      </c>
      <c r="E529" s="1">
        <v>0.04</v>
      </c>
      <c r="F529" s="1">
        <v>-5</v>
      </c>
      <c r="G529" s="1">
        <v>1</v>
      </c>
      <c r="H529" s="1">
        <v>1.3405617633</v>
      </c>
      <c r="I529" s="1">
        <v>1.2149191646299999</v>
      </c>
      <c r="J529" s="1">
        <v>0.64333297482499996</v>
      </c>
      <c r="K529" s="1">
        <v>19017.569630599999</v>
      </c>
      <c r="L529" s="1">
        <v>4787.6035820200004</v>
      </c>
      <c r="M529" s="1" t="s">
        <v>198</v>
      </c>
      <c r="N529" s="1" t="b">
        <v>1</v>
      </c>
    </row>
    <row r="530" spans="1:14" ht="19" customHeight="1" x14ac:dyDescent="0.3">
      <c r="A530">
        <v>525</v>
      </c>
      <c r="B530" s="1">
        <v>2</v>
      </c>
      <c r="C530" s="1">
        <v>90</v>
      </c>
      <c r="D530" s="1">
        <v>5.5E-2</v>
      </c>
      <c r="E530" s="1">
        <v>0.04</v>
      </c>
      <c r="F530" s="1">
        <v>0</v>
      </c>
      <c r="G530" s="1">
        <v>0</v>
      </c>
      <c r="H530" s="1">
        <v>1.3710662920300001</v>
      </c>
      <c r="I530" s="1">
        <v>1.6567529223099999</v>
      </c>
      <c r="J530" s="1">
        <v>0.77705240832300004</v>
      </c>
      <c r="K530" s="1">
        <v>22532.652115699999</v>
      </c>
      <c r="L530" s="1">
        <v>5782.7268911900001</v>
      </c>
      <c r="M530" s="1" t="s">
        <v>198</v>
      </c>
      <c r="N530" s="1" t="b">
        <v>1</v>
      </c>
    </row>
    <row r="531" spans="1:14" ht="19" customHeight="1" x14ac:dyDescent="0.3">
      <c r="A531">
        <v>526</v>
      </c>
      <c r="B531" s="1">
        <v>2</v>
      </c>
      <c r="C531" s="1">
        <v>90</v>
      </c>
      <c r="D531" s="1">
        <v>5.5E-2</v>
      </c>
      <c r="E531" s="1">
        <v>0.04</v>
      </c>
      <c r="F531" s="1">
        <v>0</v>
      </c>
      <c r="G531" s="1">
        <v>1</v>
      </c>
      <c r="H531" s="1">
        <v>1.3710662920300001</v>
      </c>
      <c r="I531" s="1">
        <v>1.2425646917299999</v>
      </c>
      <c r="J531" s="1">
        <v>0.63718297482499997</v>
      </c>
      <c r="K531" s="1">
        <v>19450.315077200001</v>
      </c>
      <c r="L531" s="1">
        <v>4741.8360507699999</v>
      </c>
      <c r="M531" s="1" t="s">
        <v>198</v>
      </c>
      <c r="N531" s="1" t="b">
        <v>1</v>
      </c>
    </row>
    <row r="532" spans="1:14" ht="19" customHeight="1" x14ac:dyDescent="0.3">
      <c r="A532">
        <v>527</v>
      </c>
      <c r="B532" s="1">
        <v>2</v>
      </c>
      <c r="C532" s="1">
        <v>90</v>
      </c>
      <c r="D532" s="1">
        <v>5.5E-2</v>
      </c>
      <c r="E532" s="1">
        <v>0.04</v>
      </c>
      <c r="F532" s="1">
        <v>5</v>
      </c>
      <c r="G532" s="1">
        <v>0</v>
      </c>
      <c r="H532" s="1">
        <v>1.3405617633</v>
      </c>
      <c r="I532" s="1">
        <v>1.6198922195100001</v>
      </c>
      <c r="J532" s="1">
        <v>0.78455240832299999</v>
      </c>
      <c r="K532" s="1">
        <v>22031.3284833</v>
      </c>
      <c r="L532" s="1">
        <v>5838.5409536899997</v>
      </c>
      <c r="M532" s="1" t="s">
        <v>198</v>
      </c>
      <c r="N532" s="1" t="b">
        <v>1</v>
      </c>
    </row>
    <row r="533" spans="1:14" ht="19" customHeight="1" x14ac:dyDescent="0.3">
      <c r="A533">
        <v>528</v>
      </c>
      <c r="B533" s="1">
        <v>2</v>
      </c>
      <c r="C533" s="1">
        <v>90</v>
      </c>
      <c r="D533" s="1">
        <v>5.5E-2</v>
      </c>
      <c r="E533" s="1">
        <v>0.04</v>
      </c>
      <c r="F533" s="1">
        <v>5</v>
      </c>
      <c r="G533" s="1">
        <v>1</v>
      </c>
      <c r="H533" s="1">
        <v>1.3405617633</v>
      </c>
      <c r="I533" s="1">
        <v>1.2149191646299999</v>
      </c>
      <c r="J533" s="1">
        <v>0.64333297482499996</v>
      </c>
      <c r="K533" s="1">
        <v>19017.569630599999</v>
      </c>
      <c r="L533" s="1">
        <v>4787.6035820200004</v>
      </c>
      <c r="M533" s="1" t="s">
        <v>198</v>
      </c>
      <c r="N533" s="1" t="b">
        <v>1</v>
      </c>
    </row>
    <row r="534" spans="1:14" ht="19" customHeight="1" x14ac:dyDescent="0.3">
      <c r="A534">
        <v>529</v>
      </c>
      <c r="B534" s="1">
        <v>2</v>
      </c>
      <c r="C534" s="1">
        <v>90</v>
      </c>
      <c r="D534" s="1">
        <v>5.5E-2</v>
      </c>
      <c r="E534" s="1">
        <v>0.06</v>
      </c>
      <c r="F534" s="1">
        <v>-5</v>
      </c>
      <c r="G534" s="1">
        <v>0</v>
      </c>
      <c r="H534" s="1">
        <v>1.36819136301</v>
      </c>
      <c r="I534" s="1">
        <v>1.6613366190700001</v>
      </c>
      <c r="J534" s="1">
        <v>0.78702501063999997</v>
      </c>
      <c r="K534" s="1">
        <v>22545.368551600001</v>
      </c>
      <c r="L534" s="1">
        <v>5856.9417510499998</v>
      </c>
      <c r="M534" s="1" t="s">
        <v>198</v>
      </c>
      <c r="N534" s="1" t="b">
        <v>1</v>
      </c>
    </row>
    <row r="535" spans="1:14" ht="19" customHeight="1" x14ac:dyDescent="0.3">
      <c r="A535">
        <v>530</v>
      </c>
      <c r="B535" s="1">
        <v>2</v>
      </c>
      <c r="C535" s="1">
        <v>90</v>
      </c>
      <c r="D535" s="1">
        <v>5.5E-2</v>
      </c>
      <c r="E535" s="1">
        <v>0.06</v>
      </c>
      <c r="F535" s="1">
        <v>-5</v>
      </c>
      <c r="G535" s="1">
        <v>1</v>
      </c>
      <c r="H535" s="1">
        <v>1.36819136301</v>
      </c>
      <c r="I535" s="1">
        <v>1.2460024643000001</v>
      </c>
      <c r="J535" s="1">
        <v>0.64536050872499995</v>
      </c>
      <c r="K535" s="1">
        <v>19454.503688600002</v>
      </c>
      <c r="L535" s="1">
        <v>4802.6922358700003</v>
      </c>
      <c r="M535" s="1" t="s">
        <v>198</v>
      </c>
      <c r="N535" s="1" t="b">
        <v>1</v>
      </c>
    </row>
    <row r="536" spans="1:14" ht="19" customHeight="1" x14ac:dyDescent="0.3">
      <c r="A536">
        <v>531</v>
      </c>
      <c r="B536" s="1">
        <v>2</v>
      </c>
      <c r="C536" s="1">
        <v>90</v>
      </c>
      <c r="D536" s="1">
        <v>5.5E-2</v>
      </c>
      <c r="E536" s="1">
        <v>0.06</v>
      </c>
      <c r="F536" s="1">
        <v>0</v>
      </c>
      <c r="G536" s="1">
        <v>0</v>
      </c>
      <c r="H536" s="1">
        <v>1.39932460422</v>
      </c>
      <c r="I536" s="1">
        <v>1.6991403906</v>
      </c>
      <c r="J536" s="1">
        <v>0.77952501064000002</v>
      </c>
      <c r="K536" s="1">
        <v>23058.389183300002</v>
      </c>
      <c r="L536" s="1">
        <v>5801.1276885500001</v>
      </c>
      <c r="M536" s="1" t="s">
        <v>198</v>
      </c>
      <c r="N536" s="1" t="b">
        <v>1</v>
      </c>
    </row>
    <row r="537" spans="1:14" ht="19" customHeight="1" x14ac:dyDescent="0.3">
      <c r="A537">
        <v>532</v>
      </c>
      <c r="B537" s="1">
        <v>2</v>
      </c>
      <c r="C537" s="1">
        <v>90</v>
      </c>
      <c r="D537" s="1">
        <v>5.5E-2</v>
      </c>
      <c r="E537" s="1">
        <v>0.06</v>
      </c>
      <c r="F537" s="1">
        <v>0</v>
      </c>
      <c r="G537" s="1">
        <v>1</v>
      </c>
      <c r="H537" s="1">
        <v>1.39932460422</v>
      </c>
      <c r="I537" s="1">
        <v>1.2743552929499999</v>
      </c>
      <c r="J537" s="1">
        <v>0.63921050872499996</v>
      </c>
      <c r="K537" s="1">
        <v>19897.191584699998</v>
      </c>
      <c r="L537" s="1">
        <v>4756.9247046199998</v>
      </c>
      <c r="M537" s="1" t="s">
        <v>198</v>
      </c>
      <c r="N537" s="1" t="b">
        <v>1</v>
      </c>
    </row>
    <row r="538" spans="1:14" ht="19" customHeight="1" x14ac:dyDescent="0.3">
      <c r="A538">
        <v>533</v>
      </c>
      <c r="B538" s="1">
        <v>2</v>
      </c>
      <c r="C538" s="1">
        <v>90</v>
      </c>
      <c r="D538" s="1">
        <v>5.5E-2</v>
      </c>
      <c r="E538" s="1">
        <v>0.06</v>
      </c>
      <c r="F538" s="1">
        <v>5</v>
      </c>
      <c r="G538" s="1">
        <v>0</v>
      </c>
      <c r="H538" s="1">
        <v>1.36819136301</v>
      </c>
      <c r="I538" s="1">
        <v>1.6613366190700001</v>
      </c>
      <c r="J538" s="1">
        <v>0.78702501063999997</v>
      </c>
      <c r="K538" s="1">
        <v>22545.368551600001</v>
      </c>
      <c r="L538" s="1">
        <v>5856.9417510499998</v>
      </c>
      <c r="M538" s="1" t="s">
        <v>198</v>
      </c>
      <c r="N538" s="1" t="b">
        <v>1</v>
      </c>
    </row>
    <row r="539" spans="1:14" ht="19" customHeight="1" x14ac:dyDescent="0.3">
      <c r="A539">
        <v>534</v>
      </c>
      <c r="B539" s="1">
        <v>2</v>
      </c>
      <c r="C539" s="1">
        <v>90</v>
      </c>
      <c r="D539" s="1">
        <v>5.5E-2</v>
      </c>
      <c r="E539" s="1">
        <v>0.06</v>
      </c>
      <c r="F539" s="1">
        <v>5</v>
      </c>
      <c r="G539" s="1">
        <v>1</v>
      </c>
      <c r="H539" s="1">
        <v>1.36819136301</v>
      </c>
      <c r="I539" s="1">
        <v>1.2460024643000001</v>
      </c>
      <c r="J539" s="1">
        <v>0.64536050872499995</v>
      </c>
      <c r="K539" s="1">
        <v>19454.503688600002</v>
      </c>
      <c r="L539" s="1">
        <v>4802.6922358700003</v>
      </c>
      <c r="M539" s="1" t="s">
        <v>198</v>
      </c>
      <c r="N539" s="1" t="b">
        <v>1</v>
      </c>
    </row>
    <row r="540" spans="1:14" ht="19" customHeight="1" x14ac:dyDescent="0.3">
      <c r="A540">
        <v>535</v>
      </c>
      <c r="B540" s="1">
        <v>2</v>
      </c>
      <c r="C540" s="1">
        <v>90</v>
      </c>
      <c r="D540" s="1">
        <v>5.5E-2</v>
      </c>
      <c r="E540" s="1">
        <v>8.5000000000000006E-2</v>
      </c>
      <c r="F540" s="1">
        <v>-5</v>
      </c>
      <c r="G540" s="1">
        <v>0</v>
      </c>
      <c r="H540" s="1">
        <v>1.2975568175000001</v>
      </c>
      <c r="I540" s="1">
        <v>1.5553848008</v>
      </c>
      <c r="J540" s="1">
        <v>0.78070384990200004</v>
      </c>
      <c r="K540" s="1">
        <v>21231.234905699999</v>
      </c>
      <c r="L540" s="1">
        <v>5809.9004629900001</v>
      </c>
      <c r="M540" s="1" t="s">
        <v>198</v>
      </c>
      <c r="N540" s="1" t="b">
        <v>1</v>
      </c>
    </row>
    <row r="541" spans="1:14" ht="19" customHeight="1" x14ac:dyDescent="0.3">
      <c r="A541">
        <v>536</v>
      </c>
      <c r="B541" s="1">
        <v>2</v>
      </c>
      <c r="C541" s="1">
        <v>90</v>
      </c>
      <c r="D541" s="1">
        <v>5.5E-2</v>
      </c>
      <c r="E541" s="1">
        <v>8.5000000000000006E-2</v>
      </c>
      <c r="F541" s="1">
        <v>-5</v>
      </c>
      <c r="G541" s="1">
        <v>1</v>
      </c>
      <c r="H541" s="1">
        <v>1.2975568175000001</v>
      </c>
      <c r="I541" s="1">
        <v>1.1665386006</v>
      </c>
      <c r="J541" s="1">
        <v>0.64017715691900001</v>
      </c>
      <c r="K541" s="1">
        <v>18337.4900896</v>
      </c>
      <c r="L541" s="1">
        <v>4764.11837965</v>
      </c>
      <c r="M541" s="1" t="s">
        <v>198</v>
      </c>
      <c r="N541" s="1" t="b">
        <v>1</v>
      </c>
    </row>
    <row r="542" spans="1:14" ht="19" customHeight="1" x14ac:dyDescent="0.3">
      <c r="A542">
        <v>537</v>
      </c>
      <c r="B542" s="1">
        <v>2</v>
      </c>
      <c r="C542" s="1">
        <v>90</v>
      </c>
      <c r="D542" s="1">
        <v>5.5E-2</v>
      </c>
      <c r="E542" s="1">
        <v>8.5000000000000006E-2</v>
      </c>
      <c r="F542" s="1">
        <v>0</v>
      </c>
      <c r="G542" s="1">
        <v>0</v>
      </c>
      <c r="H542" s="1">
        <v>1.3270827672100001</v>
      </c>
      <c r="I542" s="1">
        <v>1.59077763508</v>
      </c>
      <c r="J542" s="1">
        <v>0.77320384990199997</v>
      </c>
      <c r="K542" s="1">
        <v>21714.352381299999</v>
      </c>
      <c r="L542" s="1">
        <v>5754.0864004900004</v>
      </c>
      <c r="M542" s="1" t="s">
        <v>198</v>
      </c>
      <c r="N542" s="1" t="b">
        <v>1</v>
      </c>
    </row>
    <row r="543" spans="1:14" ht="19" customHeight="1" x14ac:dyDescent="0.3">
      <c r="A543">
        <v>538</v>
      </c>
      <c r="B543" s="1">
        <v>2</v>
      </c>
      <c r="C543" s="1">
        <v>90</v>
      </c>
      <c r="D543" s="1">
        <v>5.5E-2</v>
      </c>
      <c r="E543" s="1">
        <v>8.5000000000000006E-2</v>
      </c>
      <c r="F543" s="1">
        <v>0</v>
      </c>
      <c r="G543" s="1">
        <v>1</v>
      </c>
      <c r="H543" s="1">
        <v>1.3270827672100001</v>
      </c>
      <c r="I543" s="1">
        <v>1.19308322631</v>
      </c>
      <c r="J543" s="1">
        <v>0.63402715691900002</v>
      </c>
      <c r="K543" s="1">
        <v>18754.760302999999</v>
      </c>
      <c r="L543" s="1">
        <v>4718.3508484000004</v>
      </c>
      <c r="M543" s="1" t="s">
        <v>198</v>
      </c>
      <c r="N543" s="1" t="b">
        <v>1</v>
      </c>
    </row>
    <row r="544" spans="1:14" ht="19" customHeight="1" x14ac:dyDescent="0.3">
      <c r="A544">
        <v>539</v>
      </c>
      <c r="B544" s="1">
        <v>2</v>
      </c>
      <c r="C544" s="1">
        <v>90</v>
      </c>
      <c r="D544" s="1">
        <v>5.5E-2</v>
      </c>
      <c r="E544" s="1">
        <v>8.5000000000000006E-2</v>
      </c>
      <c r="F544" s="1">
        <v>5</v>
      </c>
      <c r="G544" s="1">
        <v>0</v>
      </c>
      <c r="H544" s="1">
        <v>1.2975568175000001</v>
      </c>
      <c r="I544" s="1">
        <v>1.5553848008</v>
      </c>
      <c r="J544" s="1">
        <v>0.78070384990200004</v>
      </c>
      <c r="K544" s="1">
        <v>21231.234905699999</v>
      </c>
      <c r="L544" s="1">
        <v>5809.9004629900001</v>
      </c>
      <c r="M544" s="1" t="s">
        <v>198</v>
      </c>
      <c r="N544" s="1" t="b">
        <v>1</v>
      </c>
    </row>
    <row r="545" spans="1:14" ht="19" customHeight="1" x14ac:dyDescent="0.3">
      <c r="A545">
        <v>540</v>
      </c>
      <c r="B545" s="1">
        <v>2</v>
      </c>
      <c r="C545" s="1">
        <v>90</v>
      </c>
      <c r="D545" s="1">
        <v>5.5E-2</v>
      </c>
      <c r="E545" s="1">
        <v>8.5000000000000006E-2</v>
      </c>
      <c r="F545" s="1">
        <v>5</v>
      </c>
      <c r="G545" s="1">
        <v>1</v>
      </c>
      <c r="H545" s="1">
        <v>1.2975568175000001</v>
      </c>
      <c r="I545" s="1">
        <v>1.1665386006</v>
      </c>
      <c r="J545" s="1">
        <v>0.64017715691900001</v>
      </c>
      <c r="K545" s="1">
        <v>18337.4900896</v>
      </c>
      <c r="L545" s="1">
        <v>4764.11837965</v>
      </c>
      <c r="M545" s="1" t="s">
        <v>198</v>
      </c>
      <c r="N545" s="1" t="b">
        <v>1</v>
      </c>
    </row>
    <row r="546" spans="1:14" ht="19" customHeight="1" x14ac:dyDescent="0.3">
      <c r="A546">
        <v>541</v>
      </c>
      <c r="B546" s="1">
        <v>3</v>
      </c>
      <c r="C546" s="1">
        <v>0</v>
      </c>
      <c r="D546" s="1">
        <v>2.5000000000000001E-2</v>
      </c>
      <c r="E546" s="1">
        <v>0.04</v>
      </c>
      <c r="F546" s="1">
        <v>-5</v>
      </c>
      <c r="G546" s="1">
        <v>0</v>
      </c>
      <c r="H546" s="1">
        <v>1.2750617122300001</v>
      </c>
      <c r="I546" s="1">
        <v>2.0810384562799999</v>
      </c>
      <c r="J546" s="1">
        <v>0.91414814385099996</v>
      </c>
      <c r="K546" s="1">
        <v>0</v>
      </c>
      <c r="L546" s="1">
        <v>0</v>
      </c>
      <c r="M546" s="1" t="s">
        <v>198</v>
      </c>
      <c r="N546" s="1" t="b">
        <v>1</v>
      </c>
    </row>
    <row r="547" spans="1:14" ht="19" customHeight="1" x14ac:dyDescent="0.3">
      <c r="A547">
        <v>542</v>
      </c>
      <c r="B547" s="1">
        <v>3</v>
      </c>
      <c r="C547" s="1">
        <v>0</v>
      </c>
      <c r="D547" s="1">
        <v>2.5000000000000001E-2</v>
      </c>
      <c r="E547" s="1">
        <v>0.04</v>
      </c>
      <c r="F547" s="1">
        <v>-5</v>
      </c>
      <c r="G547" s="1">
        <v>1</v>
      </c>
      <c r="H547" s="1">
        <v>1.2750617122300001</v>
      </c>
      <c r="I547" s="1">
        <v>1.56077884221</v>
      </c>
      <c r="J547" s="1">
        <v>0.74960147795800003</v>
      </c>
      <c r="K547" s="1">
        <v>0</v>
      </c>
      <c r="L547" s="1">
        <v>0</v>
      </c>
      <c r="M547" s="1" t="s">
        <v>198</v>
      </c>
      <c r="N547" s="1" t="b">
        <v>1</v>
      </c>
    </row>
    <row r="548" spans="1:14" ht="19" customHeight="1" x14ac:dyDescent="0.3">
      <c r="A548">
        <v>543</v>
      </c>
      <c r="B548" s="1">
        <v>3</v>
      </c>
      <c r="C548" s="1">
        <v>0</v>
      </c>
      <c r="D548" s="1">
        <v>2.5000000000000001E-2</v>
      </c>
      <c r="E548" s="1">
        <v>0.04</v>
      </c>
      <c r="F548" s="1">
        <v>0</v>
      </c>
      <c r="G548" s="1">
        <v>0</v>
      </c>
      <c r="H548" s="1">
        <v>1.30407578506</v>
      </c>
      <c r="I548" s="1">
        <v>2.1283925574499998</v>
      </c>
      <c r="J548" s="1">
        <v>0.90664814385100001</v>
      </c>
      <c r="K548" s="1">
        <v>0</v>
      </c>
      <c r="L548" s="1">
        <v>0</v>
      </c>
      <c r="M548" s="1" t="s">
        <v>198</v>
      </c>
      <c r="N548" s="1" t="b">
        <v>1</v>
      </c>
    </row>
    <row r="549" spans="1:14" ht="19" customHeight="1" x14ac:dyDescent="0.3">
      <c r="A549">
        <v>544</v>
      </c>
      <c r="B549" s="1">
        <v>3</v>
      </c>
      <c r="C549" s="1">
        <v>0</v>
      </c>
      <c r="D549" s="1">
        <v>2.5000000000000001E-2</v>
      </c>
      <c r="E549" s="1">
        <v>0.04</v>
      </c>
      <c r="F549" s="1">
        <v>0</v>
      </c>
      <c r="G549" s="1">
        <v>1</v>
      </c>
      <c r="H549" s="1">
        <v>1.30407578506</v>
      </c>
      <c r="I549" s="1">
        <v>1.5962944180900001</v>
      </c>
      <c r="J549" s="1">
        <v>0.74345147795800004</v>
      </c>
      <c r="K549" s="1">
        <v>0</v>
      </c>
      <c r="L549" s="1">
        <v>0</v>
      </c>
      <c r="M549" s="1" t="s">
        <v>198</v>
      </c>
      <c r="N549" s="1" t="b">
        <v>1</v>
      </c>
    </row>
    <row r="550" spans="1:14" ht="19" customHeight="1" x14ac:dyDescent="0.3">
      <c r="A550">
        <v>545</v>
      </c>
      <c r="B550" s="1">
        <v>3</v>
      </c>
      <c r="C550" s="1">
        <v>0</v>
      </c>
      <c r="D550" s="1">
        <v>2.5000000000000001E-2</v>
      </c>
      <c r="E550" s="1">
        <v>0.04</v>
      </c>
      <c r="F550" s="1">
        <v>5</v>
      </c>
      <c r="G550" s="1">
        <v>0</v>
      </c>
      <c r="H550" s="1">
        <v>1.2750617122300001</v>
      </c>
      <c r="I550" s="1">
        <v>2.0810384562799999</v>
      </c>
      <c r="J550" s="1">
        <v>0.91414814385099996</v>
      </c>
      <c r="K550" s="1">
        <v>0</v>
      </c>
      <c r="L550" s="1">
        <v>0</v>
      </c>
      <c r="M550" s="1" t="s">
        <v>198</v>
      </c>
      <c r="N550" s="1" t="b">
        <v>1</v>
      </c>
    </row>
    <row r="551" spans="1:14" ht="19" customHeight="1" x14ac:dyDescent="0.3">
      <c r="A551">
        <v>546</v>
      </c>
      <c r="B551" s="1">
        <v>3</v>
      </c>
      <c r="C551" s="1">
        <v>0</v>
      </c>
      <c r="D551" s="1">
        <v>2.5000000000000001E-2</v>
      </c>
      <c r="E551" s="1">
        <v>0.04</v>
      </c>
      <c r="F551" s="1">
        <v>5</v>
      </c>
      <c r="G551" s="1">
        <v>1</v>
      </c>
      <c r="H551" s="1">
        <v>1.2750617122300001</v>
      </c>
      <c r="I551" s="1">
        <v>1.56077884221</v>
      </c>
      <c r="J551" s="1">
        <v>0.74960147795800003</v>
      </c>
      <c r="K551" s="1">
        <v>0</v>
      </c>
      <c r="L551" s="1">
        <v>0</v>
      </c>
      <c r="M551" s="1" t="s">
        <v>198</v>
      </c>
      <c r="N551" s="1" t="b">
        <v>1</v>
      </c>
    </row>
    <row r="552" spans="1:14" ht="19" customHeight="1" x14ac:dyDescent="0.3">
      <c r="A552">
        <v>547</v>
      </c>
      <c r="B552" s="1">
        <v>3</v>
      </c>
      <c r="C552" s="1">
        <v>0</v>
      </c>
      <c r="D552" s="1">
        <v>2.5000000000000001E-2</v>
      </c>
      <c r="E552" s="1">
        <v>0.06</v>
      </c>
      <c r="F552" s="1">
        <v>-5</v>
      </c>
      <c r="G552" s="1">
        <v>0</v>
      </c>
      <c r="H552" s="1">
        <v>1.31567672587</v>
      </c>
      <c r="I552" s="1">
        <v>2.1419609767300001</v>
      </c>
      <c r="J552" s="1">
        <v>0.91778282469600003</v>
      </c>
      <c r="K552" s="1">
        <v>0</v>
      </c>
      <c r="L552" s="1">
        <v>0</v>
      </c>
      <c r="M552" s="1" t="s">
        <v>198</v>
      </c>
      <c r="N552" s="1" t="b">
        <v>1</v>
      </c>
    </row>
    <row r="553" spans="1:14" ht="19" customHeight="1" x14ac:dyDescent="0.3">
      <c r="A553">
        <v>548</v>
      </c>
      <c r="B553" s="1">
        <v>3</v>
      </c>
      <c r="C553" s="1">
        <v>0</v>
      </c>
      <c r="D553" s="1">
        <v>2.5000000000000001E-2</v>
      </c>
      <c r="E553" s="1">
        <v>0.06</v>
      </c>
      <c r="F553" s="1">
        <v>-5</v>
      </c>
      <c r="G553" s="1">
        <v>1</v>
      </c>
      <c r="H553" s="1">
        <v>1.31567672587</v>
      </c>
      <c r="I553" s="1">
        <v>1.6064707325500001</v>
      </c>
      <c r="J553" s="1">
        <v>0.75258191625100002</v>
      </c>
      <c r="K553" s="1">
        <v>0</v>
      </c>
      <c r="L553" s="1">
        <v>0</v>
      </c>
      <c r="M553" s="1" t="s">
        <v>198</v>
      </c>
      <c r="N553" s="1" t="b">
        <v>1</v>
      </c>
    </row>
    <row r="554" spans="1:14" ht="19" customHeight="1" x14ac:dyDescent="0.3">
      <c r="A554">
        <v>549</v>
      </c>
      <c r="B554" s="1">
        <v>3</v>
      </c>
      <c r="C554" s="1">
        <v>0</v>
      </c>
      <c r="D554" s="1">
        <v>2.5000000000000001E-2</v>
      </c>
      <c r="E554" s="1">
        <v>0.06</v>
      </c>
      <c r="F554" s="1">
        <v>0</v>
      </c>
      <c r="G554" s="1">
        <v>0</v>
      </c>
      <c r="H554" s="1">
        <v>1.34561499472</v>
      </c>
      <c r="I554" s="1">
        <v>2.1907013719399999</v>
      </c>
      <c r="J554" s="1">
        <v>0.91028282469599997</v>
      </c>
      <c r="K554" s="1">
        <v>0</v>
      </c>
      <c r="L554" s="1">
        <v>0</v>
      </c>
      <c r="M554" s="1" t="s">
        <v>198</v>
      </c>
      <c r="N554" s="1" t="b">
        <v>1</v>
      </c>
    </row>
    <row r="555" spans="1:14" ht="19" customHeight="1" x14ac:dyDescent="0.3">
      <c r="A555">
        <v>550</v>
      </c>
      <c r="B555" s="1">
        <v>3</v>
      </c>
      <c r="C555" s="1">
        <v>0</v>
      </c>
      <c r="D555" s="1">
        <v>2.5000000000000001E-2</v>
      </c>
      <c r="E555" s="1">
        <v>0.06</v>
      </c>
      <c r="F555" s="1">
        <v>0</v>
      </c>
      <c r="G555" s="1">
        <v>1</v>
      </c>
      <c r="H555" s="1">
        <v>1.34561499472</v>
      </c>
      <c r="I555" s="1">
        <v>1.6430260289500001</v>
      </c>
      <c r="J555" s="1">
        <v>0.74643191625100003</v>
      </c>
      <c r="K555" s="1">
        <v>0</v>
      </c>
      <c r="L555" s="1">
        <v>0</v>
      </c>
      <c r="M555" s="1" t="s">
        <v>198</v>
      </c>
      <c r="N555" s="1" t="b">
        <v>1</v>
      </c>
    </row>
    <row r="556" spans="1:14" ht="19" customHeight="1" x14ac:dyDescent="0.3">
      <c r="A556">
        <v>551</v>
      </c>
      <c r="B556" s="1">
        <v>3</v>
      </c>
      <c r="C556" s="1">
        <v>0</v>
      </c>
      <c r="D556" s="1">
        <v>2.5000000000000001E-2</v>
      </c>
      <c r="E556" s="1">
        <v>0.06</v>
      </c>
      <c r="F556" s="1">
        <v>5</v>
      </c>
      <c r="G556" s="1">
        <v>0</v>
      </c>
      <c r="H556" s="1">
        <v>1.31567672587</v>
      </c>
      <c r="I556" s="1">
        <v>2.1419609767300001</v>
      </c>
      <c r="J556" s="1">
        <v>0.91778282469600003</v>
      </c>
      <c r="K556" s="1">
        <v>0</v>
      </c>
      <c r="L556" s="1">
        <v>0</v>
      </c>
      <c r="M556" s="1" t="s">
        <v>198</v>
      </c>
      <c r="N556" s="1" t="b">
        <v>1</v>
      </c>
    </row>
    <row r="557" spans="1:14" ht="19" customHeight="1" x14ac:dyDescent="0.3">
      <c r="A557">
        <v>552</v>
      </c>
      <c r="B557" s="1">
        <v>3</v>
      </c>
      <c r="C557" s="1">
        <v>0</v>
      </c>
      <c r="D557" s="1">
        <v>2.5000000000000001E-2</v>
      </c>
      <c r="E557" s="1">
        <v>0.06</v>
      </c>
      <c r="F557" s="1">
        <v>5</v>
      </c>
      <c r="G557" s="1">
        <v>1</v>
      </c>
      <c r="H557" s="1">
        <v>1.31567672587</v>
      </c>
      <c r="I557" s="1">
        <v>1.6064707325500001</v>
      </c>
      <c r="J557" s="1">
        <v>0.75258191625100002</v>
      </c>
      <c r="K557" s="1">
        <v>0</v>
      </c>
      <c r="L557" s="1">
        <v>0</v>
      </c>
      <c r="M557" s="1" t="s">
        <v>198</v>
      </c>
      <c r="N557" s="1" t="b">
        <v>1</v>
      </c>
    </row>
    <row r="558" spans="1:14" ht="19" customHeight="1" x14ac:dyDescent="0.3">
      <c r="A558">
        <v>553</v>
      </c>
      <c r="B558" s="1">
        <v>3</v>
      </c>
      <c r="C558" s="1">
        <v>0</v>
      </c>
      <c r="D558" s="1">
        <v>2.5000000000000001E-2</v>
      </c>
      <c r="E558" s="1">
        <v>8.5000000000000006E-2</v>
      </c>
      <c r="F558" s="1">
        <v>-5</v>
      </c>
      <c r="G558" s="1">
        <v>0</v>
      </c>
      <c r="H558" s="1">
        <v>1.21184521693</v>
      </c>
      <c r="I558" s="1">
        <v>1.98621371332</v>
      </c>
      <c r="J558" s="1">
        <v>0.90849083233000005</v>
      </c>
      <c r="K558" s="1">
        <v>0</v>
      </c>
      <c r="L558" s="1">
        <v>0</v>
      </c>
      <c r="M558" s="1" t="s">
        <v>198</v>
      </c>
      <c r="N558" s="1" t="b">
        <v>1</v>
      </c>
    </row>
    <row r="559" spans="1:14" ht="19" customHeight="1" x14ac:dyDescent="0.3">
      <c r="A559">
        <v>554</v>
      </c>
      <c r="B559" s="1">
        <v>3</v>
      </c>
      <c r="C559" s="1">
        <v>0</v>
      </c>
      <c r="D559" s="1">
        <v>2.5000000000000001E-2</v>
      </c>
      <c r="E559" s="1">
        <v>8.5000000000000006E-2</v>
      </c>
      <c r="F559" s="1">
        <v>-5</v>
      </c>
      <c r="G559" s="1">
        <v>1</v>
      </c>
      <c r="H559" s="1">
        <v>1.21184521693</v>
      </c>
      <c r="I559" s="1">
        <v>1.48966028499</v>
      </c>
      <c r="J559" s="1">
        <v>0.74496248250999997</v>
      </c>
      <c r="K559" s="1">
        <v>0</v>
      </c>
      <c r="L559" s="1">
        <v>0</v>
      </c>
      <c r="M559" s="1" t="s">
        <v>198</v>
      </c>
      <c r="N559" s="1" t="b">
        <v>1</v>
      </c>
    </row>
    <row r="560" spans="1:14" ht="19" customHeight="1" x14ac:dyDescent="0.3">
      <c r="A560">
        <v>555</v>
      </c>
      <c r="B560" s="1">
        <v>3</v>
      </c>
      <c r="C560" s="1">
        <v>0</v>
      </c>
      <c r="D560" s="1">
        <v>2.5000000000000001E-2</v>
      </c>
      <c r="E560" s="1">
        <v>8.5000000000000006E-2</v>
      </c>
      <c r="F560" s="1">
        <v>0</v>
      </c>
      <c r="G560" s="1">
        <v>0</v>
      </c>
      <c r="H560" s="1">
        <v>1.2394207962399999</v>
      </c>
      <c r="I560" s="1">
        <v>2.0314100742200001</v>
      </c>
      <c r="J560" s="1">
        <v>0.90099083232999999</v>
      </c>
      <c r="K560" s="1">
        <v>0</v>
      </c>
      <c r="L560" s="1">
        <v>0</v>
      </c>
      <c r="M560" s="1" t="s">
        <v>198</v>
      </c>
      <c r="N560" s="1" t="b">
        <v>1</v>
      </c>
    </row>
    <row r="561" spans="1:14" ht="19" customHeight="1" x14ac:dyDescent="0.3">
      <c r="A561">
        <v>556</v>
      </c>
      <c r="B561" s="1">
        <v>3</v>
      </c>
      <c r="C561" s="1">
        <v>0</v>
      </c>
      <c r="D561" s="1">
        <v>2.5000000000000001E-2</v>
      </c>
      <c r="E561" s="1">
        <v>8.5000000000000006E-2</v>
      </c>
      <c r="F561" s="1">
        <v>0</v>
      </c>
      <c r="G561" s="1">
        <v>1</v>
      </c>
      <c r="H561" s="1">
        <v>1.2394207962399999</v>
      </c>
      <c r="I561" s="1">
        <v>1.5235575556700001</v>
      </c>
      <c r="J561" s="1">
        <v>0.73881248250999998</v>
      </c>
      <c r="K561" s="1">
        <v>0</v>
      </c>
      <c r="L561" s="1">
        <v>0</v>
      </c>
      <c r="M561" s="1" t="s">
        <v>198</v>
      </c>
      <c r="N561" s="1" t="b">
        <v>1</v>
      </c>
    </row>
    <row r="562" spans="1:14" ht="19" customHeight="1" x14ac:dyDescent="0.3">
      <c r="A562">
        <v>557</v>
      </c>
      <c r="B562" s="1">
        <v>3</v>
      </c>
      <c r="C562" s="1">
        <v>0</v>
      </c>
      <c r="D562" s="1">
        <v>2.5000000000000001E-2</v>
      </c>
      <c r="E562" s="1">
        <v>8.5000000000000006E-2</v>
      </c>
      <c r="F562" s="1">
        <v>5</v>
      </c>
      <c r="G562" s="1">
        <v>0</v>
      </c>
      <c r="H562" s="1">
        <v>1.21184521693</v>
      </c>
      <c r="I562" s="1">
        <v>1.98621371332</v>
      </c>
      <c r="J562" s="1">
        <v>0.90849083233000005</v>
      </c>
      <c r="K562" s="1">
        <v>0</v>
      </c>
      <c r="L562" s="1">
        <v>0</v>
      </c>
      <c r="M562" s="1" t="s">
        <v>198</v>
      </c>
      <c r="N562" s="1" t="b">
        <v>1</v>
      </c>
    </row>
    <row r="563" spans="1:14" ht="19" customHeight="1" x14ac:dyDescent="0.3">
      <c r="A563">
        <v>558</v>
      </c>
      <c r="B563" s="1">
        <v>3</v>
      </c>
      <c r="C563" s="1">
        <v>0</v>
      </c>
      <c r="D563" s="1">
        <v>2.5000000000000001E-2</v>
      </c>
      <c r="E563" s="1">
        <v>8.5000000000000006E-2</v>
      </c>
      <c r="F563" s="1">
        <v>5</v>
      </c>
      <c r="G563" s="1">
        <v>1</v>
      </c>
      <c r="H563" s="1">
        <v>1.21184521693</v>
      </c>
      <c r="I563" s="1">
        <v>1.48966028499</v>
      </c>
      <c r="J563" s="1">
        <v>0.74496248250999997</v>
      </c>
      <c r="K563" s="1">
        <v>0</v>
      </c>
      <c r="L563" s="1">
        <v>0</v>
      </c>
      <c r="M563" s="1" t="s">
        <v>198</v>
      </c>
      <c r="N563" s="1" t="b">
        <v>1</v>
      </c>
    </row>
    <row r="564" spans="1:14" ht="19" customHeight="1" x14ac:dyDescent="0.3">
      <c r="A564">
        <v>559</v>
      </c>
      <c r="B564" s="1">
        <v>3</v>
      </c>
      <c r="C564" s="1">
        <v>0</v>
      </c>
      <c r="D564" s="1">
        <v>0.04</v>
      </c>
      <c r="E564" s="1">
        <v>0.04</v>
      </c>
      <c r="F564" s="1">
        <v>-5</v>
      </c>
      <c r="G564" s="1">
        <v>0</v>
      </c>
      <c r="H564" s="1">
        <v>1.28105052569</v>
      </c>
      <c r="I564" s="1">
        <v>2.0900216764600001</v>
      </c>
      <c r="J564" s="1">
        <v>0.91468408914800003</v>
      </c>
      <c r="K564" s="1">
        <v>0</v>
      </c>
      <c r="L564" s="1">
        <v>0</v>
      </c>
      <c r="M564" s="1" t="s">
        <v>198</v>
      </c>
      <c r="N564" s="1" t="b">
        <v>1</v>
      </c>
    </row>
    <row r="565" spans="1:14" ht="19" customHeight="1" x14ac:dyDescent="0.3">
      <c r="A565">
        <v>560</v>
      </c>
      <c r="B565" s="1">
        <v>3</v>
      </c>
      <c r="C565" s="1">
        <v>0</v>
      </c>
      <c r="D565" s="1">
        <v>0.04</v>
      </c>
      <c r="E565" s="1">
        <v>0.04</v>
      </c>
      <c r="F565" s="1">
        <v>-5</v>
      </c>
      <c r="G565" s="1">
        <v>1</v>
      </c>
      <c r="H565" s="1">
        <v>1.28105052569</v>
      </c>
      <c r="I565" s="1">
        <v>1.5675162573400001</v>
      </c>
      <c r="J565" s="1">
        <v>0.75004095310100005</v>
      </c>
      <c r="K565" s="1">
        <v>0</v>
      </c>
      <c r="L565" s="1">
        <v>0</v>
      </c>
      <c r="M565" s="1" t="s">
        <v>198</v>
      </c>
      <c r="N565" s="1" t="b">
        <v>1</v>
      </c>
    </row>
    <row r="566" spans="1:14" ht="19" customHeight="1" x14ac:dyDescent="0.3">
      <c r="A566">
        <v>561</v>
      </c>
      <c r="B566" s="1">
        <v>3</v>
      </c>
      <c r="C566" s="1">
        <v>0</v>
      </c>
      <c r="D566" s="1">
        <v>0.04</v>
      </c>
      <c r="E566" s="1">
        <v>0.04</v>
      </c>
      <c r="F566" s="1">
        <v>0</v>
      </c>
      <c r="G566" s="1">
        <v>0</v>
      </c>
      <c r="H566" s="1">
        <v>1.31020087417</v>
      </c>
      <c r="I566" s="1">
        <v>2.1375801911100001</v>
      </c>
      <c r="J566" s="1">
        <v>0.90718408914799997</v>
      </c>
      <c r="K566" s="1">
        <v>0</v>
      </c>
      <c r="L566" s="1">
        <v>0</v>
      </c>
      <c r="M566" s="1" t="s">
        <v>198</v>
      </c>
      <c r="N566" s="1" t="b">
        <v>1</v>
      </c>
    </row>
    <row r="567" spans="1:14" ht="19" customHeight="1" x14ac:dyDescent="0.3">
      <c r="A567">
        <v>562</v>
      </c>
      <c r="B567" s="1">
        <v>3</v>
      </c>
      <c r="C567" s="1">
        <v>0</v>
      </c>
      <c r="D567" s="1">
        <v>0.04</v>
      </c>
      <c r="E567" s="1">
        <v>0.04</v>
      </c>
      <c r="F567" s="1">
        <v>0</v>
      </c>
      <c r="G567" s="1">
        <v>1</v>
      </c>
      <c r="H567" s="1">
        <v>1.31020087417</v>
      </c>
      <c r="I567" s="1">
        <v>1.60318514333</v>
      </c>
      <c r="J567" s="1">
        <v>0.74389095310099995</v>
      </c>
      <c r="K567" s="1">
        <v>0</v>
      </c>
      <c r="L567" s="1">
        <v>0</v>
      </c>
      <c r="M567" s="1" t="s">
        <v>198</v>
      </c>
      <c r="N567" s="1" t="b">
        <v>1</v>
      </c>
    </row>
    <row r="568" spans="1:14" ht="19" customHeight="1" x14ac:dyDescent="0.3">
      <c r="A568">
        <v>563</v>
      </c>
      <c r="B568" s="1">
        <v>3</v>
      </c>
      <c r="C568" s="1">
        <v>0</v>
      </c>
      <c r="D568" s="1">
        <v>0.04</v>
      </c>
      <c r="E568" s="1">
        <v>0.04</v>
      </c>
      <c r="F568" s="1">
        <v>5</v>
      </c>
      <c r="G568" s="1">
        <v>0</v>
      </c>
      <c r="H568" s="1">
        <v>1.28105052569</v>
      </c>
      <c r="I568" s="1">
        <v>2.0900216764600001</v>
      </c>
      <c r="J568" s="1">
        <v>0.91468408914800003</v>
      </c>
      <c r="K568" s="1">
        <v>0</v>
      </c>
      <c r="L568" s="1">
        <v>0</v>
      </c>
      <c r="M568" s="1" t="s">
        <v>198</v>
      </c>
      <c r="N568" s="1" t="b">
        <v>1</v>
      </c>
    </row>
    <row r="569" spans="1:14" ht="19" customHeight="1" x14ac:dyDescent="0.3">
      <c r="A569">
        <v>564</v>
      </c>
      <c r="B569" s="1">
        <v>3</v>
      </c>
      <c r="C569" s="1">
        <v>0</v>
      </c>
      <c r="D569" s="1">
        <v>0.04</v>
      </c>
      <c r="E569" s="1">
        <v>0.04</v>
      </c>
      <c r="F569" s="1">
        <v>5</v>
      </c>
      <c r="G569" s="1">
        <v>1</v>
      </c>
      <c r="H569" s="1">
        <v>1.28105052569</v>
      </c>
      <c r="I569" s="1">
        <v>1.5675162573400001</v>
      </c>
      <c r="J569" s="1">
        <v>0.75004095310100005</v>
      </c>
      <c r="K569" s="1">
        <v>0</v>
      </c>
      <c r="L569" s="1">
        <v>0</v>
      </c>
      <c r="M569" s="1" t="s">
        <v>198</v>
      </c>
      <c r="N569" s="1" t="b">
        <v>1</v>
      </c>
    </row>
    <row r="570" spans="1:14" ht="19" customHeight="1" x14ac:dyDescent="0.3">
      <c r="A570">
        <v>565</v>
      </c>
      <c r="B570" s="1">
        <v>3</v>
      </c>
      <c r="C570" s="1">
        <v>0</v>
      </c>
      <c r="D570" s="1">
        <v>0.04</v>
      </c>
      <c r="E570" s="1">
        <v>0.06</v>
      </c>
      <c r="F570" s="1">
        <v>-5</v>
      </c>
      <c r="G570" s="1">
        <v>0</v>
      </c>
      <c r="H570" s="1">
        <v>1.3222463412400001</v>
      </c>
      <c r="I570" s="1">
        <v>2.1518153997899998</v>
      </c>
      <c r="J570" s="1">
        <v>0.91837074657600004</v>
      </c>
      <c r="K570" s="1">
        <v>0</v>
      </c>
      <c r="L570" s="1">
        <v>0</v>
      </c>
      <c r="M570" s="1" t="s">
        <v>198</v>
      </c>
      <c r="N570" s="1" t="b">
        <v>1</v>
      </c>
    </row>
    <row r="571" spans="1:14" ht="19" customHeight="1" x14ac:dyDescent="0.3">
      <c r="A571">
        <v>566</v>
      </c>
      <c r="B571" s="1">
        <v>3</v>
      </c>
      <c r="C571" s="1">
        <v>0</v>
      </c>
      <c r="D571" s="1">
        <v>0.04</v>
      </c>
      <c r="E571" s="1">
        <v>0.06</v>
      </c>
      <c r="F571" s="1">
        <v>-5</v>
      </c>
      <c r="G571" s="1">
        <v>1</v>
      </c>
      <c r="H571" s="1">
        <v>1.3222463412400001</v>
      </c>
      <c r="I571" s="1">
        <v>1.61386154985</v>
      </c>
      <c r="J571" s="1">
        <v>0.75306401219200003</v>
      </c>
      <c r="K571" s="1">
        <v>0</v>
      </c>
      <c r="L571" s="1">
        <v>0</v>
      </c>
      <c r="M571" s="1" t="s">
        <v>198</v>
      </c>
      <c r="N571" s="1" t="b">
        <v>1</v>
      </c>
    </row>
    <row r="572" spans="1:14" ht="19" customHeight="1" x14ac:dyDescent="0.3">
      <c r="A572">
        <v>567</v>
      </c>
      <c r="B572" s="1">
        <v>3</v>
      </c>
      <c r="C572" s="1">
        <v>0</v>
      </c>
      <c r="D572" s="1">
        <v>0.04</v>
      </c>
      <c r="E572" s="1">
        <v>0.06</v>
      </c>
      <c r="F572" s="1">
        <v>0</v>
      </c>
      <c r="G572" s="1">
        <v>0</v>
      </c>
      <c r="H572" s="1">
        <v>1.3523341019099999</v>
      </c>
      <c r="I572" s="1">
        <v>2.20078003273</v>
      </c>
      <c r="J572" s="1">
        <v>0.91087074657599998</v>
      </c>
      <c r="K572" s="1">
        <v>0</v>
      </c>
      <c r="L572" s="1">
        <v>0</v>
      </c>
      <c r="M572" s="1" t="s">
        <v>198</v>
      </c>
      <c r="N572" s="1" t="b">
        <v>1</v>
      </c>
    </row>
    <row r="573" spans="1:14" ht="19" customHeight="1" x14ac:dyDescent="0.3">
      <c r="A573">
        <v>568</v>
      </c>
      <c r="B573" s="1">
        <v>3</v>
      </c>
      <c r="C573" s="1">
        <v>0</v>
      </c>
      <c r="D573" s="1">
        <v>0.04</v>
      </c>
      <c r="E573" s="1">
        <v>0.06</v>
      </c>
      <c r="F573" s="1">
        <v>0</v>
      </c>
      <c r="G573" s="1">
        <v>1</v>
      </c>
      <c r="H573" s="1">
        <v>1.3523341019099999</v>
      </c>
      <c r="I573" s="1">
        <v>1.65058502455</v>
      </c>
      <c r="J573" s="1">
        <v>0.74691401219200004</v>
      </c>
      <c r="K573" s="1">
        <v>0</v>
      </c>
      <c r="L573" s="1">
        <v>0</v>
      </c>
      <c r="M573" s="1" t="s">
        <v>198</v>
      </c>
      <c r="N573" s="1" t="b">
        <v>1</v>
      </c>
    </row>
    <row r="574" spans="1:14" ht="19" customHeight="1" x14ac:dyDescent="0.3">
      <c r="A574">
        <v>569</v>
      </c>
      <c r="B574" s="1">
        <v>3</v>
      </c>
      <c r="C574" s="1">
        <v>0</v>
      </c>
      <c r="D574" s="1">
        <v>0.04</v>
      </c>
      <c r="E574" s="1">
        <v>0.06</v>
      </c>
      <c r="F574" s="1">
        <v>5</v>
      </c>
      <c r="G574" s="1">
        <v>0</v>
      </c>
      <c r="H574" s="1">
        <v>1.3222463412400001</v>
      </c>
      <c r="I574" s="1">
        <v>2.1518153997899998</v>
      </c>
      <c r="J574" s="1">
        <v>0.91837074657600004</v>
      </c>
      <c r="K574" s="1">
        <v>0</v>
      </c>
      <c r="L574" s="1">
        <v>0</v>
      </c>
      <c r="M574" s="1" t="s">
        <v>198</v>
      </c>
      <c r="N574" s="1" t="b">
        <v>1</v>
      </c>
    </row>
    <row r="575" spans="1:14" ht="19" customHeight="1" x14ac:dyDescent="0.3">
      <c r="A575">
        <v>570</v>
      </c>
      <c r="B575" s="1">
        <v>3</v>
      </c>
      <c r="C575" s="1">
        <v>0</v>
      </c>
      <c r="D575" s="1">
        <v>0.04</v>
      </c>
      <c r="E575" s="1">
        <v>0.06</v>
      </c>
      <c r="F575" s="1">
        <v>5</v>
      </c>
      <c r="G575" s="1">
        <v>1</v>
      </c>
      <c r="H575" s="1">
        <v>1.3222463412400001</v>
      </c>
      <c r="I575" s="1">
        <v>1.61386154985</v>
      </c>
      <c r="J575" s="1">
        <v>0.75306401219200003</v>
      </c>
      <c r="K575" s="1">
        <v>0</v>
      </c>
      <c r="L575" s="1">
        <v>0</v>
      </c>
      <c r="M575" s="1" t="s">
        <v>198</v>
      </c>
      <c r="N575" s="1" t="b">
        <v>1</v>
      </c>
    </row>
    <row r="576" spans="1:14" ht="19" customHeight="1" x14ac:dyDescent="0.3">
      <c r="A576">
        <v>571</v>
      </c>
      <c r="B576" s="1">
        <v>3</v>
      </c>
      <c r="C576" s="1">
        <v>0</v>
      </c>
      <c r="D576" s="1">
        <v>0.04</v>
      </c>
      <c r="E576" s="1">
        <v>8.5000000000000006E-2</v>
      </c>
      <c r="F576" s="1">
        <v>-5</v>
      </c>
      <c r="G576" s="1">
        <v>0</v>
      </c>
      <c r="H576" s="1">
        <v>1.21693002325</v>
      </c>
      <c r="I576" s="1">
        <v>1.9938409228</v>
      </c>
      <c r="J576" s="1">
        <v>0.90894587706499996</v>
      </c>
      <c r="K576" s="1">
        <v>0</v>
      </c>
      <c r="L576" s="1">
        <v>0</v>
      </c>
      <c r="M576" s="1" t="s">
        <v>198</v>
      </c>
      <c r="N576" s="1" t="b">
        <v>1</v>
      </c>
    </row>
    <row r="577" spans="1:14" ht="19" customHeight="1" x14ac:dyDescent="0.3">
      <c r="A577">
        <v>572</v>
      </c>
      <c r="B577" s="1">
        <v>3</v>
      </c>
      <c r="C577" s="1">
        <v>0</v>
      </c>
      <c r="D577" s="1">
        <v>0.04</v>
      </c>
      <c r="E577" s="1">
        <v>8.5000000000000006E-2</v>
      </c>
      <c r="F577" s="1">
        <v>-5</v>
      </c>
      <c r="G577" s="1">
        <v>1</v>
      </c>
      <c r="H577" s="1">
        <v>1.21693002325</v>
      </c>
      <c r="I577" s="1">
        <v>1.4953806920999999</v>
      </c>
      <c r="J577" s="1">
        <v>0.74533561919299995</v>
      </c>
      <c r="K577" s="1">
        <v>0</v>
      </c>
      <c r="L577" s="1">
        <v>0</v>
      </c>
      <c r="M577" s="1" t="s">
        <v>198</v>
      </c>
      <c r="N577" s="1" t="b">
        <v>1</v>
      </c>
    </row>
    <row r="578" spans="1:14" ht="19" customHeight="1" x14ac:dyDescent="0.3">
      <c r="A578">
        <v>573</v>
      </c>
      <c r="B578" s="1">
        <v>3</v>
      </c>
      <c r="C578" s="1">
        <v>0</v>
      </c>
      <c r="D578" s="1">
        <v>0.04</v>
      </c>
      <c r="E578" s="1">
        <v>8.5000000000000006E-2</v>
      </c>
      <c r="F578" s="1">
        <v>0</v>
      </c>
      <c r="G578" s="1">
        <v>0</v>
      </c>
      <c r="H578" s="1">
        <v>1.2446213075000001</v>
      </c>
      <c r="I578" s="1">
        <v>2.0392108411200001</v>
      </c>
      <c r="J578" s="1">
        <v>0.90144587706500001</v>
      </c>
      <c r="K578" s="1">
        <v>0</v>
      </c>
      <c r="L578" s="1">
        <v>0</v>
      </c>
      <c r="M578" s="1" t="s">
        <v>198</v>
      </c>
      <c r="N578" s="1" t="b">
        <v>1</v>
      </c>
    </row>
    <row r="579" spans="1:14" ht="19" customHeight="1" x14ac:dyDescent="0.3">
      <c r="A579">
        <v>574</v>
      </c>
      <c r="B579" s="1">
        <v>3</v>
      </c>
      <c r="C579" s="1">
        <v>0</v>
      </c>
      <c r="D579" s="1">
        <v>0.04</v>
      </c>
      <c r="E579" s="1">
        <v>8.5000000000000006E-2</v>
      </c>
      <c r="F579" s="1">
        <v>0</v>
      </c>
      <c r="G579" s="1">
        <v>1</v>
      </c>
      <c r="H579" s="1">
        <v>1.2446213075000001</v>
      </c>
      <c r="I579" s="1">
        <v>1.52940813084</v>
      </c>
      <c r="J579" s="1">
        <v>0.73918561919299997</v>
      </c>
      <c r="K579" s="1">
        <v>0</v>
      </c>
      <c r="L579" s="1">
        <v>0</v>
      </c>
      <c r="M579" s="1" t="s">
        <v>198</v>
      </c>
      <c r="N579" s="1" t="b">
        <v>1</v>
      </c>
    </row>
    <row r="580" spans="1:14" ht="19" customHeight="1" x14ac:dyDescent="0.3">
      <c r="A580">
        <v>575</v>
      </c>
      <c r="B580" s="1">
        <v>3</v>
      </c>
      <c r="C580" s="1">
        <v>0</v>
      </c>
      <c r="D580" s="1">
        <v>0.04</v>
      </c>
      <c r="E580" s="1">
        <v>8.5000000000000006E-2</v>
      </c>
      <c r="F580" s="1">
        <v>5</v>
      </c>
      <c r="G580" s="1">
        <v>0</v>
      </c>
      <c r="H580" s="1">
        <v>1.21693002325</v>
      </c>
      <c r="I580" s="1">
        <v>1.9938409228</v>
      </c>
      <c r="J580" s="1">
        <v>0.90894587706499996</v>
      </c>
      <c r="K580" s="1">
        <v>0</v>
      </c>
      <c r="L580" s="1">
        <v>0</v>
      </c>
      <c r="M580" s="1" t="s">
        <v>198</v>
      </c>
      <c r="N580" s="1" t="b">
        <v>1</v>
      </c>
    </row>
    <row r="581" spans="1:14" ht="19" customHeight="1" x14ac:dyDescent="0.3">
      <c r="A581">
        <v>576</v>
      </c>
      <c r="B581" s="1">
        <v>3</v>
      </c>
      <c r="C581" s="1">
        <v>0</v>
      </c>
      <c r="D581" s="1">
        <v>0.04</v>
      </c>
      <c r="E581" s="1">
        <v>8.5000000000000006E-2</v>
      </c>
      <c r="F581" s="1">
        <v>5</v>
      </c>
      <c r="G581" s="1">
        <v>1</v>
      </c>
      <c r="H581" s="1">
        <v>1.21693002325</v>
      </c>
      <c r="I581" s="1">
        <v>1.4953806920999999</v>
      </c>
      <c r="J581" s="1">
        <v>0.74533561919299995</v>
      </c>
      <c r="K581" s="1">
        <v>0</v>
      </c>
      <c r="L581" s="1">
        <v>0</v>
      </c>
      <c r="M581" s="1" t="s">
        <v>198</v>
      </c>
      <c r="N581" s="1" t="b">
        <v>1</v>
      </c>
    </row>
    <row r="582" spans="1:14" ht="19" customHeight="1" x14ac:dyDescent="0.3">
      <c r="A582">
        <v>577</v>
      </c>
      <c r="B582" s="1">
        <v>3</v>
      </c>
      <c r="C582" s="1">
        <v>0</v>
      </c>
      <c r="D582" s="1">
        <v>5.5E-2</v>
      </c>
      <c r="E582" s="1">
        <v>0.04</v>
      </c>
      <c r="F582" s="1">
        <v>-5</v>
      </c>
      <c r="G582" s="1">
        <v>0</v>
      </c>
      <c r="H582" s="1">
        <v>1.14116542362</v>
      </c>
      <c r="I582" s="1">
        <v>1.8801940233600001</v>
      </c>
      <c r="J582" s="1">
        <v>0.90216562231800002</v>
      </c>
      <c r="K582" s="1">
        <v>0</v>
      </c>
      <c r="L582" s="1">
        <v>0</v>
      </c>
      <c r="M582" s="1" t="s">
        <v>198</v>
      </c>
      <c r="N582" s="1" t="b">
        <v>1</v>
      </c>
    </row>
    <row r="583" spans="1:14" ht="19" customHeight="1" x14ac:dyDescent="0.3">
      <c r="A583">
        <v>578</v>
      </c>
      <c r="B583" s="1">
        <v>3</v>
      </c>
      <c r="C583" s="1">
        <v>0</v>
      </c>
      <c r="D583" s="1">
        <v>5.5E-2</v>
      </c>
      <c r="E583" s="1">
        <v>0.04</v>
      </c>
      <c r="F583" s="1">
        <v>-5</v>
      </c>
      <c r="G583" s="1">
        <v>1</v>
      </c>
      <c r="H583" s="1">
        <v>1.14116542362</v>
      </c>
      <c r="I583" s="1">
        <v>1.4101455175199999</v>
      </c>
      <c r="J583" s="1">
        <v>0.73977581030100004</v>
      </c>
      <c r="K583" s="1">
        <v>0</v>
      </c>
      <c r="L583" s="1">
        <v>0</v>
      </c>
      <c r="M583" s="1" t="s">
        <v>198</v>
      </c>
      <c r="N583" s="1" t="b">
        <v>1</v>
      </c>
    </row>
    <row r="584" spans="1:14" ht="19" customHeight="1" x14ac:dyDescent="0.3">
      <c r="A584">
        <v>579</v>
      </c>
      <c r="B584" s="1">
        <v>3</v>
      </c>
      <c r="C584" s="1">
        <v>0</v>
      </c>
      <c r="D584" s="1">
        <v>5.5E-2</v>
      </c>
      <c r="E584" s="1">
        <v>0.04</v>
      </c>
      <c r="F584" s="1">
        <v>0</v>
      </c>
      <c r="G584" s="1">
        <v>0</v>
      </c>
      <c r="H584" s="1">
        <v>1.1671326818300001</v>
      </c>
      <c r="I584" s="1">
        <v>1.9229779026</v>
      </c>
      <c r="J584" s="1">
        <v>0.89466562231799995</v>
      </c>
      <c r="K584" s="1">
        <v>0</v>
      </c>
      <c r="L584" s="1">
        <v>0</v>
      </c>
      <c r="M584" s="1" t="s">
        <v>198</v>
      </c>
      <c r="N584" s="1" t="b">
        <v>1</v>
      </c>
    </row>
    <row r="585" spans="1:14" ht="19" customHeight="1" x14ac:dyDescent="0.3">
      <c r="A585">
        <v>580</v>
      </c>
      <c r="B585" s="1">
        <v>3</v>
      </c>
      <c r="C585" s="1">
        <v>0</v>
      </c>
      <c r="D585" s="1">
        <v>5.5E-2</v>
      </c>
      <c r="E585" s="1">
        <v>0.04</v>
      </c>
      <c r="F585" s="1">
        <v>0</v>
      </c>
      <c r="G585" s="1">
        <v>1</v>
      </c>
      <c r="H585" s="1">
        <v>1.1671326818300001</v>
      </c>
      <c r="I585" s="1">
        <v>1.4422334269499999</v>
      </c>
      <c r="J585" s="1">
        <v>0.73362581030100005</v>
      </c>
      <c r="K585" s="1">
        <v>0</v>
      </c>
      <c r="L585" s="1">
        <v>0</v>
      </c>
      <c r="M585" s="1" t="s">
        <v>198</v>
      </c>
      <c r="N585" s="1" t="b">
        <v>1</v>
      </c>
    </row>
    <row r="586" spans="1:14" ht="19" customHeight="1" x14ac:dyDescent="0.3">
      <c r="A586">
        <v>581</v>
      </c>
      <c r="B586" s="1">
        <v>3</v>
      </c>
      <c r="C586" s="1">
        <v>0</v>
      </c>
      <c r="D586" s="1">
        <v>5.5E-2</v>
      </c>
      <c r="E586" s="1">
        <v>0.04</v>
      </c>
      <c r="F586" s="1">
        <v>5</v>
      </c>
      <c r="G586" s="1">
        <v>0</v>
      </c>
      <c r="H586" s="1">
        <v>1.14116542362</v>
      </c>
      <c r="I586" s="1">
        <v>1.8801940233600001</v>
      </c>
      <c r="J586" s="1">
        <v>0.90216562231800002</v>
      </c>
      <c r="K586" s="1">
        <v>0</v>
      </c>
      <c r="L586" s="1">
        <v>0</v>
      </c>
      <c r="M586" s="1" t="s">
        <v>198</v>
      </c>
      <c r="N586" s="1" t="b">
        <v>1</v>
      </c>
    </row>
    <row r="587" spans="1:14" ht="19" customHeight="1" x14ac:dyDescent="0.3">
      <c r="A587">
        <v>582</v>
      </c>
      <c r="B587" s="1">
        <v>3</v>
      </c>
      <c r="C587" s="1">
        <v>0</v>
      </c>
      <c r="D587" s="1">
        <v>5.5E-2</v>
      </c>
      <c r="E587" s="1">
        <v>0.04</v>
      </c>
      <c r="F587" s="1">
        <v>5</v>
      </c>
      <c r="G587" s="1">
        <v>1</v>
      </c>
      <c r="H587" s="1">
        <v>1.14116542362</v>
      </c>
      <c r="I587" s="1">
        <v>1.4101455175199999</v>
      </c>
      <c r="J587" s="1">
        <v>0.73977581030100004</v>
      </c>
      <c r="K587" s="1">
        <v>0</v>
      </c>
      <c r="L587" s="1">
        <v>0</v>
      </c>
      <c r="M587" s="1" t="s">
        <v>198</v>
      </c>
      <c r="N587" s="1" t="b">
        <v>1</v>
      </c>
    </row>
    <row r="588" spans="1:14" ht="19" customHeight="1" x14ac:dyDescent="0.3">
      <c r="A588">
        <v>583</v>
      </c>
      <c r="B588" s="1">
        <v>3</v>
      </c>
      <c r="C588" s="1">
        <v>0</v>
      </c>
      <c r="D588" s="1">
        <v>5.5E-2</v>
      </c>
      <c r="E588" s="1">
        <v>0.06</v>
      </c>
      <c r="F588" s="1">
        <v>-5</v>
      </c>
      <c r="G588" s="1">
        <v>0</v>
      </c>
      <c r="H588" s="1">
        <v>1.16879502333</v>
      </c>
      <c r="I588" s="1">
        <v>1.9216384229200001</v>
      </c>
      <c r="J588" s="1">
        <v>0.90463822463499999</v>
      </c>
      <c r="K588" s="1">
        <v>0</v>
      </c>
      <c r="L588" s="1">
        <v>0</v>
      </c>
      <c r="M588" s="1" t="s">
        <v>198</v>
      </c>
      <c r="N588" s="1" t="b">
        <v>1</v>
      </c>
    </row>
    <row r="589" spans="1:14" ht="19" customHeight="1" x14ac:dyDescent="0.3">
      <c r="A589">
        <v>584</v>
      </c>
      <c r="B589" s="1">
        <v>3</v>
      </c>
      <c r="C589" s="1">
        <v>0</v>
      </c>
      <c r="D589" s="1">
        <v>5.5E-2</v>
      </c>
      <c r="E589" s="1">
        <v>0.06</v>
      </c>
      <c r="F589" s="1">
        <v>-5</v>
      </c>
      <c r="G589" s="1">
        <v>1</v>
      </c>
      <c r="H589" s="1">
        <v>1.16879502333</v>
      </c>
      <c r="I589" s="1">
        <v>1.4412288171900001</v>
      </c>
      <c r="J589" s="1">
        <v>0.74180334420100003</v>
      </c>
      <c r="K589" s="1">
        <v>0</v>
      </c>
      <c r="L589" s="1">
        <v>0</v>
      </c>
      <c r="M589" s="1" t="s">
        <v>198</v>
      </c>
      <c r="N589" s="1" t="b">
        <v>1</v>
      </c>
    </row>
    <row r="590" spans="1:14" ht="19" customHeight="1" x14ac:dyDescent="0.3">
      <c r="A590">
        <v>585</v>
      </c>
      <c r="B590" s="1">
        <v>3</v>
      </c>
      <c r="C590" s="1">
        <v>0</v>
      </c>
      <c r="D590" s="1">
        <v>5.5E-2</v>
      </c>
      <c r="E590" s="1">
        <v>0.06</v>
      </c>
      <c r="F590" s="1">
        <v>0</v>
      </c>
      <c r="G590" s="1">
        <v>0</v>
      </c>
      <c r="H590" s="1">
        <v>1.19539099402</v>
      </c>
      <c r="I590" s="1">
        <v>1.9653653708900001</v>
      </c>
      <c r="J590" s="1">
        <v>0.89713822463500004</v>
      </c>
      <c r="K590" s="1">
        <v>0</v>
      </c>
      <c r="L590" s="1">
        <v>0</v>
      </c>
      <c r="M590" s="1" t="s">
        <v>198</v>
      </c>
      <c r="N590" s="1" t="b">
        <v>1</v>
      </c>
    </row>
    <row r="591" spans="1:14" ht="19" customHeight="1" x14ac:dyDescent="0.3">
      <c r="A591">
        <v>586</v>
      </c>
      <c r="B591" s="1">
        <v>3</v>
      </c>
      <c r="C591" s="1">
        <v>0</v>
      </c>
      <c r="D591" s="1">
        <v>5.5E-2</v>
      </c>
      <c r="E591" s="1">
        <v>0.06</v>
      </c>
      <c r="F591" s="1">
        <v>0</v>
      </c>
      <c r="G591" s="1">
        <v>1</v>
      </c>
      <c r="H591" s="1">
        <v>1.19539099402</v>
      </c>
      <c r="I591" s="1">
        <v>1.4740240281699999</v>
      </c>
      <c r="J591" s="1">
        <v>0.73565334420100004</v>
      </c>
      <c r="K591" s="1">
        <v>0</v>
      </c>
      <c r="L591" s="1">
        <v>0</v>
      </c>
      <c r="M591" s="1" t="s">
        <v>198</v>
      </c>
      <c r="N591" s="1" t="b">
        <v>1</v>
      </c>
    </row>
    <row r="592" spans="1:14" ht="19" customHeight="1" x14ac:dyDescent="0.3">
      <c r="A592">
        <v>587</v>
      </c>
      <c r="B592" s="1">
        <v>3</v>
      </c>
      <c r="C592" s="1">
        <v>0</v>
      </c>
      <c r="D592" s="1">
        <v>5.5E-2</v>
      </c>
      <c r="E592" s="1">
        <v>0.06</v>
      </c>
      <c r="F592" s="1">
        <v>5</v>
      </c>
      <c r="G592" s="1">
        <v>0</v>
      </c>
      <c r="H592" s="1">
        <v>1.16879502333</v>
      </c>
      <c r="I592" s="1">
        <v>1.9216384229200001</v>
      </c>
      <c r="J592" s="1">
        <v>0.90463822463499999</v>
      </c>
      <c r="K592" s="1">
        <v>0</v>
      </c>
      <c r="L592" s="1">
        <v>0</v>
      </c>
      <c r="M592" s="1" t="s">
        <v>198</v>
      </c>
      <c r="N592" s="1" t="b">
        <v>1</v>
      </c>
    </row>
    <row r="593" spans="1:14" ht="19" customHeight="1" x14ac:dyDescent="0.3">
      <c r="A593">
        <v>588</v>
      </c>
      <c r="B593" s="1">
        <v>3</v>
      </c>
      <c r="C593" s="1">
        <v>0</v>
      </c>
      <c r="D593" s="1">
        <v>5.5E-2</v>
      </c>
      <c r="E593" s="1">
        <v>0.06</v>
      </c>
      <c r="F593" s="1">
        <v>5</v>
      </c>
      <c r="G593" s="1">
        <v>1</v>
      </c>
      <c r="H593" s="1">
        <v>1.16879502333</v>
      </c>
      <c r="I593" s="1">
        <v>1.4412288171900001</v>
      </c>
      <c r="J593" s="1">
        <v>0.74180334420100003</v>
      </c>
      <c r="K593" s="1">
        <v>0</v>
      </c>
      <c r="L593" s="1">
        <v>0</v>
      </c>
      <c r="M593" s="1" t="s">
        <v>198</v>
      </c>
      <c r="N593" s="1" t="b">
        <v>1</v>
      </c>
    </row>
    <row r="594" spans="1:14" ht="19" customHeight="1" x14ac:dyDescent="0.3">
      <c r="A594">
        <v>589</v>
      </c>
      <c r="B594" s="1">
        <v>3</v>
      </c>
      <c r="C594" s="1">
        <v>0</v>
      </c>
      <c r="D594" s="1">
        <v>5.5E-2</v>
      </c>
      <c r="E594" s="1">
        <v>8.5000000000000006E-2</v>
      </c>
      <c r="F594" s="1">
        <v>-5</v>
      </c>
      <c r="G594" s="1">
        <v>0</v>
      </c>
      <c r="H594" s="1">
        <v>1.09816047782</v>
      </c>
      <c r="I594" s="1">
        <v>1.81568660466</v>
      </c>
      <c r="J594" s="1">
        <v>0.89831706389699995</v>
      </c>
      <c r="K594" s="1">
        <v>0</v>
      </c>
      <c r="L594" s="1">
        <v>0</v>
      </c>
      <c r="M594" s="1" t="s">
        <v>198</v>
      </c>
      <c r="N594" s="1" t="b">
        <v>1</v>
      </c>
    </row>
    <row r="595" spans="1:14" ht="19" customHeight="1" x14ac:dyDescent="0.3">
      <c r="A595">
        <v>590</v>
      </c>
      <c r="B595" s="1">
        <v>3</v>
      </c>
      <c r="C595" s="1">
        <v>0</v>
      </c>
      <c r="D595" s="1">
        <v>5.5E-2</v>
      </c>
      <c r="E595" s="1">
        <v>8.5000000000000006E-2</v>
      </c>
      <c r="F595" s="1">
        <v>-5</v>
      </c>
      <c r="G595" s="1">
        <v>1</v>
      </c>
      <c r="H595" s="1">
        <v>1.09816047782</v>
      </c>
      <c r="I595" s="1">
        <v>1.36176495349</v>
      </c>
      <c r="J595" s="1">
        <v>0.73661999239499998</v>
      </c>
      <c r="K595" s="1">
        <v>0</v>
      </c>
      <c r="L595" s="1">
        <v>0</v>
      </c>
      <c r="M595" s="1" t="s">
        <v>198</v>
      </c>
      <c r="N595" s="1" t="b">
        <v>1</v>
      </c>
    </row>
    <row r="596" spans="1:14" ht="19" customHeight="1" x14ac:dyDescent="0.3">
      <c r="A596">
        <v>591</v>
      </c>
      <c r="B596" s="1">
        <v>3</v>
      </c>
      <c r="C596" s="1">
        <v>0</v>
      </c>
      <c r="D596" s="1">
        <v>5.5E-2</v>
      </c>
      <c r="E596" s="1">
        <v>8.5000000000000006E-2</v>
      </c>
      <c r="F596" s="1">
        <v>0</v>
      </c>
      <c r="G596" s="1">
        <v>0</v>
      </c>
      <c r="H596" s="1">
        <v>1.1231491570100001</v>
      </c>
      <c r="I596" s="1">
        <v>1.8570026153800001</v>
      </c>
      <c r="J596" s="1">
        <v>0.89081706389699999</v>
      </c>
      <c r="K596" s="1">
        <v>0</v>
      </c>
      <c r="L596" s="1">
        <v>0</v>
      </c>
      <c r="M596" s="1" t="s">
        <v>198</v>
      </c>
      <c r="N596" s="1" t="b">
        <v>1</v>
      </c>
    </row>
    <row r="597" spans="1:14" ht="19" customHeight="1" x14ac:dyDescent="0.3">
      <c r="A597">
        <v>592</v>
      </c>
      <c r="B597" s="1">
        <v>3</v>
      </c>
      <c r="C597" s="1">
        <v>0</v>
      </c>
      <c r="D597" s="1">
        <v>5.5E-2</v>
      </c>
      <c r="E597" s="1">
        <v>8.5000000000000006E-2</v>
      </c>
      <c r="F597" s="1">
        <v>0</v>
      </c>
      <c r="G597" s="1">
        <v>1</v>
      </c>
      <c r="H597" s="1">
        <v>1.1231491570100001</v>
      </c>
      <c r="I597" s="1">
        <v>1.3927519615299999</v>
      </c>
      <c r="J597" s="1">
        <v>0.73046999239499999</v>
      </c>
      <c r="K597" s="1">
        <v>0</v>
      </c>
      <c r="L597" s="1">
        <v>0</v>
      </c>
      <c r="M597" s="1" t="s">
        <v>198</v>
      </c>
      <c r="N597" s="1" t="b">
        <v>1</v>
      </c>
    </row>
    <row r="598" spans="1:14" ht="19" customHeight="1" x14ac:dyDescent="0.3">
      <c r="A598">
        <v>593</v>
      </c>
      <c r="B598" s="1">
        <v>3</v>
      </c>
      <c r="C598" s="1">
        <v>0</v>
      </c>
      <c r="D598" s="1">
        <v>5.5E-2</v>
      </c>
      <c r="E598" s="1">
        <v>8.5000000000000006E-2</v>
      </c>
      <c r="F598" s="1">
        <v>5</v>
      </c>
      <c r="G598" s="1">
        <v>0</v>
      </c>
      <c r="H598" s="1">
        <v>1.09816047782</v>
      </c>
      <c r="I598" s="1">
        <v>1.81568660466</v>
      </c>
      <c r="J598" s="1">
        <v>0.89831706389699995</v>
      </c>
      <c r="K598" s="1">
        <v>0</v>
      </c>
      <c r="L598" s="1">
        <v>0</v>
      </c>
      <c r="M598" s="1" t="s">
        <v>198</v>
      </c>
      <c r="N598" s="1" t="b">
        <v>1</v>
      </c>
    </row>
    <row r="599" spans="1:14" ht="19" customHeight="1" x14ac:dyDescent="0.3">
      <c r="A599">
        <v>594</v>
      </c>
      <c r="B599" s="1">
        <v>3</v>
      </c>
      <c r="C599" s="1">
        <v>0</v>
      </c>
      <c r="D599" s="1">
        <v>5.5E-2</v>
      </c>
      <c r="E599" s="1">
        <v>8.5000000000000006E-2</v>
      </c>
      <c r="F599" s="1">
        <v>5</v>
      </c>
      <c r="G599" s="1">
        <v>1</v>
      </c>
      <c r="H599" s="1">
        <v>1.09816047782</v>
      </c>
      <c r="I599" s="1">
        <v>1.36176495349</v>
      </c>
      <c r="J599" s="1">
        <v>0.73661999239499998</v>
      </c>
      <c r="K599" s="1">
        <v>0</v>
      </c>
      <c r="L599" s="1">
        <v>0</v>
      </c>
      <c r="M599" s="1" t="s">
        <v>198</v>
      </c>
      <c r="N599" s="1" t="b">
        <v>1</v>
      </c>
    </row>
    <row r="600" spans="1:14" ht="19" customHeight="1" x14ac:dyDescent="0.3">
      <c r="A600">
        <v>595</v>
      </c>
      <c r="B600" s="1">
        <v>3</v>
      </c>
      <c r="C600" s="1">
        <v>30</v>
      </c>
      <c r="D600" s="1">
        <v>2.5000000000000001E-2</v>
      </c>
      <c r="E600" s="1">
        <v>0.04</v>
      </c>
      <c r="F600" s="1">
        <v>-5</v>
      </c>
      <c r="G600" s="1">
        <v>0</v>
      </c>
      <c r="H600" s="1">
        <v>1.2750617122300001</v>
      </c>
      <c r="I600" s="1">
        <v>2.0810384562799999</v>
      </c>
      <c r="J600" s="1">
        <v>0.91414814385099996</v>
      </c>
      <c r="K600" s="1">
        <v>2775.0753268399999</v>
      </c>
      <c r="L600" s="1">
        <v>755.88624644699996</v>
      </c>
      <c r="M600" s="1" t="s">
        <v>198</v>
      </c>
      <c r="N600" s="1" t="b">
        <v>1</v>
      </c>
    </row>
    <row r="601" spans="1:14" ht="19" customHeight="1" x14ac:dyDescent="0.3">
      <c r="A601">
        <v>596</v>
      </c>
      <c r="B601" s="1">
        <v>3</v>
      </c>
      <c r="C601" s="1">
        <v>30</v>
      </c>
      <c r="D601" s="1">
        <v>2.5000000000000001E-2</v>
      </c>
      <c r="E601" s="1">
        <v>0.04</v>
      </c>
      <c r="F601" s="1">
        <v>-5</v>
      </c>
      <c r="G601" s="1">
        <v>1</v>
      </c>
      <c r="H601" s="1">
        <v>1.2750617122300001</v>
      </c>
      <c r="I601" s="1">
        <v>1.56077884221</v>
      </c>
      <c r="J601" s="1">
        <v>0.74960147795800003</v>
      </c>
      <c r="K601" s="1">
        <v>2344.8856584599998</v>
      </c>
      <c r="L601" s="1">
        <v>619.82672208600002</v>
      </c>
      <c r="M601" s="1" t="s">
        <v>198</v>
      </c>
      <c r="N601" s="1" t="b">
        <v>1</v>
      </c>
    </row>
    <row r="602" spans="1:14" ht="19" customHeight="1" x14ac:dyDescent="0.3">
      <c r="A602">
        <v>597</v>
      </c>
      <c r="B602" s="1">
        <v>3</v>
      </c>
      <c r="C602" s="1">
        <v>30</v>
      </c>
      <c r="D602" s="1">
        <v>2.5000000000000001E-2</v>
      </c>
      <c r="E602" s="1">
        <v>0.04</v>
      </c>
      <c r="F602" s="1">
        <v>0</v>
      </c>
      <c r="G602" s="1">
        <v>0</v>
      </c>
      <c r="H602" s="1">
        <v>1.30407578506</v>
      </c>
      <c r="I602" s="1">
        <v>2.1283925574499998</v>
      </c>
      <c r="J602" s="1">
        <v>0.90664814385100001</v>
      </c>
      <c r="K602" s="1">
        <v>2838.2222607099998</v>
      </c>
      <c r="L602" s="1">
        <v>749.68468394700005</v>
      </c>
      <c r="M602" s="1" t="s">
        <v>198</v>
      </c>
      <c r="N602" s="1" t="b">
        <v>1</v>
      </c>
    </row>
    <row r="603" spans="1:14" ht="19" customHeight="1" x14ac:dyDescent="0.3">
      <c r="A603">
        <v>598</v>
      </c>
      <c r="B603" s="1">
        <v>3</v>
      </c>
      <c r="C603" s="1">
        <v>30</v>
      </c>
      <c r="D603" s="1">
        <v>2.5000000000000001E-2</v>
      </c>
      <c r="E603" s="1">
        <v>0.04</v>
      </c>
      <c r="F603" s="1">
        <v>0</v>
      </c>
      <c r="G603" s="1">
        <v>1</v>
      </c>
      <c r="H603" s="1">
        <v>1.30407578506</v>
      </c>
      <c r="I603" s="1">
        <v>1.5962944180900001</v>
      </c>
      <c r="J603" s="1">
        <v>0.74345147795800004</v>
      </c>
      <c r="K603" s="1">
        <v>2398.2436117299999</v>
      </c>
      <c r="L603" s="1">
        <v>614.74144083600004</v>
      </c>
      <c r="M603" s="1" t="s">
        <v>198</v>
      </c>
      <c r="N603" s="1" t="b">
        <v>1</v>
      </c>
    </row>
    <row r="604" spans="1:14" ht="19" customHeight="1" x14ac:dyDescent="0.3">
      <c r="A604">
        <v>599</v>
      </c>
      <c r="B604" s="1">
        <v>3</v>
      </c>
      <c r="C604" s="1">
        <v>30</v>
      </c>
      <c r="D604" s="1">
        <v>2.5000000000000001E-2</v>
      </c>
      <c r="E604" s="1">
        <v>0.04</v>
      </c>
      <c r="F604" s="1">
        <v>5</v>
      </c>
      <c r="G604" s="1">
        <v>0</v>
      </c>
      <c r="H604" s="1">
        <v>1.2750617122300001</v>
      </c>
      <c r="I604" s="1">
        <v>2.0810384562799999</v>
      </c>
      <c r="J604" s="1">
        <v>0.91414814385099996</v>
      </c>
      <c r="K604" s="1">
        <v>2775.0753268399999</v>
      </c>
      <c r="L604" s="1">
        <v>755.88624644699996</v>
      </c>
      <c r="M604" s="1" t="s">
        <v>198</v>
      </c>
      <c r="N604" s="1" t="b">
        <v>1</v>
      </c>
    </row>
    <row r="605" spans="1:14" ht="19" customHeight="1" x14ac:dyDescent="0.3">
      <c r="A605">
        <v>600</v>
      </c>
      <c r="B605" s="1">
        <v>3</v>
      </c>
      <c r="C605" s="1">
        <v>30</v>
      </c>
      <c r="D605" s="1">
        <v>2.5000000000000001E-2</v>
      </c>
      <c r="E605" s="1">
        <v>0.04</v>
      </c>
      <c r="F605" s="1">
        <v>5</v>
      </c>
      <c r="G605" s="1">
        <v>1</v>
      </c>
      <c r="H605" s="1">
        <v>1.2750617122300001</v>
      </c>
      <c r="I605" s="1">
        <v>1.56077884221</v>
      </c>
      <c r="J605" s="1">
        <v>0.74960147795800003</v>
      </c>
      <c r="K605" s="1">
        <v>2344.8856584599998</v>
      </c>
      <c r="L605" s="1">
        <v>619.82672208600002</v>
      </c>
      <c r="M605" s="1" t="s">
        <v>198</v>
      </c>
      <c r="N605" s="1" t="b">
        <v>1</v>
      </c>
    </row>
    <row r="606" spans="1:14" ht="19" customHeight="1" x14ac:dyDescent="0.3">
      <c r="A606">
        <v>601</v>
      </c>
      <c r="B606" s="1">
        <v>3</v>
      </c>
      <c r="C606" s="1">
        <v>30</v>
      </c>
      <c r="D606" s="1">
        <v>2.5000000000000001E-2</v>
      </c>
      <c r="E606" s="1">
        <v>0.06</v>
      </c>
      <c r="F606" s="1">
        <v>-5</v>
      </c>
      <c r="G606" s="1">
        <v>0</v>
      </c>
      <c r="H606" s="1">
        <v>1.31567672587</v>
      </c>
      <c r="I606" s="1">
        <v>2.1419609767300001</v>
      </c>
      <c r="J606" s="1">
        <v>0.91778282469600003</v>
      </c>
      <c r="K606" s="1">
        <v>2859.0341753399998</v>
      </c>
      <c r="L606" s="1">
        <v>758.89167317099998</v>
      </c>
      <c r="M606" s="1" t="s">
        <v>198</v>
      </c>
      <c r="N606" s="1" t="b">
        <v>1</v>
      </c>
    </row>
    <row r="607" spans="1:14" ht="19" customHeight="1" x14ac:dyDescent="0.3">
      <c r="A607">
        <v>602</v>
      </c>
      <c r="B607" s="1">
        <v>3</v>
      </c>
      <c r="C607" s="1">
        <v>30</v>
      </c>
      <c r="D607" s="1">
        <v>2.5000000000000001E-2</v>
      </c>
      <c r="E607" s="1">
        <v>0.06</v>
      </c>
      <c r="F607" s="1">
        <v>-5</v>
      </c>
      <c r="G607" s="1">
        <v>1</v>
      </c>
      <c r="H607" s="1">
        <v>1.31567672587</v>
      </c>
      <c r="I607" s="1">
        <v>1.6064707325500001</v>
      </c>
      <c r="J607" s="1">
        <v>0.75258191625100002</v>
      </c>
      <c r="K607" s="1">
        <v>2416.2506796799998</v>
      </c>
      <c r="L607" s="1">
        <v>622.29117199999996</v>
      </c>
      <c r="M607" s="1" t="s">
        <v>198</v>
      </c>
      <c r="N607" s="1" t="b">
        <v>1</v>
      </c>
    </row>
    <row r="608" spans="1:14" ht="19" customHeight="1" x14ac:dyDescent="0.3">
      <c r="A608">
        <v>603</v>
      </c>
      <c r="B608" s="1">
        <v>3</v>
      </c>
      <c r="C608" s="1">
        <v>30</v>
      </c>
      <c r="D608" s="1">
        <v>2.5000000000000001E-2</v>
      </c>
      <c r="E608" s="1">
        <v>0.06</v>
      </c>
      <c r="F608" s="1">
        <v>0</v>
      </c>
      <c r="G608" s="1">
        <v>0</v>
      </c>
      <c r="H608" s="1">
        <v>1.34561499472</v>
      </c>
      <c r="I608" s="1">
        <v>2.1907013719399999</v>
      </c>
      <c r="J608" s="1">
        <v>0.91028282469599997</v>
      </c>
      <c r="K608" s="1">
        <v>2924.09159568</v>
      </c>
      <c r="L608" s="1">
        <v>752.69011067099996</v>
      </c>
      <c r="M608" s="1" t="s">
        <v>198</v>
      </c>
      <c r="N608" s="1" t="b">
        <v>1</v>
      </c>
    </row>
    <row r="609" spans="1:14" ht="19" customHeight="1" x14ac:dyDescent="0.3">
      <c r="A609">
        <v>604</v>
      </c>
      <c r="B609" s="1">
        <v>3</v>
      </c>
      <c r="C609" s="1">
        <v>30</v>
      </c>
      <c r="D609" s="1">
        <v>2.5000000000000001E-2</v>
      </c>
      <c r="E609" s="1">
        <v>0.06</v>
      </c>
      <c r="F609" s="1">
        <v>0</v>
      </c>
      <c r="G609" s="1">
        <v>1</v>
      </c>
      <c r="H609" s="1">
        <v>1.34561499472</v>
      </c>
      <c r="I609" s="1">
        <v>1.6430260289500001</v>
      </c>
      <c r="J609" s="1">
        <v>0.74643191625100003</v>
      </c>
      <c r="K609" s="1">
        <v>2471.23254645</v>
      </c>
      <c r="L609" s="1">
        <v>617.20589074999998</v>
      </c>
      <c r="M609" s="1" t="s">
        <v>198</v>
      </c>
      <c r="N609" s="1" t="b">
        <v>1</v>
      </c>
    </row>
    <row r="610" spans="1:14" ht="19" customHeight="1" x14ac:dyDescent="0.3">
      <c r="A610">
        <v>605</v>
      </c>
      <c r="B610" s="1">
        <v>3</v>
      </c>
      <c r="C610" s="1">
        <v>30</v>
      </c>
      <c r="D610" s="1">
        <v>2.5000000000000001E-2</v>
      </c>
      <c r="E610" s="1">
        <v>0.06</v>
      </c>
      <c r="F610" s="1">
        <v>5</v>
      </c>
      <c r="G610" s="1">
        <v>0</v>
      </c>
      <c r="H610" s="1">
        <v>1.31567672587</v>
      </c>
      <c r="I610" s="1">
        <v>2.1419609767300001</v>
      </c>
      <c r="J610" s="1">
        <v>0.91778282469600003</v>
      </c>
      <c r="K610" s="1">
        <v>2859.0341753399998</v>
      </c>
      <c r="L610" s="1">
        <v>758.89167317099998</v>
      </c>
      <c r="M610" s="1" t="s">
        <v>198</v>
      </c>
      <c r="N610" s="1" t="b">
        <v>1</v>
      </c>
    </row>
    <row r="611" spans="1:14" ht="19" customHeight="1" x14ac:dyDescent="0.3">
      <c r="A611">
        <v>606</v>
      </c>
      <c r="B611" s="1">
        <v>3</v>
      </c>
      <c r="C611" s="1">
        <v>30</v>
      </c>
      <c r="D611" s="1">
        <v>2.5000000000000001E-2</v>
      </c>
      <c r="E611" s="1">
        <v>0.06</v>
      </c>
      <c r="F611" s="1">
        <v>5</v>
      </c>
      <c r="G611" s="1">
        <v>1</v>
      </c>
      <c r="H611" s="1">
        <v>1.31567672587</v>
      </c>
      <c r="I611" s="1">
        <v>1.6064707325500001</v>
      </c>
      <c r="J611" s="1">
        <v>0.75258191625100002</v>
      </c>
      <c r="K611" s="1">
        <v>2416.2506796799998</v>
      </c>
      <c r="L611" s="1">
        <v>622.29117199999996</v>
      </c>
      <c r="M611" s="1" t="s">
        <v>198</v>
      </c>
      <c r="N611" s="1" t="b">
        <v>1</v>
      </c>
    </row>
    <row r="612" spans="1:14" ht="19" customHeight="1" x14ac:dyDescent="0.3">
      <c r="A612">
        <v>607</v>
      </c>
      <c r="B612" s="1">
        <v>3</v>
      </c>
      <c r="C612" s="1">
        <v>30</v>
      </c>
      <c r="D612" s="1">
        <v>2.5000000000000001E-2</v>
      </c>
      <c r="E612" s="1">
        <v>8.5000000000000006E-2</v>
      </c>
      <c r="F612" s="1">
        <v>-5</v>
      </c>
      <c r="G612" s="1">
        <v>0</v>
      </c>
      <c r="H612" s="1">
        <v>1.21184521693</v>
      </c>
      <c r="I612" s="1">
        <v>1.98621371332</v>
      </c>
      <c r="J612" s="1">
        <v>0.90849083233000005</v>
      </c>
      <c r="K612" s="1">
        <v>2644.3949779499999</v>
      </c>
      <c r="L612" s="1">
        <v>751.20835698200005</v>
      </c>
      <c r="M612" s="1" t="s">
        <v>198</v>
      </c>
      <c r="N612" s="1" t="b">
        <v>1</v>
      </c>
    </row>
    <row r="613" spans="1:14" ht="19" customHeight="1" x14ac:dyDescent="0.3">
      <c r="A613">
        <v>608</v>
      </c>
      <c r="B613" s="1">
        <v>3</v>
      </c>
      <c r="C613" s="1">
        <v>30</v>
      </c>
      <c r="D613" s="1">
        <v>2.5000000000000001E-2</v>
      </c>
      <c r="E613" s="1">
        <v>8.5000000000000006E-2</v>
      </c>
      <c r="F613" s="1">
        <v>-5</v>
      </c>
      <c r="G613" s="1">
        <v>1</v>
      </c>
      <c r="H613" s="1">
        <v>1.21184521693</v>
      </c>
      <c r="I613" s="1">
        <v>1.48966028499</v>
      </c>
      <c r="J613" s="1">
        <v>0.74496248250999997</v>
      </c>
      <c r="K613" s="1">
        <v>2233.8073619000002</v>
      </c>
      <c r="L613" s="1">
        <v>615.99085272599996</v>
      </c>
      <c r="M613" s="1" t="s">
        <v>198</v>
      </c>
      <c r="N613" s="1" t="b">
        <v>1</v>
      </c>
    </row>
    <row r="614" spans="1:14" ht="19" customHeight="1" x14ac:dyDescent="0.3">
      <c r="A614">
        <v>609</v>
      </c>
      <c r="B614" s="1">
        <v>3</v>
      </c>
      <c r="C614" s="1">
        <v>30</v>
      </c>
      <c r="D614" s="1">
        <v>2.5000000000000001E-2</v>
      </c>
      <c r="E614" s="1">
        <v>8.5000000000000006E-2</v>
      </c>
      <c r="F614" s="1">
        <v>0</v>
      </c>
      <c r="G614" s="1">
        <v>0</v>
      </c>
      <c r="H614" s="1">
        <v>1.2394207962399999</v>
      </c>
      <c r="I614" s="1">
        <v>2.0314100742200001</v>
      </c>
      <c r="J614" s="1">
        <v>0.90099083232999999</v>
      </c>
      <c r="K614" s="1">
        <v>2704.5682760099999</v>
      </c>
      <c r="L614" s="1">
        <v>745.00679448200003</v>
      </c>
      <c r="M614" s="1" t="s">
        <v>198</v>
      </c>
      <c r="N614" s="1" t="b">
        <v>1</v>
      </c>
    </row>
    <row r="615" spans="1:14" ht="19" customHeight="1" x14ac:dyDescent="0.3">
      <c r="A615">
        <v>610</v>
      </c>
      <c r="B615" s="1">
        <v>3</v>
      </c>
      <c r="C615" s="1">
        <v>30</v>
      </c>
      <c r="D615" s="1">
        <v>2.5000000000000001E-2</v>
      </c>
      <c r="E615" s="1">
        <v>8.5000000000000006E-2</v>
      </c>
      <c r="F615" s="1">
        <v>0</v>
      </c>
      <c r="G615" s="1">
        <v>1</v>
      </c>
      <c r="H615" s="1">
        <v>1.2394207962399999</v>
      </c>
      <c r="I615" s="1">
        <v>1.5235575556700001</v>
      </c>
      <c r="J615" s="1">
        <v>0.73881248250999998</v>
      </c>
      <c r="K615" s="1">
        <v>2284.6377247300002</v>
      </c>
      <c r="L615" s="1">
        <v>610.90557147599998</v>
      </c>
      <c r="M615" s="1" t="s">
        <v>198</v>
      </c>
      <c r="N615" s="1" t="b">
        <v>1</v>
      </c>
    </row>
    <row r="616" spans="1:14" ht="19" customHeight="1" x14ac:dyDescent="0.3">
      <c r="A616">
        <v>611</v>
      </c>
      <c r="B616" s="1">
        <v>3</v>
      </c>
      <c r="C616" s="1">
        <v>30</v>
      </c>
      <c r="D616" s="1">
        <v>2.5000000000000001E-2</v>
      </c>
      <c r="E616" s="1">
        <v>8.5000000000000006E-2</v>
      </c>
      <c r="F616" s="1">
        <v>5</v>
      </c>
      <c r="G616" s="1">
        <v>0</v>
      </c>
      <c r="H616" s="1">
        <v>1.21184521693</v>
      </c>
      <c r="I616" s="1">
        <v>1.98621371332</v>
      </c>
      <c r="J616" s="1">
        <v>0.90849083233000005</v>
      </c>
      <c r="K616" s="1">
        <v>2644.3949779499999</v>
      </c>
      <c r="L616" s="1">
        <v>751.20835698200005</v>
      </c>
      <c r="M616" s="1" t="s">
        <v>198</v>
      </c>
      <c r="N616" s="1" t="b">
        <v>1</v>
      </c>
    </row>
    <row r="617" spans="1:14" ht="19" customHeight="1" x14ac:dyDescent="0.3">
      <c r="A617">
        <v>612</v>
      </c>
      <c r="B617" s="1">
        <v>3</v>
      </c>
      <c r="C617" s="1">
        <v>30</v>
      </c>
      <c r="D617" s="1">
        <v>2.5000000000000001E-2</v>
      </c>
      <c r="E617" s="1">
        <v>8.5000000000000006E-2</v>
      </c>
      <c r="F617" s="1">
        <v>5</v>
      </c>
      <c r="G617" s="1">
        <v>1</v>
      </c>
      <c r="H617" s="1">
        <v>1.21184521693</v>
      </c>
      <c r="I617" s="1">
        <v>1.48966028499</v>
      </c>
      <c r="J617" s="1">
        <v>0.74496248250999997</v>
      </c>
      <c r="K617" s="1">
        <v>2233.8073619000002</v>
      </c>
      <c r="L617" s="1">
        <v>615.99085272599996</v>
      </c>
      <c r="M617" s="1" t="s">
        <v>198</v>
      </c>
      <c r="N617" s="1" t="b">
        <v>1</v>
      </c>
    </row>
    <row r="618" spans="1:14" ht="19" customHeight="1" x14ac:dyDescent="0.3">
      <c r="A618">
        <v>613</v>
      </c>
      <c r="B618" s="1">
        <v>3</v>
      </c>
      <c r="C618" s="1">
        <v>30</v>
      </c>
      <c r="D618" s="1">
        <v>0.04</v>
      </c>
      <c r="E618" s="1">
        <v>0.04</v>
      </c>
      <c r="F618" s="1">
        <v>-5</v>
      </c>
      <c r="G618" s="1">
        <v>0</v>
      </c>
      <c r="H618" s="1">
        <v>1.28105052569</v>
      </c>
      <c r="I618" s="1">
        <v>2.0900216764600001</v>
      </c>
      <c r="J618" s="1">
        <v>0.91468408914800003</v>
      </c>
      <c r="K618" s="1">
        <v>2787.4553271499999</v>
      </c>
      <c r="L618" s="1">
        <v>756.32940621399996</v>
      </c>
      <c r="M618" s="1" t="s">
        <v>198</v>
      </c>
      <c r="N618" s="1" t="b">
        <v>1</v>
      </c>
    </row>
    <row r="619" spans="1:14" ht="19" customHeight="1" x14ac:dyDescent="0.3">
      <c r="A619">
        <v>614</v>
      </c>
      <c r="B619" s="1">
        <v>3</v>
      </c>
      <c r="C619" s="1">
        <v>30</v>
      </c>
      <c r="D619" s="1">
        <v>0.04</v>
      </c>
      <c r="E619" s="1">
        <v>0.04</v>
      </c>
      <c r="F619" s="1">
        <v>-5</v>
      </c>
      <c r="G619" s="1">
        <v>1</v>
      </c>
      <c r="H619" s="1">
        <v>1.28105052569</v>
      </c>
      <c r="I619" s="1">
        <v>1.5675162573400001</v>
      </c>
      <c r="J619" s="1">
        <v>0.75004095310100005</v>
      </c>
      <c r="K619" s="1">
        <v>2355.4086587199999</v>
      </c>
      <c r="L619" s="1">
        <v>620.190113096</v>
      </c>
      <c r="M619" s="1" t="s">
        <v>198</v>
      </c>
      <c r="N619" s="1" t="b">
        <v>1</v>
      </c>
    </row>
    <row r="620" spans="1:14" ht="19" customHeight="1" x14ac:dyDescent="0.3">
      <c r="A620">
        <v>615</v>
      </c>
      <c r="B620" s="1">
        <v>3</v>
      </c>
      <c r="C620" s="1">
        <v>30</v>
      </c>
      <c r="D620" s="1">
        <v>0.04</v>
      </c>
      <c r="E620" s="1">
        <v>0.04</v>
      </c>
      <c r="F620" s="1">
        <v>0</v>
      </c>
      <c r="G620" s="1">
        <v>0</v>
      </c>
      <c r="H620" s="1">
        <v>1.31020087417</v>
      </c>
      <c r="I620" s="1">
        <v>2.1375801911100001</v>
      </c>
      <c r="J620" s="1">
        <v>0.90718408914799997</v>
      </c>
      <c r="K620" s="1">
        <v>2850.88396835</v>
      </c>
      <c r="L620" s="1">
        <v>750.12784371400005</v>
      </c>
      <c r="M620" s="1" t="s">
        <v>198</v>
      </c>
      <c r="N620" s="1" t="b">
        <v>1</v>
      </c>
    </row>
    <row r="621" spans="1:14" ht="19" customHeight="1" x14ac:dyDescent="0.3">
      <c r="A621">
        <v>616</v>
      </c>
      <c r="B621" s="1">
        <v>3</v>
      </c>
      <c r="C621" s="1">
        <v>30</v>
      </c>
      <c r="D621" s="1">
        <v>0.04</v>
      </c>
      <c r="E621" s="1">
        <v>0.04</v>
      </c>
      <c r="F621" s="1">
        <v>0</v>
      </c>
      <c r="G621" s="1">
        <v>1</v>
      </c>
      <c r="H621" s="1">
        <v>1.31020087417</v>
      </c>
      <c r="I621" s="1">
        <v>1.60318514333</v>
      </c>
      <c r="J621" s="1">
        <v>0.74389095310099995</v>
      </c>
      <c r="K621" s="1">
        <v>2409.0060632200002</v>
      </c>
      <c r="L621" s="1">
        <v>615.10483184600002</v>
      </c>
      <c r="M621" s="1" t="s">
        <v>198</v>
      </c>
      <c r="N621" s="1" t="b">
        <v>1</v>
      </c>
    </row>
    <row r="622" spans="1:14" ht="19" customHeight="1" x14ac:dyDescent="0.3">
      <c r="A622">
        <v>617</v>
      </c>
      <c r="B622" s="1">
        <v>3</v>
      </c>
      <c r="C622" s="1">
        <v>30</v>
      </c>
      <c r="D622" s="1">
        <v>0.04</v>
      </c>
      <c r="E622" s="1">
        <v>0.04</v>
      </c>
      <c r="F622" s="1">
        <v>5</v>
      </c>
      <c r="G622" s="1">
        <v>0</v>
      </c>
      <c r="H622" s="1">
        <v>1.28105052569</v>
      </c>
      <c r="I622" s="1">
        <v>2.0900216764600001</v>
      </c>
      <c r="J622" s="1">
        <v>0.91468408914800003</v>
      </c>
      <c r="K622" s="1">
        <v>2787.4553271499999</v>
      </c>
      <c r="L622" s="1">
        <v>756.32940621399996</v>
      </c>
      <c r="M622" s="1" t="s">
        <v>198</v>
      </c>
      <c r="N622" s="1" t="b">
        <v>1</v>
      </c>
    </row>
    <row r="623" spans="1:14" ht="19" customHeight="1" x14ac:dyDescent="0.3">
      <c r="A623">
        <v>618</v>
      </c>
      <c r="B623" s="1">
        <v>3</v>
      </c>
      <c r="C623" s="1">
        <v>30</v>
      </c>
      <c r="D623" s="1">
        <v>0.04</v>
      </c>
      <c r="E623" s="1">
        <v>0.04</v>
      </c>
      <c r="F623" s="1">
        <v>5</v>
      </c>
      <c r="G623" s="1">
        <v>1</v>
      </c>
      <c r="H623" s="1">
        <v>1.28105052569</v>
      </c>
      <c r="I623" s="1">
        <v>1.5675162573400001</v>
      </c>
      <c r="J623" s="1">
        <v>0.75004095310100005</v>
      </c>
      <c r="K623" s="1">
        <v>2355.4086587199999</v>
      </c>
      <c r="L623" s="1">
        <v>620.190113096</v>
      </c>
      <c r="M623" s="1" t="s">
        <v>198</v>
      </c>
      <c r="N623" s="1" t="b">
        <v>1</v>
      </c>
    </row>
    <row r="624" spans="1:14" ht="19" customHeight="1" x14ac:dyDescent="0.3">
      <c r="A624">
        <v>619</v>
      </c>
      <c r="B624" s="1">
        <v>3</v>
      </c>
      <c r="C624" s="1">
        <v>30</v>
      </c>
      <c r="D624" s="1">
        <v>0.04</v>
      </c>
      <c r="E624" s="1">
        <v>0.06</v>
      </c>
      <c r="F624" s="1">
        <v>-5</v>
      </c>
      <c r="G624" s="1">
        <v>0</v>
      </c>
      <c r="H624" s="1">
        <v>1.3222463412400001</v>
      </c>
      <c r="I624" s="1">
        <v>2.1518153997899998</v>
      </c>
      <c r="J624" s="1">
        <v>0.91837074657600004</v>
      </c>
      <c r="K624" s="1">
        <v>2872.6148021200001</v>
      </c>
      <c r="L624" s="1">
        <v>759.37781107499995</v>
      </c>
      <c r="M624" s="1" t="s">
        <v>198</v>
      </c>
      <c r="N624" s="1" t="b">
        <v>1</v>
      </c>
    </row>
    <row r="625" spans="1:14" ht="19" customHeight="1" x14ac:dyDescent="0.3">
      <c r="A625">
        <v>620</v>
      </c>
      <c r="B625" s="1">
        <v>3</v>
      </c>
      <c r="C625" s="1">
        <v>30</v>
      </c>
      <c r="D625" s="1">
        <v>0.04</v>
      </c>
      <c r="E625" s="1">
        <v>0.06</v>
      </c>
      <c r="F625" s="1">
        <v>-5</v>
      </c>
      <c r="G625" s="1">
        <v>1</v>
      </c>
      <c r="H625" s="1">
        <v>1.3222463412400001</v>
      </c>
      <c r="I625" s="1">
        <v>1.61386154985</v>
      </c>
      <c r="J625" s="1">
        <v>0.75306401219200003</v>
      </c>
      <c r="K625" s="1">
        <v>2427.7942124400001</v>
      </c>
      <c r="L625" s="1">
        <v>622.68980508100003</v>
      </c>
      <c r="M625" s="1" t="s">
        <v>198</v>
      </c>
      <c r="N625" s="1" t="b">
        <v>1</v>
      </c>
    </row>
    <row r="626" spans="1:14" ht="19" customHeight="1" x14ac:dyDescent="0.3">
      <c r="A626">
        <v>621</v>
      </c>
      <c r="B626" s="1">
        <v>3</v>
      </c>
      <c r="C626" s="1">
        <v>30</v>
      </c>
      <c r="D626" s="1">
        <v>0.04</v>
      </c>
      <c r="E626" s="1">
        <v>0.06</v>
      </c>
      <c r="F626" s="1">
        <v>0</v>
      </c>
      <c r="G626" s="1">
        <v>0</v>
      </c>
      <c r="H626" s="1">
        <v>1.3523341019099999</v>
      </c>
      <c r="I626" s="1">
        <v>2.20078003273</v>
      </c>
      <c r="J626" s="1">
        <v>0.91087074657599998</v>
      </c>
      <c r="K626" s="1">
        <v>2937.9812500799999</v>
      </c>
      <c r="L626" s="1">
        <v>753.17624857500005</v>
      </c>
      <c r="M626" s="1" t="s">
        <v>198</v>
      </c>
      <c r="N626" s="1" t="b">
        <v>1</v>
      </c>
    </row>
    <row r="627" spans="1:14" ht="19" customHeight="1" x14ac:dyDescent="0.3">
      <c r="A627">
        <v>622</v>
      </c>
      <c r="B627" s="1">
        <v>3</v>
      </c>
      <c r="C627" s="1">
        <v>30</v>
      </c>
      <c r="D627" s="1">
        <v>0.04</v>
      </c>
      <c r="E627" s="1">
        <v>0.06</v>
      </c>
      <c r="F627" s="1">
        <v>0</v>
      </c>
      <c r="G627" s="1">
        <v>1</v>
      </c>
      <c r="H627" s="1">
        <v>1.3523341019099999</v>
      </c>
      <c r="I627" s="1">
        <v>1.65058502455</v>
      </c>
      <c r="J627" s="1">
        <v>0.74691401219200004</v>
      </c>
      <c r="K627" s="1">
        <v>2483.0387526899999</v>
      </c>
      <c r="L627" s="1">
        <v>617.60452383100005</v>
      </c>
      <c r="M627" s="1" t="s">
        <v>198</v>
      </c>
      <c r="N627" s="1" t="b">
        <v>1</v>
      </c>
    </row>
    <row r="628" spans="1:14" ht="19" customHeight="1" x14ac:dyDescent="0.3">
      <c r="A628">
        <v>623</v>
      </c>
      <c r="B628" s="1">
        <v>3</v>
      </c>
      <c r="C628" s="1">
        <v>30</v>
      </c>
      <c r="D628" s="1">
        <v>0.04</v>
      </c>
      <c r="E628" s="1">
        <v>0.06</v>
      </c>
      <c r="F628" s="1">
        <v>5</v>
      </c>
      <c r="G628" s="1">
        <v>0</v>
      </c>
      <c r="H628" s="1">
        <v>1.3222463412400001</v>
      </c>
      <c r="I628" s="1">
        <v>2.1518153997899998</v>
      </c>
      <c r="J628" s="1">
        <v>0.91837074657600004</v>
      </c>
      <c r="K628" s="1">
        <v>2872.6148021200001</v>
      </c>
      <c r="L628" s="1">
        <v>759.37781107499995</v>
      </c>
      <c r="M628" s="1" t="s">
        <v>198</v>
      </c>
      <c r="N628" s="1" t="b">
        <v>1</v>
      </c>
    </row>
    <row r="629" spans="1:14" ht="19" customHeight="1" x14ac:dyDescent="0.3">
      <c r="A629">
        <v>624</v>
      </c>
      <c r="B629" s="1">
        <v>3</v>
      </c>
      <c r="C629" s="1">
        <v>30</v>
      </c>
      <c r="D629" s="1">
        <v>0.04</v>
      </c>
      <c r="E629" s="1">
        <v>0.06</v>
      </c>
      <c r="F629" s="1">
        <v>5</v>
      </c>
      <c r="G629" s="1">
        <v>1</v>
      </c>
      <c r="H629" s="1">
        <v>1.3222463412400001</v>
      </c>
      <c r="I629" s="1">
        <v>1.61386154985</v>
      </c>
      <c r="J629" s="1">
        <v>0.75306401219200003</v>
      </c>
      <c r="K629" s="1">
        <v>2427.7942124400001</v>
      </c>
      <c r="L629" s="1">
        <v>622.68980508100003</v>
      </c>
      <c r="M629" s="1" t="s">
        <v>198</v>
      </c>
      <c r="N629" s="1" t="b">
        <v>1</v>
      </c>
    </row>
    <row r="630" spans="1:14" ht="19" customHeight="1" x14ac:dyDescent="0.3">
      <c r="A630">
        <v>625</v>
      </c>
      <c r="B630" s="1">
        <v>3</v>
      </c>
      <c r="C630" s="1">
        <v>30</v>
      </c>
      <c r="D630" s="1">
        <v>0.04</v>
      </c>
      <c r="E630" s="1">
        <v>8.5000000000000006E-2</v>
      </c>
      <c r="F630" s="1">
        <v>-5</v>
      </c>
      <c r="G630" s="1">
        <v>0</v>
      </c>
      <c r="H630" s="1">
        <v>1.21693002325</v>
      </c>
      <c r="I630" s="1">
        <v>1.9938409228</v>
      </c>
      <c r="J630" s="1">
        <v>0.90894587706499996</v>
      </c>
      <c r="K630" s="1">
        <v>2654.9062260199998</v>
      </c>
      <c r="L630" s="1">
        <v>751.58462209799995</v>
      </c>
      <c r="M630" s="1" t="s">
        <v>198</v>
      </c>
      <c r="N630" s="1" t="b">
        <v>1</v>
      </c>
    </row>
    <row r="631" spans="1:14" ht="19" customHeight="1" x14ac:dyDescent="0.3">
      <c r="A631">
        <v>626</v>
      </c>
      <c r="B631" s="1">
        <v>3</v>
      </c>
      <c r="C631" s="1">
        <v>30</v>
      </c>
      <c r="D631" s="1">
        <v>0.04</v>
      </c>
      <c r="E631" s="1">
        <v>8.5000000000000006E-2</v>
      </c>
      <c r="F631" s="1">
        <v>-5</v>
      </c>
      <c r="G631" s="1">
        <v>1</v>
      </c>
      <c r="H631" s="1">
        <v>1.21693002325</v>
      </c>
      <c r="I631" s="1">
        <v>1.4953806920999999</v>
      </c>
      <c r="J631" s="1">
        <v>0.74533561919299995</v>
      </c>
      <c r="K631" s="1">
        <v>2242.7419227599999</v>
      </c>
      <c r="L631" s="1">
        <v>616.29939012099999</v>
      </c>
      <c r="M631" s="1" t="s">
        <v>198</v>
      </c>
      <c r="N631" s="1" t="b">
        <v>1</v>
      </c>
    </row>
    <row r="632" spans="1:14" ht="19" customHeight="1" x14ac:dyDescent="0.3">
      <c r="A632">
        <v>627</v>
      </c>
      <c r="B632" s="1">
        <v>3</v>
      </c>
      <c r="C632" s="1">
        <v>30</v>
      </c>
      <c r="D632" s="1">
        <v>0.04</v>
      </c>
      <c r="E632" s="1">
        <v>8.5000000000000006E-2</v>
      </c>
      <c r="F632" s="1">
        <v>0</v>
      </c>
      <c r="G632" s="1">
        <v>0</v>
      </c>
      <c r="H632" s="1">
        <v>1.2446213075000001</v>
      </c>
      <c r="I632" s="1">
        <v>2.0392108411200001</v>
      </c>
      <c r="J632" s="1">
        <v>0.90144587706500001</v>
      </c>
      <c r="K632" s="1">
        <v>2715.31870789</v>
      </c>
      <c r="L632" s="1">
        <v>745.38305959800005</v>
      </c>
      <c r="M632" s="1" t="s">
        <v>198</v>
      </c>
      <c r="N632" s="1" t="b">
        <v>1</v>
      </c>
    </row>
    <row r="633" spans="1:14" ht="19" customHeight="1" x14ac:dyDescent="0.3">
      <c r="A633">
        <v>628</v>
      </c>
      <c r="B633" s="1">
        <v>3</v>
      </c>
      <c r="C633" s="1">
        <v>30</v>
      </c>
      <c r="D633" s="1">
        <v>0.04</v>
      </c>
      <c r="E633" s="1">
        <v>8.5000000000000006E-2</v>
      </c>
      <c r="F633" s="1">
        <v>0</v>
      </c>
      <c r="G633" s="1">
        <v>1</v>
      </c>
      <c r="H633" s="1">
        <v>1.2446213075000001</v>
      </c>
      <c r="I633" s="1">
        <v>1.52940813084</v>
      </c>
      <c r="J633" s="1">
        <v>0.73918561919299997</v>
      </c>
      <c r="K633" s="1">
        <v>2293.7755918299999</v>
      </c>
      <c r="L633" s="1">
        <v>611.21410887100001</v>
      </c>
      <c r="M633" s="1" t="s">
        <v>198</v>
      </c>
      <c r="N633" s="1" t="b">
        <v>1</v>
      </c>
    </row>
    <row r="634" spans="1:14" ht="19" customHeight="1" x14ac:dyDescent="0.3">
      <c r="A634">
        <v>629</v>
      </c>
      <c r="B634" s="1">
        <v>3</v>
      </c>
      <c r="C634" s="1">
        <v>30</v>
      </c>
      <c r="D634" s="1">
        <v>0.04</v>
      </c>
      <c r="E634" s="1">
        <v>8.5000000000000006E-2</v>
      </c>
      <c r="F634" s="1">
        <v>5</v>
      </c>
      <c r="G634" s="1">
        <v>0</v>
      </c>
      <c r="H634" s="1">
        <v>1.21693002325</v>
      </c>
      <c r="I634" s="1">
        <v>1.9938409228</v>
      </c>
      <c r="J634" s="1">
        <v>0.90894587706499996</v>
      </c>
      <c r="K634" s="1">
        <v>2654.9062260199998</v>
      </c>
      <c r="L634" s="1">
        <v>751.58462209799995</v>
      </c>
      <c r="M634" s="1" t="s">
        <v>198</v>
      </c>
      <c r="N634" s="1" t="b">
        <v>1</v>
      </c>
    </row>
    <row r="635" spans="1:14" ht="19" customHeight="1" x14ac:dyDescent="0.3">
      <c r="A635">
        <v>630</v>
      </c>
      <c r="B635" s="1">
        <v>3</v>
      </c>
      <c r="C635" s="1">
        <v>30</v>
      </c>
      <c r="D635" s="1">
        <v>0.04</v>
      </c>
      <c r="E635" s="1">
        <v>8.5000000000000006E-2</v>
      </c>
      <c r="F635" s="1">
        <v>5</v>
      </c>
      <c r="G635" s="1">
        <v>1</v>
      </c>
      <c r="H635" s="1">
        <v>1.21693002325</v>
      </c>
      <c r="I635" s="1">
        <v>1.4953806920999999</v>
      </c>
      <c r="J635" s="1">
        <v>0.74533561919299995</v>
      </c>
      <c r="K635" s="1">
        <v>2242.7419227599999</v>
      </c>
      <c r="L635" s="1">
        <v>616.29939012099999</v>
      </c>
      <c r="M635" s="1" t="s">
        <v>198</v>
      </c>
      <c r="N635" s="1" t="b">
        <v>1</v>
      </c>
    </row>
    <row r="636" spans="1:14" ht="19" customHeight="1" x14ac:dyDescent="0.3">
      <c r="A636">
        <v>631</v>
      </c>
      <c r="B636" s="1">
        <v>3</v>
      </c>
      <c r="C636" s="1">
        <v>30</v>
      </c>
      <c r="D636" s="1">
        <v>5.5E-2</v>
      </c>
      <c r="E636" s="1">
        <v>0.04</v>
      </c>
      <c r="F636" s="1">
        <v>-5</v>
      </c>
      <c r="G636" s="1">
        <v>0</v>
      </c>
      <c r="H636" s="1">
        <v>1.14116542362</v>
      </c>
      <c r="I636" s="1">
        <v>1.8801940233600001</v>
      </c>
      <c r="J636" s="1">
        <v>0.90216562231800002</v>
      </c>
      <c r="K636" s="1">
        <v>2498.2865927299999</v>
      </c>
      <c r="L636" s="1">
        <v>745.97819895400005</v>
      </c>
      <c r="M636" s="1" t="s">
        <v>198</v>
      </c>
      <c r="N636" s="1" t="b">
        <v>1</v>
      </c>
    </row>
    <row r="637" spans="1:14" ht="19" customHeight="1" x14ac:dyDescent="0.3">
      <c r="A637">
        <v>632</v>
      </c>
      <c r="B637" s="1">
        <v>3</v>
      </c>
      <c r="C637" s="1">
        <v>30</v>
      </c>
      <c r="D637" s="1">
        <v>5.5E-2</v>
      </c>
      <c r="E637" s="1">
        <v>0.04</v>
      </c>
      <c r="F637" s="1">
        <v>-5</v>
      </c>
      <c r="G637" s="1">
        <v>1</v>
      </c>
      <c r="H637" s="1">
        <v>1.14116542362</v>
      </c>
      <c r="I637" s="1">
        <v>1.4101455175199999</v>
      </c>
      <c r="J637" s="1">
        <v>0.73977581030100004</v>
      </c>
      <c r="K637" s="1">
        <v>2109.61523446</v>
      </c>
      <c r="L637" s="1">
        <v>611.70212314299999</v>
      </c>
      <c r="M637" s="1" t="s">
        <v>198</v>
      </c>
      <c r="N637" s="1" t="b">
        <v>1</v>
      </c>
    </row>
    <row r="638" spans="1:14" ht="19" customHeight="1" x14ac:dyDescent="0.3">
      <c r="A638">
        <v>633</v>
      </c>
      <c r="B638" s="1">
        <v>3</v>
      </c>
      <c r="C638" s="1">
        <v>30</v>
      </c>
      <c r="D638" s="1">
        <v>5.5E-2</v>
      </c>
      <c r="E638" s="1">
        <v>0.04</v>
      </c>
      <c r="F638" s="1">
        <v>0</v>
      </c>
      <c r="G638" s="1">
        <v>0</v>
      </c>
      <c r="H638" s="1">
        <v>1.1671326818300001</v>
      </c>
      <c r="I638" s="1">
        <v>1.9229779026</v>
      </c>
      <c r="J638" s="1">
        <v>0.89466562231799995</v>
      </c>
      <c r="K638" s="1">
        <v>2555.1351894999998</v>
      </c>
      <c r="L638" s="1">
        <v>739.77663645400003</v>
      </c>
      <c r="M638" s="1" t="s">
        <v>198</v>
      </c>
      <c r="N638" s="1" t="b">
        <v>1</v>
      </c>
    </row>
    <row r="639" spans="1:14" ht="19" customHeight="1" x14ac:dyDescent="0.3">
      <c r="A639">
        <v>634</v>
      </c>
      <c r="B639" s="1">
        <v>3</v>
      </c>
      <c r="C639" s="1">
        <v>30</v>
      </c>
      <c r="D639" s="1">
        <v>5.5E-2</v>
      </c>
      <c r="E639" s="1">
        <v>0.04</v>
      </c>
      <c r="F639" s="1">
        <v>0</v>
      </c>
      <c r="G639" s="1">
        <v>1</v>
      </c>
      <c r="H639" s="1">
        <v>1.1671326818300001</v>
      </c>
      <c r="I639" s="1">
        <v>1.4422334269499999</v>
      </c>
      <c r="J639" s="1">
        <v>0.73362581030100005</v>
      </c>
      <c r="K639" s="1">
        <v>2157.6196012</v>
      </c>
      <c r="L639" s="1">
        <v>606.61684189300001</v>
      </c>
      <c r="M639" s="1" t="s">
        <v>198</v>
      </c>
      <c r="N639" s="1" t="b">
        <v>1</v>
      </c>
    </row>
    <row r="640" spans="1:14" ht="19" customHeight="1" x14ac:dyDescent="0.3">
      <c r="A640">
        <v>635</v>
      </c>
      <c r="B640" s="1">
        <v>3</v>
      </c>
      <c r="C640" s="1">
        <v>30</v>
      </c>
      <c r="D640" s="1">
        <v>5.5E-2</v>
      </c>
      <c r="E640" s="1">
        <v>0.04</v>
      </c>
      <c r="F640" s="1">
        <v>5</v>
      </c>
      <c r="G640" s="1">
        <v>0</v>
      </c>
      <c r="H640" s="1">
        <v>1.14116542362</v>
      </c>
      <c r="I640" s="1">
        <v>1.8801940233600001</v>
      </c>
      <c r="J640" s="1">
        <v>0.90216562231800002</v>
      </c>
      <c r="K640" s="1">
        <v>2498.2865927299999</v>
      </c>
      <c r="L640" s="1">
        <v>745.97819895400005</v>
      </c>
      <c r="M640" s="1" t="s">
        <v>198</v>
      </c>
      <c r="N640" s="1" t="b">
        <v>1</v>
      </c>
    </row>
    <row r="641" spans="1:14" ht="19" customHeight="1" x14ac:dyDescent="0.3">
      <c r="A641">
        <v>636</v>
      </c>
      <c r="B641" s="1">
        <v>3</v>
      </c>
      <c r="C641" s="1">
        <v>30</v>
      </c>
      <c r="D641" s="1">
        <v>5.5E-2</v>
      </c>
      <c r="E641" s="1">
        <v>0.04</v>
      </c>
      <c r="F641" s="1">
        <v>5</v>
      </c>
      <c r="G641" s="1">
        <v>1</v>
      </c>
      <c r="H641" s="1">
        <v>1.14116542362</v>
      </c>
      <c r="I641" s="1">
        <v>1.4101455175199999</v>
      </c>
      <c r="J641" s="1">
        <v>0.73977581030100004</v>
      </c>
      <c r="K641" s="1">
        <v>2109.61523446</v>
      </c>
      <c r="L641" s="1">
        <v>611.70212314299999</v>
      </c>
      <c r="M641" s="1" t="s">
        <v>198</v>
      </c>
      <c r="N641" s="1" t="b">
        <v>1</v>
      </c>
    </row>
    <row r="642" spans="1:14" ht="19" customHeight="1" x14ac:dyDescent="0.3">
      <c r="A642">
        <v>637</v>
      </c>
      <c r="B642" s="1">
        <v>3</v>
      </c>
      <c r="C642" s="1">
        <v>30</v>
      </c>
      <c r="D642" s="1">
        <v>5.5E-2</v>
      </c>
      <c r="E642" s="1">
        <v>0.06</v>
      </c>
      <c r="F642" s="1">
        <v>-5</v>
      </c>
      <c r="G642" s="1">
        <v>0</v>
      </c>
      <c r="H642" s="1">
        <v>1.16879502333</v>
      </c>
      <c r="I642" s="1">
        <v>1.9216384229200001</v>
      </c>
      <c r="J642" s="1">
        <v>0.90463822463499999</v>
      </c>
      <c r="K642" s="1">
        <v>2555.4021558700001</v>
      </c>
      <c r="L642" s="1">
        <v>748.02273199499996</v>
      </c>
      <c r="M642" s="1" t="s">
        <v>198</v>
      </c>
      <c r="N642" s="1" t="b">
        <v>1</v>
      </c>
    </row>
    <row r="643" spans="1:14" ht="19" customHeight="1" x14ac:dyDescent="0.3">
      <c r="A643">
        <v>638</v>
      </c>
      <c r="B643" s="1">
        <v>3</v>
      </c>
      <c r="C643" s="1">
        <v>30</v>
      </c>
      <c r="D643" s="1">
        <v>5.5E-2</v>
      </c>
      <c r="E643" s="1">
        <v>0.06</v>
      </c>
      <c r="F643" s="1">
        <v>-5</v>
      </c>
      <c r="G643" s="1">
        <v>1</v>
      </c>
      <c r="H643" s="1">
        <v>1.16879502333</v>
      </c>
      <c r="I643" s="1">
        <v>1.4412288171900001</v>
      </c>
      <c r="J643" s="1">
        <v>0.74180334420100003</v>
      </c>
      <c r="K643" s="1">
        <v>2158.1634631299999</v>
      </c>
      <c r="L643" s="1">
        <v>613.37864023600002</v>
      </c>
      <c r="M643" s="1" t="s">
        <v>198</v>
      </c>
      <c r="N643" s="1" t="b">
        <v>1</v>
      </c>
    </row>
    <row r="644" spans="1:14" ht="19" customHeight="1" x14ac:dyDescent="0.3">
      <c r="A644">
        <v>639</v>
      </c>
      <c r="B644" s="1">
        <v>3</v>
      </c>
      <c r="C644" s="1">
        <v>30</v>
      </c>
      <c r="D644" s="1">
        <v>5.5E-2</v>
      </c>
      <c r="E644" s="1">
        <v>0.06</v>
      </c>
      <c r="F644" s="1">
        <v>0</v>
      </c>
      <c r="G644" s="1">
        <v>0</v>
      </c>
      <c r="H644" s="1">
        <v>1.19539099402</v>
      </c>
      <c r="I644" s="1">
        <v>1.9653653708900001</v>
      </c>
      <c r="J644" s="1">
        <v>0.89713822463500004</v>
      </c>
      <c r="K644" s="1">
        <v>2613.55041923</v>
      </c>
      <c r="L644" s="1">
        <v>741.82116949500005</v>
      </c>
      <c r="M644" s="1" t="s">
        <v>198</v>
      </c>
      <c r="N644" s="1" t="b">
        <v>1</v>
      </c>
    </row>
    <row r="645" spans="1:14" ht="19" customHeight="1" x14ac:dyDescent="0.3">
      <c r="A645">
        <v>640</v>
      </c>
      <c r="B645" s="1">
        <v>3</v>
      </c>
      <c r="C645" s="1">
        <v>30</v>
      </c>
      <c r="D645" s="1">
        <v>5.5E-2</v>
      </c>
      <c r="E645" s="1">
        <v>0.06</v>
      </c>
      <c r="F645" s="1">
        <v>0</v>
      </c>
      <c r="G645" s="1">
        <v>1</v>
      </c>
      <c r="H645" s="1">
        <v>1.19539099402</v>
      </c>
      <c r="I645" s="1">
        <v>1.4740240281699999</v>
      </c>
      <c r="J645" s="1">
        <v>0.73565334420100004</v>
      </c>
      <c r="K645" s="1">
        <v>2207.2725464700002</v>
      </c>
      <c r="L645" s="1">
        <v>608.29335898600004</v>
      </c>
      <c r="M645" s="1" t="s">
        <v>198</v>
      </c>
      <c r="N645" s="1" t="b">
        <v>1</v>
      </c>
    </row>
    <row r="646" spans="1:14" ht="19" customHeight="1" x14ac:dyDescent="0.3">
      <c r="A646">
        <v>641</v>
      </c>
      <c r="B646" s="1">
        <v>3</v>
      </c>
      <c r="C646" s="1">
        <v>30</v>
      </c>
      <c r="D646" s="1">
        <v>5.5E-2</v>
      </c>
      <c r="E646" s="1">
        <v>0.06</v>
      </c>
      <c r="F646" s="1">
        <v>5</v>
      </c>
      <c r="G646" s="1">
        <v>0</v>
      </c>
      <c r="H646" s="1">
        <v>1.16879502333</v>
      </c>
      <c r="I646" s="1">
        <v>1.9216384229200001</v>
      </c>
      <c r="J646" s="1">
        <v>0.90463822463499999</v>
      </c>
      <c r="K646" s="1">
        <v>2555.4021558700001</v>
      </c>
      <c r="L646" s="1">
        <v>748.02273199499996</v>
      </c>
      <c r="M646" s="1" t="s">
        <v>198</v>
      </c>
      <c r="N646" s="1" t="b">
        <v>1</v>
      </c>
    </row>
    <row r="647" spans="1:14" ht="19" customHeight="1" x14ac:dyDescent="0.3">
      <c r="A647">
        <v>642</v>
      </c>
      <c r="B647" s="1">
        <v>3</v>
      </c>
      <c r="C647" s="1">
        <v>30</v>
      </c>
      <c r="D647" s="1">
        <v>5.5E-2</v>
      </c>
      <c r="E647" s="1">
        <v>0.06</v>
      </c>
      <c r="F647" s="1">
        <v>5</v>
      </c>
      <c r="G647" s="1">
        <v>1</v>
      </c>
      <c r="H647" s="1">
        <v>1.16879502333</v>
      </c>
      <c r="I647" s="1">
        <v>1.4412288171900001</v>
      </c>
      <c r="J647" s="1">
        <v>0.74180334420100003</v>
      </c>
      <c r="K647" s="1">
        <v>2158.1634631299999</v>
      </c>
      <c r="L647" s="1">
        <v>613.37864023600002</v>
      </c>
      <c r="M647" s="1" t="s">
        <v>198</v>
      </c>
      <c r="N647" s="1" t="b">
        <v>1</v>
      </c>
    </row>
    <row r="648" spans="1:14" ht="19" customHeight="1" x14ac:dyDescent="0.3">
      <c r="A648">
        <v>643</v>
      </c>
      <c r="B648" s="1">
        <v>3</v>
      </c>
      <c r="C648" s="1">
        <v>30</v>
      </c>
      <c r="D648" s="1">
        <v>5.5E-2</v>
      </c>
      <c r="E648" s="1">
        <v>8.5000000000000006E-2</v>
      </c>
      <c r="F648" s="1">
        <v>-5</v>
      </c>
      <c r="G648" s="1">
        <v>0</v>
      </c>
      <c r="H648" s="1">
        <v>1.09816047782</v>
      </c>
      <c r="I648" s="1">
        <v>1.81568660466</v>
      </c>
      <c r="J648" s="1">
        <v>0.89831706389699995</v>
      </c>
      <c r="K648" s="1">
        <v>2409.3873063199999</v>
      </c>
      <c r="L648" s="1">
        <v>742.79592220999996</v>
      </c>
      <c r="M648" s="1" t="s">
        <v>198</v>
      </c>
      <c r="N648" s="1" t="b">
        <v>1</v>
      </c>
    </row>
    <row r="649" spans="1:14" ht="19" customHeight="1" x14ac:dyDescent="0.3">
      <c r="A649">
        <v>644</v>
      </c>
      <c r="B649" s="1">
        <v>3</v>
      </c>
      <c r="C649" s="1">
        <v>30</v>
      </c>
      <c r="D649" s="1">
        <v>5.5E-2</v>
      </c>
      <c r="E649" s="1">
        <v>8.5000000000000006E-2</v>
      </c>
      <c r="F649" s="1">
        <v>-5</v>
      </c>
      <c r="G649" s="1">
        <v>1</v>
      </c>
      <c r="H649" s="1">
        <v>1.09816047782</v>
      </c>
      <c r="I649" s="1">
        <v>1.36176495349</v>
      </c>
      <c r="J649" s="1">
        <v>0.73661999239499998</v>
      </c>
      <c r="K649" s="1">
        <v>2034.05084102</v>
      </c>
      <c r="L649" s="1">
        <v>609.09265621199995</v>
      </c>
      <c r="M649" s="1" t="s">
        <v>198</v>
      </c>
      <c r="N649" s="1" t="b">
        <v>1</v>
      </c>
    </row>
    <row r="650" spans="1:14" ht="19" customHeight="1" x14ac:dyDescent="0.3">
      <c r="A650">
        <v>645</v>
      </c>
      <c r="B650" s="1">
        <v>3</v>
      </c>
      <c r="C650" s="1">
        <v>30</v>
      </c>
      <c r="D650" s="1">
        <v>5.5E-2</v>
      </c>
      <c r="E650" s="1">
        <v>8.5000000000000006E-2</v>
      </c>
      <c r="F650" s="1">
        <v>0</v>
      </c>
      <c r="G650" s="1">
        <v>0</v>
      </c>
      <c r="H650" s="1">
        <v>1.1231491570100001</v>
      </c>
      <c r="I650" s="1">
        <v>1.8570026153800001</v>
      </c>
      <c r="J650" s="1">
        <v>0.89081706389699999</v>
      </c>
      <c r="K650" s="1">
        <v>2464.21299679</v>
      </c>
      <c r="L650" s="1">
        <v>736.59435971000005</v>
      </c>
      <c r="M650" s="1" t="s">
        <v>198</v>
      </c>
      <c r="N650" s="1" t="b">
        <v>1</v>
      </c>
    </row>
    <row r="651" spans="1:14" ht="19" customHeight="1" x14ac:dyDescent="0.3">
      <c r="A651">
        <v>646</v>
      </c>
      <c r="B651" s="1">
        <v>3</v>
      </c>
      <c r="C651" s="1">
        <v>30</v>
      </c>
      <c r="D651" s="1">
        <v>5.5E-2</v>
      </c>
      <c r="E651" s="1">
        <v>8.5000000000000006E-2</v>
      </c>
      <c r="F651" s="1">
        <v>0</v>
      </c>
      <c r="G651" s="1">
        <v>1</v>
      </c>
      <c r="H651" s="1">
        <v>1.1231491570100001</v>
      </c>
      <c r="I651" s="1">
        <v>1.3927519615299999</v>
      </c>
      <c r="J651" s="1">
        <v>0.73046999239499999</v>
      </c>
      <c r="K651" s="1">
        <v>2080.3357373899998</v>
      </c>
      <c r="L651" s="1">
        <v>604.00737496199997</v>
      </c>
      <c r="M651" s="1" t="s">
        <v>198</v>
      </c>
      <c r="N651" s="1" t="b">
        <v>1</v>
      </c>
    </row>
    <row r="652" spans="1:14" ht="19" customHeight="1" x14ac:dyDescent="0.3">
      <c r="A652">
        <v>647</v>
      </c>
      <c r="B652" s="1">
        <v>3</v>
      </c>
      <c r="C652" s="1">
        <v>30</v>
      </c>
      <c r="D652" s="1">
        <v>5.5E-2</v>
      </c>
      <c r="E652" s="1">
        <v>8.5000000000000006E-2</v>
      </c>
      <c r="F652" s="1">
        <v>5</v>
      </c>
      <c r="G652" s="1">
        <v>0</v>
      </c>
      <c r="H652" s="1">
        <v>1.09816047782</v>
      </c>
      <c r="I652" s="1">
        <v>1.81568660466</v>
      </c>
      <c r="J652" s="1">
        <v>0.89831706389699995</v>
      </c>
      <c r="K652" s="1">
        <v>2409.3873063199999</v>
      </c>
      <c r="L652" s="1">
        <v>742.79592220999996</v>
      </c>
      <c r="M652" s="1" t="s">
        <v>198</v>
      </c>
      <c r="N652" s="1" t="b">
        <v>1</v>
      </c>
    </row>
    <row r="653" spans="1:14" ht="19" customHeight="1" x14ac:dyDescent="0.3">
      <c r="A653">
        <v>648</v>
      </c>
      <c r="B653" s="1">
        <v>3</v>
      </c>
      <c r="C653" s="1">
        <v>30</v>
      </c>
      <c r="D653" s="1">
        <v>5.5E-2</v>
      </c>
      <c r="E653" s="1">
        <v>8.5000000000000006E-2</v>
      </c>
      <c r="F653" s="1">
        <v>5</v>
      </c>
      <c r="G653" s="1">
        <v>1</v>
      </c>
      <c r="H653" s="1">
        <v>1.09816047782</v>
      </c>
      <c r="I653" s="1">
        <v>1.36176495349</v>
      </c>
      <c r="J653" s="1">
        <v>0.73661999239499998</v>
      </c>
      <c r="K653" s="1">
        <v>2034.05084102</v>
      </c>
      <c r="L653" s="1">
        <v>609.09265621199995</v>
      </c>
      <c r="M653" s="1" t="s">
        <v>198</v>
      </c>
      <c r="N653" s="1" t="b">
        <v>1</v>
      </c>
    </row>
    <row r="654" spans="1:14" ht="19" customHeight="1" x14ac:dyDescent="0.3">
      <c r="A654">
        <v>649</v>
      </c>
      <c r="B654" s="1">
        <v>3</v>
      </c>
      <c r="C654" s="1">
        <v>50</v>
      </c>
      <c r="D654" s="1">
        <v>2.5000000000000001E-2</v>
      </c>
      <c r="E654" s="1">
        <v>0.04</v>
      </c>
      <c r="F654" s="1">
        <v>-5</v>
      </c>
      <c r="G654" s="1">
        <v>0</v>
      </c>
      <c r="H654" s="1">
        <v>1.2750617122300001</v>
      </c>
      <c r="I654" s="1">
        <v>2.0810384562799999</v>
      </c>
      <c r="J654" s="1">
        <v>0.91414814385099996</v>
      </c>
      <c r="K654" s="1">
        <v>7708.5425745599996</v>
      </c>
      <c r="L654" s="1">
        <v>2099.68401791</v>
      </c>
      <c r="M654" s="1" t="s">
        <v>198</v>
      </c>
      <c r="N654" s="1" t="b">
        <v>1</v>
      </c>
    </row>
    <row r="655" spans="1:14" ht="19" customHeight="1" x14ac:dyDescent="0.3">
      <c r="A655">
        <v>650</v>
      </c>
      <c r="B655" s="1">
        <v>3</v>
      </c>
      <c r="C655" s="1">
        <v>50</v>
      </c>
      <c r="D655" s="1">
        <v>2.5000000000000001E-2</v>
      </c>
      <c r="E655" s="1">
        <v>0.04</v>
      </c>
      <c r="F655" s="1">
        <v>-5</v>
      </c>
      <c r="G655" s="1">
        <v>1</v>
      </c>
      <c r="H655" s="1">
        <v>1.2750617122300001</v>
      </c>
      <c r="I655" s="1">
        <v>1.56077884221</v>
      </c>
      <c r="J655" s="1">
        <v>0.74960147795800003</v>
      </c>
      <c r="K655" s="1">
        <v>6513.5712734899998</v>
      </c>
      <c r="L655" s="1">
        <v>1721.7408946800001</v>
      </c>
      <c r="M655" s="1" t="s">
        <v>198</v>
      </c>
      <c r="N655" s="1" t="b">
        <v>1</v>
      </c>
    </row>
    <row r="656" spans="1:14" ht="19" customHeight="1" x14ac:dyDescent="0.3">
      <c r="A656">
        <v>651</v>
      </c>
      <c r="B656" s="1">
        <v>3</v>
      </c>
      <c r="C656" s="1">
        <v>50</v>
      </c>
      <c r="D656" s="1">
        <v>2.5000000000000001E-2</v>
      </c>
      <c r="E656" s="1">
        <v>0.04</v>
      </c>
      <c r="F656" s="1">
        <v>0</v>
      </c>
      <c r="G656" s="1">
        <v>0</v>
      </c>
      <c r="H656" s="1">
        <v>1.30407578506</v>
      </c>
      <c r="I656" s="1">
        <v>2.1283925574499998</v>
      </c>
      <c r="J656" s="1">
        <v>0.90664814385100001</v>
      </c>
      <c r="K656" s="1">
        <v>7883.9507242</v>
      </c>
      <c r="L656" s="1">
        <v>2082.45745541</v>
      </c>
      <c r="M656" s="1" t="s">
        <v>198</v>
      </c>
      <c r="N656" s="1" t="b">
        <v>1</v>
      </c>
    </row>
    <row r="657" spans="1:14" ht="19" customHeight="1" x14ac:dyDescent="0.3">
      <c r="A657">
        <v>652</v>
      </c>
      <c r="B657" s="1">
        <v>3</v>
      </c>
      <c r="C657" s="1">
        <v>50</v>
      </c>
      <c r="D657" s="1">
        <v>2.5000000000000001E-2</v>
      </c>
      <c r="E657" s="1">
        <v>0.04</v>
      </c>
      <c r="F657" s="1">
        <v>0</v>
      </c>
      <c r="G657" s="1">
        <v>1</v>
      </c>
      <c r="H657" s="1">
        <v>1.30407578506</v>
      </c>
      <c r="I657" s="1">
        <v>1.5962944180900001</v>
      </c>
      <c r="J657" s="1">
        <v>0.74345147795800004</v>
      </c>
      <c r="K657" s="1">
        <v>6661.7878103499997</v>
      </c>
      <c r="L657" s="1">
        <v>1707.6151134300001</v>
      </c>
      <c r="M657" s="1" t="s">
        <v>198</v>
      </c>
      <c r="N657" s="1" t="b">
        <v>1</v>
      </c>
    </row>
    <row r="658" spans="1:14" ht="19" customHeight="1" x14ac:dyDescent="0.3">
      <c r="A658">
        <v>653</v>
      </c>
      <c r="B658" s="1">
        <v>3</v>
      </c>
      <c r="C658" s="1">
        <v>50</v>
      </c>
      <c r="D658" s="1">
        <v>2.5000000000000001E-2</v>
      </c>
      <c r="E658" s="1">
        <v>0.04</v>
      </c>
      <c r="F658" s="1">
        <v>5</v>
      </c>
      <c r="G658" s="1">
        <v>0</v>
      </c>
      <c r="H658" s="1">
        <v>1.2750617122300001</v>
      </c>
      <c r="I658" s="1">
        <v>2.0810384562799999</v>
      </c>
      <c r="J658" s="1">
        <v>0.91414814385099996</v>
      </c>
      <c r="K658" s="1">
        <v>7708.5425745599996</v>
      </c>
      <c r="L658" s="1">
        <v>2099.68401791</v>
      </c>
      <c r="M658" s="1" t="s">
        <v>198</v>
      </c>
      <c r="N658" s="1" t="b">
        <v>1</v>
      </c>
    </row>
    <row r="659" spans="1:14" ht="19" customHeight="1" x14ac:dyDescent="0.3">
      <c r="A659">
        <v>654</v>
      </c>
      <c r="B659" s="1">
        <v>3</v>
      </c>
      <c r="C659" s="1">
        <v>50</v>
      </c>
      <c r="D659" s="1">
        <v>2.5000000000000001E-2</v>
      </c>
      <c r="E659" s="1">
        <v>0.04</v>
      </c>
      <c r="F659" s="1">
        <v>5</v>
      </c>
      <c r="G659" s="1">
        <v>1</v>
      </c>
      <c r="H659" s="1">
        <v>1.2750617122300001</v>
      </c>
      <c r="I659" s="1">
        <v>1.56077884221</v>
      </c>
      <c r="J659" s="1">
        <v>0.74960147795800003</v>
      </c>
      <c r="K659" s="1">
        <v>6513.5712734899998</v>
      </c>
      <c r="L659" s="1">
        <v>1721.7408946800001</v>
      </c>
      <c r="M659" s="1" t="s">
        <v>198</v>
      </c>
      <c r="N659" s="1" t="b">
        <v>1</v>
      </c>
    </row>
    <row r="660" spans="1:14" ht="19" customHeight="1" x14ac:dyDescent="0.3">
      <c r="A660">
        <v>655</v>
      </c>
      <c r="B660" s="1">
        <v>3</v>
      </c>
      <c r="C660" s="1">
        <v>50</v>
      </c>
      <c r="D660" s="1">
        <v>2.5000000000000001E-2</v>
      </c>
      <c r="E660" s="1">
        <v>0.06</v>
      </c>
      <c r="F660" s="1">
        <v>-5</v>
      </c>
      <c r="G660" s="1">
        <v>0</v>
      </c>
      <c r="H660" s="1">
        <v>1.31567672587</v>
      </c>
      <c r="I660" s="1">
        <v>2.1419609767300001</v>
      </c>
      <c r="J660" s="1">
        <v>0.91778282469600003</v>
      </c>
      <c r="K660" s="1">
        <v>7941.7615981700001</v>
      </c>
      <c r="L660" s="1">
        <v>2108.0324254699999</v>
      </c>
      <c r="M660" s="1" t="s">
        <v>198</v>
      </c>
      <c r="N660" s="1" t="b">
        <v>1</v>
      </c>
    </row>
    <row r="661" spans="1:14" ht="19" customHeight="1" x14ac:dyDescent="0.3">
      <c r="A661">
        <v>656</v>
      </c>
      <c r="B661" s="1">
        <v>3</v>
      </c>
      <c r="C661" s="1">
        <v>50</v>
      </c>
      <c r="D661" s="1">
        <v>2.5000000000000001E-2</v>
      </c>
      <c r="E661" s="1">
        <v>0.06</v>
      </c>
      <c r="F661" s="1">
        <v>-5</v>
      </c>
      <c r="G661" s="1">
        <v>1</v>
      </c>
      <c r="H661" s="1">
        <v>1.31567672587</v>
      </c>
      <c r="I661" s="1">
        <v>1.6064707325500001</v>
      </c>
      <c r="J661" s="1">
        <v>0.75258191625100002</v>
      </c>
      <c r="K661" s="1">
        <v>6711.8074435600001</v>
      </c>
      <c r="L661" s="1">
        <v>1728.58658889</v>
      </c>
      <c r="M661" s="1" t="s">
        <v>198</v>
      </c>
      <c r="N661" s="1" t="b">
        <v>1</v>
      </c>
    </row>
    <row r="662" spans="1:14" ht="19" customHeight="1" x14ac:dyDescent="0.3">
      <c r="A662">
        <v>657</v>
      </c>
      <c r="B662" s="1">
        <v>3</v>
      </c>
      <c r="C662" s="1">
        <v>50</v>
      </c>
      <c r="D662" s="1">
        <v>2.5000000000000001E-2</v>
      </c>
      <c r="E662" s="1">
        <v>0.06</v>
      </c>
      <c r="F662" s="1">
        <v>0</v>
      </c>
      <c r="G662" s="1">
        <v>0</v>
      </c>
      <c r="H662" s="1">
        <v>1.34561499472</v>
      </c>
      <c r="I662" s="1">
        <v>2.1907013719399999</v>
      </c>
      <c r="J662" s="1">
        <v>0.91028282469599997</v>
      </c>
      <c r="K662" s="1">
        <v>8122.4766546600003</v>
      </c>
      <c r="L662" s="1">
        <v>2090.8058629699999</v>
      </c>
      <c r="M662" s="1" t="s">
        <v>198</v>
      </c>
      <c r="N662" s="1" t="b">
        <v>1</v>
      </c>
    </row>
    <row r="663" spans="1:14" ht="19" customHeight="1" x14ac:dyDescent="0.3">
      <c r="A663">
        <v>658</v>
      </c>
      <c r="B663" s="1">
        <v>3</v>
      </c>
      <c r="C663" s="1">
        <v>50</v>
      </c>
      <c r="D663" s="1">
        <v>2.5000000000000001E-2</v>
      </c>
      <c r="E663" s="1">
        <v>0.06</v>
      </c>
      <c r="F663" s="1">
        <v>0</v>
      </c>
      <c r="G663" s="1">
        <v>1</v>
      </c>
      <c r="H663" s="1">
        <v>1.34561499472</v>
      </c>
      <c r="I663" s="1">
        <v>1.6430260289500001</v>
      </c>
      <c r="J663" s="1">
        <v>0.74643191625100003</v>
      </c>
      <c r="K663" s="1">
        <v>6864.5348512399996</v>
      </c>
      <c r="L663" s="1">
        <v>1714.46080764</v>
      </c>
      <c r="M663" s="1" t="s">
        <v>198</v>
      </c>
      <c r="N663" s="1" t="b">
        <v>1</v>
      </c>
    </row>
    <row r="664" spans="1:14" ht="19" customHeight="1" x14ac:dyDescent="0.3">
      <c r="A664">
        <v>659</v>
      </c>
      <c r="B664" s="1">
        <v>3</v>
      </c>
      <c r="C664" s="1">
        <v>50</v>
      </c>
      <c r="D664" s="1">
        <v>2.5000000000000001E-2</v>
      </c>
      <c r="E664" s="1">
        <v>0.06</v>
      </c>
      <c r="F664" s="1">
        <v>5</v>
      </c>
      <c r="G664" s="1">
        <v>0</v>
      </c>
      <c r="H664" s="1">
        <v>1.31567672587</v>
      </c>
      <c r="I664" s="1">
        <v>2.1419609767300001</v>
      </c>
      <c r="J664" s="1">
        <v>0.91778282469600003</v>
      </c>
      <c r="K664" s="1">
        <v>7941.7615981700001</v>
      </c>
      <c r="L664" s="1">
        <v>2108.0324254699999</v>
      </c>
      <c r="M664" s="1" t="s">
        <v>198</v>
      </c>
      <c r="N664" s="1" t="b">
        <v>1</v>
      </c>
    </row>
    <row r="665" spans="1:14" ht="19" customHeight="1" x14ac:dyDescent="0.3">
      <c r="A665">
        <v>660</v>
      </c>
      <c r="B665" s="1">
        <v>3</v>
      </c>
      <c r="C665" s="1">
        <v>50</v>
      </c>
      <c r="D665" s="1">
        <v>2.5000000000000001E-2</v>
      </c>
      <c r="E665" s="1">
        <v>0.06</v>
      </c>
      <c r="F665" s="1">
        <v>5</v>
      </c>
      <c r="G665" s="1">
        <v>1</v>
      </c>
      <c r="H665" s="1">
        <v>1.31567672587</v>
      </c>
      <c r="I665" s="1">
        <v>1.6064707325500001</v>
      </c>
      <c r="J665" s="1">
        <v>0.75258191625100002</v>
      </c>
      <c r="K665" s="1">
        <v>6711.8074435600001</v>
      </c>
      <c r="L665" s="1">
        <v>1728.58658889</v>
      </c>
      <c r="M665" s="1" t="s">
        <v>198</v>
      </c>
      <c r="N665" s="1" t="b">
        <v>1</v>
      </c>
    </row>
    <row r="666" spans="1:14" ht="19" customHeight="1" x14ac:dyDescent="0.3">
      <c r="A666">
        <v>661</v>
      </c>
      <c r="B666" s="1">
        <v>3</v>
      </c>
      <c r="C666" s="1">
        <v>50</v>
      </c>
      <c r="D666" s="1">
        <v>2.5000000000000001E-2</v>
      </c>
      <c r="E666" s="1">
        <v>8.5000000000000006E-2</v>
      </c>
      <c r="F666" s="1">
        <v>-5</v>
      </c>
      <c r="G666" s="1">
        <v>0</v>
      </c>
      <c r="H666" s="1">
        <v>1.21184521693</v>
      </c>
      <c r="I666" s="1">
        <v>1.98621371332</v>
      </c>
      <c r="J666" s="1">
        <v>0.90849083233000005</v>
      </c>
      <c r="K666" s="1">
        <v>7345.5416053999998</v>
      </c>
      <c r="L666" s="1">
        <v>2086.68988051</v>
      </c>
      <c r="M666" s="1" t="s">
        <v>198</v>
      </c>
      <c r="N666" s="1" t="b">
        <v>1</v>
      </c>
    </row>
    <row r="667" spans="1:14" ht="19" customHeight="1" x14ac:dyDescent="0.3">
      <c r="A667">
        <v>662</v>
      </c>
      <c r="B667" s="1">
        <v>3</v>
      </c>
      <c r="C667" s="1">
        <v>50</v>
      </c>
      <c r="D667" s="1">
        <v>2.5000000000000001E-2</v>
      </c>
      <c r="E667" s="1">
        <v>8.5000000000000006E-2</v>
      </c>
      <c r="F667" s="1">
        <v>-5</v>
      </c>
      <c r="G667" s="1">
        <v>1</v>
      </c>
      <c r="H667" s="1">
        <v>1.21184521693</v>
      </c>
      <c r="I667" s="1">
        <v>1.48966028499</v>
      </c>
      <c r="J667" s="1">
        <v>0.74496248250999997</v>
      </c>
      <c r="K667" s="1">
        <v>6205.0204497100003</v>
      </c>
      <c r="L667" s="1">
        <v>1711.0857020200001</v>
      </c>
      <c r="M667" s="1" t="s">
        <v>198</v>
      </c>
      <c r="N667" s="1" t="b">
        <v>1</v>
      </c>
    </row>
    <row r="668" spans="1:14" ht="19" customHeight="1" x14ac:dyDescent="0.3">
      <c r="A668">
        <v>663</v>
      </c>
      <c r="B668" s="1">
        <v>3</v>
      </c>
      <c r="C668" s="1">
        <v>50</v>
      </c>
      <c r="D668" s="1">
        <v>2.5000000000000001E-2</v>
      </c>
      <c r="E668" s="1">
        <v>8.5000000000000006E-2</v>
      </c>
      <c r="F668" s="1">
        <v>0</v>
      </c>
      <c r="G668" s="1">
        <v>0</v>
      </c>
      <c r="H668" s="1">
        <v>1.2394207962399999</v>
      </c>
      <c r="I668" s="1">
        <v>2.0314100742200001</v>
      </c>
      <c r="J668" s="1">
        <v>0.90099083232999999</v>
      </c>
      <c r="K668" s="1">
        <v>7512.6896555900003</v>
      </c>
      <c r="L668" s="1">
        <v>2069.46331801</v>
      </c>
      <c r="M668" s="1" t="s">
        <v>198</v>
      </c>
      <c r="N668" s="1" t="b">
        <v>1</v>
      </c>
    </row>
    <row r="669" spans="1:14" ht="19" customHeight="1" x14ac:dyDescent="0.3">
      <c r="A669">
        <v>664</v>
      </c>
      <c r="B669" s="1">
        <v>3</v>
      </c>
      <c r="C669" s="1">
        <v>50</v>
      </c>
      <c r="D669" s="1">
        <v>2.5000000000000001E-2</v>
      </c>
      <c r="E669" s="1">
        <v>8.5000000000000006E-2</v>
      </c>
      <c r="F669" s="1">
        <v>0</v>
      </c>
      <c r="G669" s="1">
        <v>1</v>
      </c>
      <c r="H669" s="1">
        <v>1.2394207962399999</v>
      </c>
      <c r="I669" s="1">
        <v>1.5235575556700001</v>
      </c>
      <c r="J669" s="1">
        <v>0.73881248250999998</v>
      </c>
      <c r="K669" s="1">
        <v>6346.2159020299996</v>
      </c>
      <c r="L669" s="1">
        <v>1696.9599207700001</v>
      </c>
      <c r="M669" s="1" t="s">
        <v>198</v>
      </c>
      <c r="N669" s="1" t="b">
        <v>1</v>
      </c>
    </row>
    <row r="670" spans="1:14" ht="19" customHeight="1" x14ac:dyDescent="0.3">
      <c r="A670">
        <v>665</v>
      </c>
      <c r="B670" s="1">
        <v>3</v>
      </c>
      <c r="C670" s="1">
        <v>50</v>
      </c>
      <c r="D670" s="1">
        <v>2.5000000000000001E-2</v>
      </c>
      <c r="E670" s="1">
        <v>8.5000000000000006E-2</v>
      </c>
      <c r="F670" s="1">
        <v>5</v>
      </c>
      <c r="G670" s="1">
        <v>0</v>
      </c>
      <c r="H670" s="1">
        <v>1.21184521693</v>
      </c>
      <c r="I670" s="1">
        <v>1.98621371332</v>
      </c>
      <c r="J670" s="1">
        <v>0.90849083233000005</v>
      </c>
      <c r="K670" s="1">
        <v>7345.5416053999998</v>
      </c>
      <c r="L670" s="1">
        <v>2086.68988051</v>
      </c>
      <c r="M670" s="1" t="s">
        <v>198</v>
      </c>
      <c r="N670" s="1" t="b">
        <v>1</v>
      </c>
    </row>
    <row r="671" spans="1:14" ht="19" customHeight="1" x14ac:dyDescent="0.3">
      <c r="A671">
        <v>666</v>
      </c>
      <c r="B671" s="1">
        <v>3</v>
      </c>
      <c r="C671" s="1">
        <v>50</v>
      </c>
      <c r="D671" s="1">
        <v>2.5000000000000001E-2</v>
      </c>
      <c r="E671" s="1">
        <v>8.5000000000000006E-2</v>
      </c>
      <c r="F671" s="1">
        <v>5</v>
      </c>
      <c r="G671" s="1">
        <v>1</v>
      </c>
      <c r="H671" s="1">
        <v>1.21184521693</v>
      </c>
      <c r="I671" s="1">
        <v>1.48966028499</v>
      </c>
      <c r="J671" s="1">
        <v>0.74496248250999997</v>
      </c>
      <c r="K671" s="1">
        <v>6205.0204497100003</v>
      </c>
      <c r="L671" s="1">
        <v>1711.0857020200001</v>
      </c>
      <c r="M671" s="1" t="s">
        <v>198</v>
      </c>
      <c r="N671" s="1" t="b">
        <v>1</v>
      </c>
    </row>
    <row r="672" spans="1:14" ht="19" customHeight="1" x14ac:dyDescent="0.3">
      <c r="A672">
        <v>667</v>
      </c>
      <c r="B672" s="1">
        <v>3</v>
      </c>
      <c r="C672" s="1">
        <v>50</v>
      </c>
      <c r="D672" s="1">
        <v>0.04</v>
      </c>
      <c r="E672" s="1">
        <v>0.04</v>
      </c>
      <c r="F672" s="1">
        <v>-5</v>
      </c>
      <c r="G672" s="1">
        <v>0</v>
      </c>
      <c r="H672" s="1">
        <v>1.28105052569</v>
      </c>
      <c r="I672" s="1">
        <v>2.0900216764600001</v>
      </c>
      <c r="J672" s="1">
        <v>0.91468408914800003</v>
      </c>
      <c r="K672" s="1">
        <v>7742.9314643099997</v>
      </c>
      <c r="L672" s="1">
        <v>2100.9150172599998</v>
      </c>
      <c r="M672" s="1" t="s">
        <v>198</v>
      </c>
      <c r="N672" s="1" t="b">
        <v>1</v>
      </c>
    </row>
    <row r="673" spans="1:14" ht="19" customHeight="1" x14ac:dyDescent="0.3">
      <c r="A673">
        <v>668</v>
      </c>
      <c r="B673" s="1">
        <v>3</v>
      </c>
      <c r="C673" s="1">
        <v>50</v>
      </c>
      <c r="D673" s="1">
        <v>0.04</v>
      </c>
      <c r="E673" s="1">
        <v>0.04</v>
      </c>
      <c r="F673" s="1">
        <v>-5</v>
      </c>
      <c r="G673" s="1">
        <v>1</v>
      </c>
      <c r="H673" s="1">
        <v>1.28105052569</v>
      </c>
      <c r="I673" s="1">
        <v>1.5675162573400001</v>
      </c>
      <c r="J673" s="1">
        <v>0.75004095310100005</v>
      </c>
      <c r="K673" s="1">
        <v>6542.8018297799999</v>
      </c>
      <c r="L673" s="1">
        <v>1722.7503141499999</v>
      </c>
      <c r="M673" s="1" t="s">
        <v>198</v>
      </c>
      <c r="N673" s="1" t="b">
        <v>1</v>
      </c>
    </row>
    <row r="674" spans="1:14" ht="19" customHeight="1" x14ac:dyDescent="0.3">
      <c r="A674">
        <v>669</v>
      </c>
      <c r="B674" s="1">
        <v>3</v>
      </c>
      <c r="C674" s="1">
        <v>50</v>
      </c>
      <c r="D674" s="1">
        <v>0.04</v>
      </c>
      <c r="E674" s="1">
        <v>0.04</v>
      </c>
      <c r="F674" s="1">
        <v>0</v>
      </c>
      <c r="G674" s="1">
        <v>0</v>
      </c>
      <c r="H674" s="1">
        <v>1.31020087417</v>
      </c>
      <c r="I674" s="1">
        <v>2.1375801911100001</v>
      </c>
      <c r="J674" s="1">
        <v>0.90718408914799997</v>
      </c>
      <c r="K674" s="1">
        <v>7919.1221343099996</v>
      </c>
      <c r="L674" s="1">
        <v>2083.6884547599998</v>
      </c>
      <c r="M674" s="1" t="s">
        <v>198</v>
      </c>
      <c r="N674" s="1" t="b">
        <v>1</v>
      </c>
    </row>
    <row r="675" spans="1:14" ht="19" customHeight="1" x14ac:dyDescent="0.3">
      <c r="A675">
        <v>670</v>
      </c>
      <c r="B675" s="1">
        <v>3</v>
      </c>
      <c r="C675" s="1">
        <v>50</v>
      </c>
      <c r="D675" s="1">
        <v>0.04</v>
      </c>
      <c r="E675" s="1">
        <v>0.04</v>
      </c>
      <c r="F675" s="1">
        <v>0</v>
      </c>
      <c r="G675" s="1">
        <v>1</v>
      </c>
      <c r="H675" s="1">
        <v>1.31020087417</v>
      </c>
      <c r="I675" s="1">
        <v>1.60318514333</v>
      </c>
      <c r="J675" s="1">
        <v>0.74389095310099995</v>
      </c>
      <c r="K675" s="1">
        <v>6691.68350895</v>
      </c>
      <c r="L675" s="1">
        <v>1708.6245329000001</v>
      </c>
      <c r="M675" s="1" t="s">
        <v>198</v>
      </c>
      <c r="N675" s="1" t="b">
        <v>1</v>
      </c>
    </row>
    <row r="676" spans="1:14" ht="19" customHeight="1" x14ac:dyDescent="0.3">
      <c r="A676">
        <v>671</v>
      </c>
      <c r="B676" s="1">
        <v>3</v>
      </c>
      <c r="C676" s="1">
        <v>50</v>
      </c>
      <c r="D676" s="1">
        <v>0.04</v>
      </c>
      <c r="E676" s="1">
        <v>0.04</v>
      </c>
      <c r="F676" s="1">
        <v>5</v>
      </c>
      <c r="G676" s="1">
        <v>0</v>
      </c>
      <c r="H676" s="1">
        <v>1.28105052569</v>
      </c>
      <c r="I676" s="1">
        <v>2.0900216764600001</v>
      </c>
      <c r="J676" s="1">
        <v>0.91468408914800003</v>
      </c>
      <c r="K676" s="1">
        <v>7742.9314643099997</v>
      </c>
      <c r="L676" s="1">
        <v>2100.9150172599998</v>
      </c>
      <c r="M676" s="1" t="s">
        <v>198</v>
      </c>
      <c r="N676" s="1" t="b">
        <v>1</v>
      </c>
    </row>
    <row r="677" spans="1:14" ht="19" customHeight="1" x14ac:dyDescent="0.3">
      <c r="A677">
        <v>672</v>
      </c>
      <c r="B677" s="1">
        <v>3</v>
      </c>
      <c r="C677" s="1">
        <v>50</v>
      </c>
      <c r="D677" s="1">
        <v>0.04</v>
      </c>
      <c r="E677" s="1">
        <v>0.04</v>
      </c>
      <c r="F677" s="1">
        <v>5</v>
      </c>
      <c r="G677" s="1">
        <v>1</v>
      </c>
      <c r="H677" s="1">
        <v>1.28105052569</v>
      </c>
      <c r="I677" s="1">
        <v>1.5675162573400001</v>
      </c>
      <c r="J677" s="1">
        <v>0.75004095310100005</v>
      </c>
      <c r="K677" s="1">
        <v>6542.8018297799999</v>
      </c>
      <c r="L677" s="1">
        <v>1722.7503141499999</v>
      </c>
      <c r="M677" s="1" t="s">
        <v>198</v>
      </c>
      <c r="N677" s="1" t="b">
        <v>1</v>
      </c>
    </row>
    <row r="678" spans="1:14" ht="19" customHeight="1" x14ac:dyDescent="0.3">
      <c r="A678">
        <v>673</v>
      </c>
      <c r="B678" s="1">
        <v>3</v>
      </c>
      <c r="C678" s="1">
        <v>50</v>
      </c>
      <c r="D678" s="1">
        <v>0.04</v>
      </c>
      <c r="E678" s="1">
        <v>0.06</v>
      </c>
      <c r="F678" s="1">
        <v>-5</v>
      </c>
      <c r="G678" s="1">
        <v>0</v>
      </c>
      <c r="H678" s="1">
        <v>1.3222463412400001</v>
      </c>
      <c r="I678" s="1">
        <v>2.1518153997899998</v>
      </c>
      <c r="J678" s="1">
        <v>0.91837074657600004</v>
      </c>
      <c r="K678" s="1">
        <v>7979.4855614500002</v>
      </c>
      <c r="L678" s="1">
        <v>2109.38280854</v>
      </c>
      <c r="M678" s="1" t="s">
        <v>198</v>
      </c>
      <c r="N678" s="1" t="b">
        <v>1</v>
      </c>
    </row>
    <row r="679" spans="1:14" ht="19" customHeight="1" x14ac:dyDescent="0.3">
      <c r="A679">
        <v>674</v>
      </c>
      <c r="B679" s="1">
        <v>3</v>
      </c>
      <c r="C679" s="1">
        <v>50</v>
      </c>
      <c r="D679" s="1">
        <v>0.04</v>
      </c>
      <c r="E679" s="1">
        <v>0.06</v>
      </c>
      <c r="F679" s="1">
        <v>-5</v>
      </c>
      <c r="G679" s="1">
        <v>1</v>
      </c>
      <c r="H679" s="1">
        <v>1.3222463412400001</v>
      </c>
      <c r="I679" s="1">
        <v>1.61386154985</v>
      </c>
      <c r="J679" s="1">
        <v>0.75306401219200003</v>
      </c>
      <c r="K679" s="1">
        <v>6743.8728123499995</v>
      </c>
      <c r="L679" s="1">
        <v>1729.6939030000001</v>
      </c>
      <c r="M679" s="1" t="s">
        <v>198</v>
      </c>
      <c r="N679" s="1" t="b">
        <v>1</v>
      </c>
    </row>
    <row r="680" spans="1:14" ht="19" customHeight="1" x14ac:dyDescent="0.3">
      <c r="A680">
        <v>675</v>
      </c>
      <c r="B680" s="1">
        <v>3</v>
      </c>
      <c r="C680" s="1">
        <v>50</v>
      </c>
      <c r="D680" s="1">
        <v>0.04</v>
      </c>
      <c r="E680" s="1">
        <v>0.06</v>
      </c>
      <c r="F680" s="1">
        <v>0</v>
      </c>
      <c r="G680" s="1">
        <v>0</v>
      </c>
      <c r="H680" s="1">
        <v>1.3523341019099999</v>
      </c>
      <c r="I680" s="1">
        <v>2.20078003273</v>
      </c>
      <c r="J680" s="1">
        <v>0.91087074657599998</v>
      </c>
      <c r="K680" s="1">
        <v>8161.0590280099996</v>
      </c>
      <c r="L680" s="1">
        <v>2092.15624604</v>
      </c>
      <c r="M680" s="1" t="s">
        <v>198</v>
      </c>
      <c r="N680" s="1" t="b">
        <v>1</v>
      </c>
    </row>
    <row r="681" spans="1:14" ht="19" customHeight="1" x14ac:dyDescent="0.3">
      <c r="A681">
        <v>676</v>
      </c>
      <c r="B681" s="1">
        <v>3</v>
      </c>
      <c r="C681" s="1">
        <v>50</v>
      </c>
      <c r="D681" s="1">
        <v>0.04</v>
      </c>
      <c r="E681" s="1">
        <v>0.06</v>
      </c>
      <c r="F681" s="1">
        <v>0</v>
      </c>
      <c r="G681" s="1">
        <v>1</v>
      </c>
      <c r="H681" s="1">
        <v>1.3523341019099999</v>
      </c>
      <c r="I681" s="1">
        <v>1.65058502455</v>
      </c>
      <c r="J681" s="1">
        <v>0.74691401219200004</v>
      </c>
      <c r="K681" s="1">
        <v>6897.3298685899999</v>
      </c>
      <c r="L681" s="1">
        <v>1715.56812175</v>
      </c>
      <c r="M681" s="1" t="s">
        <v>198</v>
      </c>
      <c r="N681" s="1" t="b">
        <v>1</v>
      </c>
    </row>
    <row r="682" spans="1:14" ht="19" customHeight="1" x14ac:dyDescent="0.3">
      <c r="A682">
        <v>677</v>
      </c>
      <c r="B682" s="1">
        <v>3</v>
      </c>
      <c r="C682" s="1">
        <v>50</v>
      </c>
      <c r="D682" s="1">
        <v>0.04</v>
      </c>
      <c r="E682" s="1">
        <v>0.06</v>
      </c>
      <c r="F682" s="1">
        <v>5</v>
      </c>
      <c r="G682" s="1">
        <v>0</v>
      </c>
      <c r="H682" s="1">
        <v>1.3222463412400001</v>
      </c>
      <c r="I682" s="1">
        <v>2.1518153997899998</v>
      </c>
      <c r="J682" s="1">
        <v>0.91837074657600004</v>
      </c>
      <c r="K682" s="1">
        <v>7979.4855614500002</v>
      </c>
      <c r="L682" s="1">
        <v>2109.38280854</v>
      </c>
      <c r="M682" s="1" t="s">
        <v>198</v>
      </c>
      <c r="N682" s="1" t="b">
        <v>1</v>
      </c>
    </row>
    <row r="683" spans="1:14" ht="19" customHeight="1" x14ac:dyDescent="0.3">
      <c r="A683">
        <v>678</v>
      </c>
      <c r="B683" s="1">
        <v>3</v>
      </c>
      <c r="C683" s="1">
        <v>50</v>
      </c>
      <c r="D683" s="1">
        <v>0.04</v>
      </c>
      <c r="E683" s="1">
        <v>0.06</v>
      </c>
      <c r="F683" s="1">
        <v>5</v>
      </c>
      <c r="G683" s="1">
        <v>1</v>
      </c>
      <c r="H683" s="1">
        <v>1.3222463412400001</v>
      </c>
      <c r="I683" s="1">
        <v>1.61386154985</v>
      </c>
      <c r="J683" s="1">
        <v>0.75306401219200003</v>
      </c>
      <c r="K683" s="1">
        <v>6743.8728123499995</v>
      </c>
      <c r="L683" s="1">
        <v>1729.6939030000001</v>
      </c>
      <c r="M683" s="1" t="s">
        <v>198</v>
      </c>
      <c r="N683" s="1" t="b">
        <v>1</v>
      </c>
    </row>
    <row r="684" spans="1:14" ht="19" customHeight="1" x14ac:dyDescent="0.3">
      <c r="A684">
        <v>679</v>
      </c>
      <c r="B684" s="1">
        <v>3</v>
      </c>
      <c r="C684" s="1">
        <v>50</v>
      </c>
      <c r="D684" s="1">
        <v>0.04</v>
      </c>
      <c r="E684" s="1">
        <v>8.5000000000000006E-2</v>
      </c>
      <c r="F684" s="1">
        <v>-5</v>
      </c>
      <c r="G684" s="1">
        <v>0</v>
      </c>
      <c r="H684" s="1">
        <v>1.21693002325</v>
      </c>
      <c r="I684" s="1">
        <v>1.9938409228</v>
      </c>
      <c r="J684" s="1">
        <v>0.90894587706499996</v>
      </c>
      <c r="K684" s="1">
        <v>7374.7395167100003</v>
      </c>
      <c r="L684" s="1">
        <v>2087.7350613799999</v>
      </c>
      <c r="M684" s="1" t="s">
        <v>198</v>
      </c>
      <c r="N684" s="1" t="b">
        <v>1</v>
      </c>
    </row>
    <row r="685" spans="1:14" ht="19" customHeight="1" x14ac:dyDescent="0.3">
      <c r="A685">
        <v>680</v>
      </c>
      <c r="B685" s="1">
        <v>3</v>
      </c>
      <c r="C685" s="1">
        <v>50</v>
      </c>
      <c r="D685" s="1">
        <v>0.04</v>
      </c>
      <c r="E685" s="1">
        <v>8.5000000000000006E-2</v>
      </c>
      <c r="F685" s="1">
        <v>-5</v>
      </c>
      <c r="G685" s="1">
        <v>1</v>
      </c>
      <c r="H685" s="1">
        <v>1.21693002325</v>
      </c>
      <c r="I685" s="1">
        <v>1.4953806920999999</v>
      </c>
      <c r="J685" s="1">
        <v>0.74533561919299995</v>
      </c>
      <c r="K685" s="1">
        <v>6229.8386743199999</v>
      </c>
      <c r="L685" s="1">
        <v>1711.9427503300001</v>
      </c>
      <c r="M685" s="1" t="s">
        <v>198</v>
      </c>
      <c r="N685" s="1" t="b">
        <v>1</v>
      </c>
    </row>
    <row r="686" spans="1:14" ht="19" customHeight="1" x14ac:dyDescent="0.3">
      <c r="A686">
        <v>681</v>
      </c>
      <c r="B686" s="1">
        <v>3</v>
      </c>
      <c r="C686" s="1">
        <v>50</v>
      </c>
      <c r="D686" s="1">
        <v>0.04</v>
      </c>
      <c r="E686" s="1">
        <v>8.5000000000000006E-2</v>
      </c>
      <c r="F686" s="1">
        <v>0</v>
      </c>
      <c r="G686" s="1">
        <v>0</v>
      </c>
      <c r="H686" s="1">
        <v>1.2446213075000001</v>
      </c>
      <c r="I686" s="1">
        <v>2.0392108411200001</v>
      </c>
      <c r="J686" s="1">
        <v>0.90144587706500001</v>
      </c>
      <c r="K686" s="1">
        <v>7542.5519663699997</v>
      </c>
      <c r="L686" s="1">
        <v>2070.5084988799999</v>
      </c>
      <c r="M686" s="1" t="s">
        <v>198</v>
      </c>
      <c r="N686" s="1" t="b">
        <v>1</v>
      </c>
    </row>
    <row r="687" spans="1:14" ht="19" customHeight="1" x14ac:dyDescent="0.3">
      <c r="A687">
        <v>682</v>
      </c>
      <c r="B687" s="1">
        <v>3</v>
      </c>
      <c r="C687" s="1">
        <v>50</v>
      </c>
      <c r="D687" s="1">
        <v>0.04</v>
      </c>
      <c r="E687" s="1">
        <v>8.5000000000000006E-2</v>
      </c>
      <c r="F687" s="1">
        <v>0</v>
      </c>
      <c r="G687" s="1">
        <v>1</v>
      </c>
      <c r="H687" s="1">
        <v>1.2446213075000001</v>
      </c>
      <c r="I687" s="1">
        <v>1.52940813084</v>
      </c>
      <c r="J687" s="1">
        <v>0.73918561919299997</v>
      </c>
      <c r="K687" s="1">
        <v>6371.5988661900001</v>
      </c>
      <c r="L687" s="1">
        <v>1697.81696908</v>
      </c>
      <c r="M687" s="1" t="s">
        <v>198</v>
      </c>
      <c r="N687" s="1" t="b">
        <v>1</v>
      </c>
    </row>
    <row r="688" spans="1:14" ht="19" customHeight="1" x14ac:dyDescent="0.3">
      <c r="A688">
        <v>683</v>
      </c>
      <c r="B688" s="1">
        <v>3</v>
      </c>
      <c r="C688" s="1">
        <v>50</v>
      </c>
      <c r="D688" s="1">
        <v>0.04</v>
      </c>
      <c r="E688" s="1">
        <v>8.5000000000000006E-2</v>
      </c>
      <c r="F688" s="1">
        <v>5</v>
      </c>
      <c r="G688" s="1">
        <v>0</v>
      </c>
      <c r="H688" s="1">
        <v>1.21693002325</v>
      </c>
      <c r="I688" s="1">
        <v>1.9938409228</v>
      </c>
      <c r="J688" s="1">
        <v>0.90894587706499996</v>
      </c>
      <c r="K688" s="1">
        <v>7374.7395167100003</v>
      </c>
      <c r="L688" s="1">
        <v>2087.7350613799999</v>
      </c>
      <c r="M688" s="1" t="s">
        <v>198</v>
      </c>
      <c r="N688" s="1" t="b">
        <v>1</v>
      </c>
    </row>
    <row r="689" spans="1:14" ht="19" customHeight="1" x14ac:dyDescent="0.3">
      <c r="A689">
        <v>684</v>
      </c>
      <c r="B689" s="1">
        <v>3</v>
      </c>
      <c r="C689" s="1">
        <v>50</v>
      </c>
      <c r="D689" s="1">
        <v>0.04</v>
      </c>
      <c r="E689" s="1">
        <v>8.5000000000000006E-2</v>
      </c>
      <c r="F689" s="1">
        <v>5</v>
      </c>
      <c r="G689" s="1">
        <v>1</v>
      </c>
      <c r="H689" s="1">
        <v>1.21693002325</v>
      </c>
      <c r="I689" s="1">
        <v>1.4953806920999999</v>
      </c>
      <c r="J689" s="1">
        <v>0.74533561919299995</v>
      </c>
      <c r="K689" s="1">
        <v>6229.8386743199999</v>
      </c>
      <c r="L689" s="1">
        <v>1711.9427503300001</v>
      </c>
      <c r="M689" s="1" t="s">
        <v>198</v>
      </c>
      <c r="N689" s="1" t="b">
        <v>1</v>
      </c>
    </row>
    <row r="690" spans="1:14" ht="19" customHeight="1" x14ac:dyDescent="0.3">
      <c r="A690">
        <v>685</v>
      </c>
      <c r="B690" s="1">
        <v>3</v>
      </c>
      <c r="C690" s="1">
        <v>50</v>
      </c>
      <c r="D690" s="1">
        <v>5.5E-2</v>
      </c>
      <c r="E690" s="1">
        <v>0.04</v>
      </c>
      <c r="F690" s="1">
        <v>-5</v>
      </c>
      <c r="G690" s="1">
        <v>0</v>
      </c>
      <c r="H690" s="1">
        <v>1.14116542362</v>
      </c>
      <c r="I690" s="1">
        <v>1.8801940233600001</v>
      </c>
      <c r="J690" s="1">
        <v>0.90216562231800002</v>
      </c>
      <c r="K690" s="1">
        <v>6939.6849798000003</v>
      </c>
      <c r="L690" s="1">
        <v>2072.16166376</v>
      </c>
      <c r="M690" s="1" t="s">
        <v>198</v>
      </c>
      <c r="N690" s="1" t="b">
        <v>1</v>
      </c>
    </row>
    <row r="691" spans="1:14" ht="19" customHeight="1" x14ac:dyDescent="0.3">
      <c r="A691">
        <v>686</v>
      </c>
      <c r="B691" s="1">
        <v>3</v>
      </c>
      <c r="C691" s="1">
        <v>50</v>
      </c>
      <c r="D691" s="1">
        <v>5.5E-2</v>
      </c>
      <c r="E691" s="1">
        <v>0.04</v>
      </c>
      <c r="F691" s="1">
        <v>-5</v>
      </c>
      <c r="G691" s="1">
        <v>1</v>
      </c>
      <c r="H691" s="1">
        <v>1.14116542362</v>
      </c>
      <c r="I691" s="1">
        <v>1.4101455175199999</v>
      </c>
      <c r="J691" s="1">
        <v>0.73977581030100004</v>
      </c>
      <c r="K691" s="1">
        <v>5860.0423179500003</v>
      </c>
      <c r="L691" s="1">
        <v>1699.1725642900001</v>
      </c>
      <c r="M691" s="1" t="s">
        <v>198</v>
      </c>
      <c r="N691" s="1" t="b">
        <v>1</v>
      </c>
    </row>
    <row r="692" spans="1:14" ht="19" customHeight="1" x14ac:dyDescent="0.3">
      <c r="A692">
        <v>687</v>
      </c>
      <c r="B692" s="1">
        <v>3</v>
      </c>
      <c r="C692" s="1">
        <v>50</v>
      </c>
      <c r="D692" s="1">
        <v>5.5E-2</v>
      </c>
      <c r="E692" s="1">
        <v>0.04</v>
      </c>
      <c r="F692" s="1">
        <v>0</v>
      </c>
      <c r="G692" s="1">
        <v>0</v>
      </c>
      <c r="H692" s="1">
        <v>1.1671326818300001</v>
      </c>
      <c r="I692" s="1">
        <v>1.9229779026</v>
      </c>
      <c r="J692" s="1">
        <v>0.89466562231799995</v>
      </c>
      <c r="K692" s="1">
        <v>7097.5977486100001</v>
      </c>
      <c r="L692" s="1">
        <v>2054.93510126</v>
      </c>
      <c r="M692" s="1" t="s">
        <v>198</v>
      </c>
      <c r="N692" s="1" t="b">
        <v>1</v>
      </c>
    </row>
    <row r="693" spans="1:14" ht="19" customHeight="1" x14ac:dyDescent="0.3">
      <c r="A693">
        <v>688</v>
      </c>
      <c r="B693" s="1">
        <v>3</v>
      </c>
      <c r="C693" s="1">
        <v>50</v>
      </c>
      <c r="D693" s="1">
        <v>5.5E-2</v>
      </c>
      <c r="E693" s="1">
        <v>0.04</v>
      </c>
      <c r="F693" s="1">
        <v>0</v>
      </c>
      <c r="G693" s="1">
        <v>1</v>
      </c>
      <c r="H693" s="1">
        <v>1.1671326818300001</v>
      </c>
      <c r="I693" s="1">
        <v>1.4422334269499999</v>
      </c>
      <c r="J693" s="1">
        <v>0.73362581030100005</v>
      </c>
      <c r="K693" s="1">
        <v>5993.3877811000002</v>
      </c>
      <c r="L693" s="1">
        <v>1685.04678304</v>
      </c>
      <c r="M693" s="1" t="s">
        <v>198</v>
      </c>
      <c r="N693" s="1" t="b">
        <v>1</v>
      </c>
    </row>
    <row r="694" spans="1:14" ht="19" customHeight="1" x14ac:dyDescent="0.3">
      <c r="A694">
        <v>689</v>
      </c>
      <c r="B694" s="1">
        <v>3</v>
      </c>
      <c r="C694" s="1">
        <v>50</v>
      </c>
      <c r="D694" s="1">
        <v>5.5E-2</v>
      </c>
      <c r="E694" s="1">
        <v>0.04</v>
      </c>
      <c r="F694" s="1">
        <v>5</v>
      </c>
      <c r="G694" s="1">
        <v>0</v>
      </c>
      <c r="H694" s="1">
        <v>1.14116542362</v>
      </c>
      <c r="I694" s="1">
        <v>1.8801940233600001</v>
      </c>
      <c r="J694" s="1">
        <v>0.90216562231800002</v>
      </c>
      <c r="K694" s="1">
        <v>6939.6849798000003</v>
      </c>
      <c r="L694" s="1">
        <v>2072.16166376</v>
      </c>
      <c r="M694" s="1" t="s">
        <v>198</v>
      </c>
      <c r="N694" s="1" t="b">
        <v>1</v>
      </c>
    </row>
    <row r="695" spans="1:14" ht="19" customHeight="1" x14ac:dyDescent="0.3">
      <c r="A695">
        <v>690</v>
      </c>
      <c r="B695" s="1">
        <v>3</v>
      </c>
      <c r="C695" s="1">
        <v>50</v>
      </c>
      <c r="D695" s="1">
        <v>5.5E-2</v>
      </c>
      <c r="E695" s="1">
        <v>0.04</v>
      </c>
      <c r="F695" s="1">
        <v>5</v>
      </c>
      <c r="G695" s="1">
        <v>1</v>
      </c>
      <c r="H695" s="1">
        <v>1.14116542362</v>
      </c>
      <c r="I695" s="1">
        <v>1.4101455175199999</v>
      </c>
      <c r="J695" s="1">
        <v>0.73977581030100004</v>
      </c>
      <c r="K695" s="1">
        <v>5860.0423179500003</v>
      </c>
      <c r="L695" s="1">
        <v>1699.1725642900001</v>
      </c>
      <c r="M695" s="1" t="s">
        <v>198</v>
      </c>
      <c r="N695" s="1" t="b">
        <v>1</v>
      </c>
    </row>
    <row r="696" spans="1:14" ht="19" customHeight="1" x14ac:dyDescent="0.3">
      <c r="A696">
        <v>691</v>
      </c>
      <c r="B696" s="1">
        <v>3</v>
      </c>
      <c r="C696" s="1">
        <v>50</v>
      </c>
      <c r="D696" s="1">
        <v>5.5E-2</v>
      </c>
      <c r="E696" s="1">
        <v>0.06</v>
      </c>
      <c r="F696" s="1">
        <v>-5</v>
      </c>
      <c r="G696" s="1">
        <v>0</v>
      </c>
      <c r="H696" s="1">
        <v>1.16879502333</v>
      </c>
      <c r="I696" s="1">
        <v>1.9216384229200001</v>
      </c>
      <c r="J696" s="1">
        <v>0.90463822463499999</v>
      </c>
      <c r="K696" s="1">
        <v>7098.3393218700003</v>
      </c>
      <c r="L696" s="1">
        <v>2077.8409222099999</v>
      </c>
      <c r="M696" s="1" t="s">
        <v>198</v>
      </c>
      <c r="N696" s="1" t="b">
        <v>1</v>
      </c>
    </row>
    <row r="697" spans="1:14" ht="19" customHeight="1" x14ac:dyDescent="0.3">
      <c r="A697">
        <v>692</v>
      </c>
      <c r="B697" s="1">
        <v>3</v>
      </c>
      <c r="C697" s="1">
        <v>50</v>
      </c>
      <c r="D697" s="1">
        <v>5.5E-2</v>
      </c>
      <c r="E697" s="1">
        <v>0.06</v>
      </c>
      <c r="F697" s="1">
        <v>-5</v>
      </c>
      <c r="G697" s="1">
        <v>1</v>
      </c>
      <c r="H697" s="1">
        <v>1.16879502333</v>
      </c>
      <c r="I697" s="1">
        <v>1.4412288171900001</v>
      </c>
      <c r="J697" s="1">
        <v>0.74180334420100003</v>
      </c>
      <c r="K697" s="1">
        <v>5994.89850871</v>
      </c>
      <c r="L697" s="1">
        <v>1703.82955621</v>
      </c>
      <c r="M697" s="1" t="s">
        <v>198</v>
      </c>
      <c r="N697" s="1" t="b">
        <v>1</v>
      </c>
    </row>
    <row r="698" spans="1:14" ht="19" customHeight="1" x14ac:dyDescent="0.3">
      <c r="A698">
        <v>693</v>
      </c>
      <c r="B698" s="1">
        <v>3</v>
      </c>
      <c r="C698" s="1">
        <v>50</v>
      </c>
      <c r="D698" s="1">
        <v>5.5E-2</v>
      </c>
      <c r="E698" s="1">
        <v>0.06</v>
      </c>
      <c r="F698" s="1">
        <v>0</v>
      </c>
      <c r="G698" s="1">
        <v>0</v>
      </c>
      <c r="H698" s="1">
        <v>1.19539099402</v>
      </c>
      <c r="I698" s="1">
        <v>1.9653653708900001</v>
      </c>
      <c r="J698" s="1">
        <v>0.89713822463500004</v>
      </c>
      <c r="K698" s="1">
        <v>7259.8622756499999</v>
      </c>
      <c r="L698" s="1">
        <v>2060.6143597099999</v>
      </c>
      <c r="M698" s="1" t="s">
        <v>198</v>
      </c>
      <c r="N698" s="1" t="b">
        <v>1</v>
      </c>
    </row>
    <row r="699" spans="1:14" ht="19" customHeight="1" x14ac:dyDescent="0.3">
      <c r="A699">
        <v>694</v>
      </c>
      <c r="B699" s="1">
        <v>3</v>
      </c>
      <c r="C699" s="1">
        <v>50</v>
      </c>
      <c r="D699" s="1">
        <v>5.5E-2</v>
      </c>
      <c r="E699" s="1">
        <v>0.06</v>
      </c>
      <c r="F699" s="1">
        <v>0</v>
      </c>
      <c r="G699" s="1">
        <v>1</v>
      </c>
      <c r="H699" s="1">
        <v>1.19539099402</v>
      </c>
      <c r="I699" s="1">
        <v>1.4740240281699999</v>
      </c>
      <c r="J699" s="1">
        <v>0.73565334420100004</v>
      </c>
      <c r="K699" s="1">
        <v>6131.3126290800001</v>
      </c>
      <c r="L699" s="1">
        <v>1689.7037749599999</v>
      </c>
      <c r="M699" s="1" t="s">
        <v>198</v>
      </c>
      <c r="N699" s="1" t="b">
        <v>1</v>
      </c>
    </row>
    <row r="700" spans="1:14" ht="19" customHeight="1" x14ac:dyDescent="0.3">
      <c r="A700">
        <v>695</v>
      </c>
      <c r="B700" s="1">
        <v>3</v>
      </c>
      <c r="C700" s="1">
        <v>50</v>
      </c>
      <c r="D700" s="1">
        <v>5.5E-2</v>
      </c>
      <c r="E700" s="1">
        <v>0.06</v>
      </c>
      <c r="F700" s="1">
        <v>5</v>
      </c>
      <c r="G700" s="1">
        <v>0</v>
      </c>
      <c r="H700" s="1">
        <v>1.16879502333</v>
      </c>
      <c r="I700" s="1">
        <v>1.9216384229200001</v>
      </c>
      <c r="J700" s="1">
        <v>0.90463822463499999</v>
      </c>
      <c r="K700" s="1">
        <v>7098.3393218700003</v>
      </c>
      <c r="L700" s="1">
        <v>2077.8409222099999</v>
      </c>
      <c r="M700" s="1" t="s">
        <v>198</v>
      </c>
      <c r="N700" s="1" t="b">
        <v>1</v>
      </c>
    </row>
    <row r="701" spans="1:14" ht="19" customHeight="1" x14ac:dyDescent="0.3">
      <c r="A701">
        <v>696</v>
      </c>
      <c r="B701" s="1">
        <v>3</v>
      </c>
      <c r="C701" s="1">
        <v>50</v>
      </c>
      <c r="D701" s="1">
        <v>5.5E-2</v>
      </c>
      <c r="E701" s="1">
        <v>0.06</v>
      </c>
      <c r="F701" s="1">
        <v>5</v>
      </c>
      <c r="G701" s="1">
        <v>1</v>
      </c>
      <c r="H701" s="1">
        <v>1.16879502333</v>
      </c>
      <c r="I701" s="1">
        <v>1.4412288171900001</v>
      </c>
      <c r="J701" s="1">
        <v>0.74180334420100003</v>
      </c>
      <c r="K701" s="1">
        <v>5994.89850871</v>
      </c>
      <c r="L701" s="1">
        <v>1703.82955621</v>
      </c>
      <c r="M701" s="1" t="s">
        <v>198</v>
      </c>
      <c r="N701" s="1" t="b">
        <v>1</v>
      </c>
    </row>
    <row r="702" spans="1:14" ht="19" customHeight="1" x14ac:dyDescent="0.3">
      <c r="A702">
        <v>697</v>
      </c>
      <c r="B702" s="1">
        <v>3</v>
      </c>
      <c r="C702" s="1">
        <v>50</v>
      </c>
      <c r="D702" s="1">
        <v>5.5E-2</v>
      </c>
      <c r="E702" s="1">
        <v>8.5000000000000006E-2</v>
      </c>
      <c r="F702" s="1">
        <v>-5</v>
      </c>
      <c r="G702" s="1">
        <v>0</v>
      </c>
      <c r="H702" s="1">
        <v>1.09816047782</v>
      </c>
      <c r="I702" s="1">
        <v>1.81568660466</v>
      </c>
      <c r="J702" s="1">
        <v>0.89831706389699995</v>
      </c>
      <c r="K702" s="1">
        <v>6692.7425175600001</v>
      </c>
      <c r="L702" s="1">
        <v>2063.3220061400002</v>
      </c>
      <c r="M702" s="1" t="s">
        <v>198</v>
      </c>
      <c r="N702" s="1" t="b">
        <v>1</v>
      </c>
    </row>
    <row r="703" spans="1:14" ht="19" customHeight="1" x14ac:dyDescent="0.3">
      <c r="A703">
        <v>698</v>
      </c>
      <c r="B703" s="1">
        <v>3</v>
      </c>
      <c r="C703" s="1">
        <v>50</v>
      </c>
      <c r="D703" s="1">
        <v>5.5E-2</v>
      </c>
      <c r="E703" s="1">
        <v>8.5000000000000006E-2</v>
      </c>
      <c r="F703" s="1">
        <v>-5</v>
      </c>
      <c r="G703" s="1">
        <v>1</v>
      </c>
      <c r="H703" s="1">
        <v>1.09816047782</v>
      </c>
      <c r="I703" s="1">
        <v>1.36176495349</v>
      </c>
      <c r="J703" s="1">
        <v>0.73661999239499998</v>
      </c>
      <c r="K703" s="1">
        <v>5650.1412250399999</v>
      </c>
      <c r="L703" s="1">
        <v>1691.9240450299999</v>
      </c>
      <c r="M703" s="1" t="s">
        <v>198</v>
      </c>
      <c r="N703" s="1" t="b">
        <v>1</v>
      </c>
    </row>
    <row r="704" spans="1:14" ht="19" customHeight="1" x14ac:dyDescent="0.3">
      <c r="A704">
        <v>699</v>
      </c>
      <c r="B704" s="1">
        <v>3</v>
      </c>
      <c r="C704" s="1">
        <v>50</v>
      </c>
      <c r="D704" s="1">
        <v>5.5E-2</v>
      </c>
      <c r="E704" s="1">
        <v>8.5000000000000006E-2</v>
      </c>
      <c r="F704" s="1">
        <v>0</v>
      </c>
      <c r="G704" s="1">
        <v>0</v>
      </c>
      <c r="H704" s="1">
        <v>1.1231491570100001</v>
      </c>
      <c r="I704" s="1">
        <v>1.8570026153800001</v>
      </c>
      <c r="J704" s="1">
        <v>0.89081706389699999</v>
      </c>
      <c r="K704" s="1">
        <v>6845.0361021999997</v>
      </c>
      <c r="L704" s="1">
        <v>2046.09544364</v>
      </c>
      <c r="M704" s="1" t="s">
        <v>198</v>
      </c>
      <c r="N704" s="1" t="b">
        <v>1</v>
      </c>
    </row>
    <row r="705" spans="1:14" ht="19" customHeight="1" x14ac:dyDescent="0.3">
      <c r="A705">
        <v>700</v>
      </c>
      <c r="B705" s="1">
        <v>3</v>
      </c>
      <c r="C705" s="1">
        <v>50</v>
      </c>
      <c r="D705" s="1">
        <v>5.5E-2</v>
      </c>
      <c r="E705" s="1">
        <v>8.5000000000000006E-2</v>
      </c>
      <c r="F705" s="1">
        <v>0</v>
      </c>
      <c r="G705" s="1">
        <v>1</v>
      </c>
      <c r="H705" s="1">
        <v>1.1231491570100001</v>
      </c>
      <c r="I705" s="1">
        <v>1.3927519615299999</v>
      </c>
      <c r="J705" s="1">
        <v>0.73046999239499999</v>
      </c>
      <c r="K705" s="1">
        <v>5778.7103816500003</v>
      </c>
      <c r="L705" s="1">
        <v>1677.7982637800001</v>
      </c>
      <c r="M705" s="1" t="s">
        <v>198</v>
      </c>
      <c r="N705" s="1" t="b">
        <v>1</v>
      </c>
    </row>
    <row r="706" spans="1:14" ht="19" customHeight="1" x14ac:dyDescent="0.3">
      <c r="A706">
        <v>701</v>
      </c>
      <c r="B706" s="1">
        <v>3</v>
      </c>
      <c r="C706" s="1">
        <v>50</v>
      </c>
      <c r="D706" s="1">
        <v>5.5E-2</v>
      </c>
      <c r="E706" s="1">
        <v>8.5000000000000006E-2</v>
      </c>
      <c r="F706" s="1">
        <v>5</v>
      </c>
      <c r="G706" s="1">
        <v>0</v>
      </c>
      <c r="H706" s="1">
        <v>1.09816047782</v>
      </c>
      <c r="I706" s="1">
        <v>1.81568660466</v>
      </c>
      <c r="J706" s="1">
        <v>0.89831706389699995</v>
      </c>
      <c r="K706" s="1">
        <v>6692.7425175600001</v>
      </c>
      <c r="L706" s="1">
        <v>2063.3220061400002</v>
      </c>
      <c r="M706" s="1" t="s">
        <v>198</v>
      </c>
      <c r="N706" s="1" t="b">
        <v>1</v>
      </c>
    </row>
    <row r="707" spans="1:14" ht="19" customHeight="1" x14ac:dyDescent="0.3">
      <c r="A707">
        <v>702</v>
      </c>
      <c r="B707" s="1">
        <v>3</v>
      </c>
      <c r="C707" s="1">
        <v>50</v>
      </c>
      <c r="D707" s="1">
        <v>5.5E-2</v>
      </c>
      <c r="E707" s="1">
        <v>8.5000000000000006E-2</v>
      </c>
      <c r="F707" s="1">
        <v>5</v>
      </c>
      <c r="G707" s="1">
        <v>1</v>
      </c>
      <c r="H707" s="1">
        <v>1.09816047782</v>
      </c>
      <c r="I707" s="1">
        <v>1.36176495349</v>
      </c>
      <c r="J707" s="1">
        <v>0.73661999239499998</v>
      </c>
      <c r="K707" s="1">
        <v>5650.1412250399999</v>
      </c>
      <c r="L707" s="1">
        <v>1691.9240450299999</v>
      </c>
      <c r="M707" s="1" t="s">
        <v>198</v>
      </c>
      <c r="N707" s="1" t="b">
        <v>1</v>
      </c>
    </row>
    <row r="708" spans="1:14" ht="19" customHeight="1" x14ac:dyDescent="0.3">
      <c r="A708">
        <v>703</v>
      </c>
      <c r="B708" s="1">
        <v>3</v>
      </c>
      <c r="C708" s="1">
        <v>70</v>
      </c>
      <c r="D708" s="1">
        <v>2.5000000000000001E-2</v>
      </c>
      <c r="E708" s="1">
        <v>0.04</v>
      </c>
      <c r="F708" s="1">
        <v>-5</v>
      </c>
      <c r="G708" s="1">
        <v>0</v>
      </c>
      <c r="H708" s="1">
        <v>1.2750617122300001</v>
      </c>
      <c r="I708" s="1">
        <v>2.0810384562799999</v>
      </c>
      <c r="J708" s="1">
        <v>0.91414814385099996</v>
      </c>
      <c r="K708" s="1">
        <v>15108.743446099999</v>
      </c>
      <c r="L708" s="1">
        <v>4115.3806751000002</v>
      </c>
      <c r="M708" s="1" t="s">
        <v>198</v>
      </c>
      <c r="N708" s="1" t="b">
        <v>1</v>
      </c>
    </row>
    <row r="709" spans="1:14" ht="19" customHeight="1" x14ac:dyDescent="0.3">
      <c r="A709">
        <v>704</v>
      </c>
      <c r="B709" s="1">
        <v>3</v>
      </c>
      <c r="C709" s="1">
        <v>70</v>
      </c>
      <c r="D709" s="1">
        <v>2.5000000000000001E-2</v>
      </c>
      <c r="E709" s="1">
        <v>0.04</v>
      </c>
      <c r="F709" s="1">
        <v>-5</v>
      </c>
      <c r="G709" s="1">
        <v>1</v>
      </c>
      <c r="H709" s="1">
        <v>1.2750617122300001</v>
      </c>
      <c r="I709" s="1">
        <v>1.56077884221</v>
      </c>
      <c r="J709" s="1">
        <v>0.74960147795800003</v>
      </c>
      <c r="K709" s="1">
        <v>12766.599695999999</v>
      </c>
      <c r="L709" s="1">
        <v>3374.6121535799998</v>
      </c>
      <c r="M709" s="1" t="s">
        <v>198</v>
      </c>
      <c r="N709" s="1" t="b">
        <v>1</v>
      </c>
    </row>
    <row r="710" spans="1:14" ht="19" customHeight="1" x14ac:dyDescent="0.3">
      <c r="A710">
        <v>705</v>
      </c>
      <c r="B710" s="1">
        <v>3</v>
      </c>
      <c r="C710" s="1">
        <v>70</v>
      </c>
      <c r="D710" s="1">
        <v>2.5000000000000001E-2</v>
      </c>
      <c r="E710" s="1">
        <v>0.04</v>
      </c>
      <c r="F710" s="1">
        <v>0</v>
      </c>
      <c r="G710" s="1">
        <v>0</v>
      </c>
      <c r="H710" s="1">
        <v>1.30407578506</v>
      </c>
      <c r="I710" s="1">
        <v>2.1283925574499998</v>
      </c>
      <c r="J710" s="1">
        <v>0.90664814385100001</v>
      </c>
      <c r="K710" s="1">
        <v>15452.543419400001</v>
      </c>
      <c r="L710" s="1">
        <v>4081.6166125999998</v>
      </c>
      <c r="M710" s="1" t="s">
        <v>198</v>
      </c>
      <c r="N710" s="1" t="b">
        <v>1</v>
      </c>
    </row>
    <row r="711" spans="1:14" ht="19" customHeight="1" x14ac:dyDescent="0.3">
      <c r="A711">
        <v>706</v>
      </c>
      <c r="B711" s="1">
        <v>3</v>
      </c>
      <c r="C711" s="1">
        <v>70</v>
      </c>
      <c r="D711" s="1">
        <v>2.5000000000000001E-2</v>
      </c>
      <c r="E711" s="1">
        <v>0.04</v>
      </c>
      <c r="F711" s="1">
        <v>0</v>
      </c>
      <c r="G711" s="1">
        <v>1</v>
      </c>
      <c r="H711" s="1">
        <v>1.30407578506</v>
      </c>
      <c r="I711" s="1">
        <v>1.5962944180900001</v>
      </c>
      <c r="J711" s="1">
        <v>0.74345147795800004</v>
      </c>
      <c r="K711" s="1">
        <v>13057.1041083</v>
      </c>
      <c r="L711" s="1">
        <v>3346.9256223299999</v>
      </c>
      <c r="M711" s="1" t="s">
        <v>198</v>
      </c>
      <c r="N711" s="1" t="b">
        <v>1</v>
      </c>
    </row>
    <row r="712" spans="1:14" ht="19" customHeight="1" x14ac:dyDescent="0.3">
      <c r="A712">
        <v>707</v>
      </c>
      <c r="B712" s="1">
        <v>3</v>
      </c>
      <c r="C712" s="1">
        <v>70</v>
      </c>
      <c r="D712" s="1">
        <v>2.5000000000000001E-2</v>
      </c>
      <c r="E712" s="1">
        <v>0.04</v>
      </c>
      <c r="F712" s="1">
        <v>5</v>
      </c>
      <c r="G712" s="1">
        <v>0</v>
      </c>
      <c r="H712" s="1">
        <v>1.2750617122300001</v>
      </c>
      <c r="I712" s="1">
        <v>2.0810384562799999</v>
      </c>
      <c r="J712" s="1">
        <v>0.91414814385099996</v>
      </c>
      <c r="K712" s="1">
        <v>15108.743446099999</v>
      </c>
      <c r="L712" s="1">
        <v>4115.3806751000002</v>
      </c>
      <c r="M712" s="1" t="s">
        <v>198</v>
      </c>
      <c r="N712" s="1" t="b">
        <v>1</v>
      </c>
    </row>
    <row r="713" spans="1:14" ht="19" customHeight="1" x14ac:dyDescent="0.3">
      <c r="A713">
        <v>708</v>
      </c>
      <c r="B713" s="1">
        <v>3</v>
      </c>
      <c r="C713" s="1">
        <v>70</v>
      </c>
      <c r="D713" s="1">
        <v>2.5000000000000001E-2</v>
      </c>
      <c r="E713" s="1">
        <v>0.04</v>
      </c>
      <c r="F713" s="1">
        <v>5</v>
      </c>
      <c r="G713" s="1">
        <v>1</v>
      </c>
      <c r="H713" s="1">
        <v>1.2750617122300001</v>
      </c>
      <c r="I713" s="1">
        <v>1.56077884221</v>
      </c>
      <c r="J713" s="1">
        <v>0.74960147795800003</v>
      </c>
      <c r="K713" s="1">
        <v>12766.599695999999</v>
      </c>
      <c r="L713" s="1">
        <v>3374.6121535799998</v>
      </c>
      <c r="M713" s="1" t="s">
        <v>198</v>
      </c>
      <c r="N713" s="1" t="b">
        <v>1</v>
      </c>
    </row>
    <row r="714" spans="1:14" ht="19" customHeight="1" x14ac:dyDescent="0.3">
      <c r="A714">
        <v>709</v>
      </c>
      <c r="B714" s="1">
        <v>3</v>
      </c>
      <c r="C714" s="1">
        <v>70</v>
      </c>
      <c r="D714" s="1">
        <v>2.5000000000000001E-2</v>
      </c>
      <c r="E714" s="1">
        <v>0.06</v>
      </c>
      <c r="F714" s="1">
        <v>-5</v>
      </c>
      <c r="G714" s="1">
        <v>0</v>
      </c>
      <c r="H714" s="1">
        <v>1.31567672587</v>
      </c>
      <c r="I714" s="1">
        <v>2.1419609767300001</v>
      </c>
      <c r="J714" s="1">
        <v>0.91778282469600003</v>
      </c>
      <c r="K714" s="1">
        <v>15565.852732400001</v>
      </c>
      <c r="L714" s="1">
        <v>4131.7435539300004</v>
      </c>
      <c r="M714" s="1" t="s">
        <v>198</v>
      </c>
      <c r="N714" s="1" t="b">
        <v>1</v>
      </c>
    </row>
    <row r="715" spans="1:14" ht="19" customHeight="1" x14ac:dyDescent="0.3">
      <c r="A715">
        <v>710</v>
      </c>
      <c r="B715" s="1">
        <v>3</v>
      </c>
      <c r="C715" s="1">
        <v>70</v>
      </c>
      <c r="D715" s="1">
        <v>2.5000000000000001E-2</v>
      </c>
      <c r="E715" s="1">
        <v>0.06</v>
      </c>
      <c r="F715" s="1">
        <v>-5</v>
      </c>
      <c r="G715" s="1">
        <v>1</v>
      </c>
      <c r="H715" s="1">
        <v>1.31567672587</v>
      </c>
      <c r="I715" s="1">
        <v>1.6064707325500001</v>
      </c>
      <c r="J715" s="1">
        <v>0.75258191625100002</v>
      </c>
      <c r="K715" s="1">
        <v>13155.1425894</v>
      </c>
      <c r="L715" s="1">
        <v>3388.0297142200002</v>
      </c>
      <c r="M715" s="1" t="s">
        <v>198</v>
      </c>
      <c r="N715" s="1" t="b">
        <v>1</v>
      </c>
    </row>
    <row r="716" spans="1:14" ht="19" customHeight="1" x14ac:dyDescent="0.3">
      <c r="A716">
        <v>711</v>
      </c>
      <c r="B716" s="1">
        <v>3</v>
      </c>
      <c r="C716" s="1">
        <v>70</v>
      </c>
      <c r="D716" s="1">
        <v>2.5000000000000001E-2</v>
      </c>
      <c r="E716" s="1">
        <v>0.06</v>
      </c>
      <c r="F716" s="1">
        <v>0</v>
      </c>
      <c r="G716" s="1">
        <v>0</v>
      </c>
      <c r="H716" s="1">
        <v>1.34561499472</v>
      </c>
      <c r="I716" s="1">
        <v>2.1907013719399999</v>
      </c>
      <c r="J716" s="1">
        <v>0.91028282469599997</v>
      </c>
      <c r="K716" s="1">
        <v>15920.054243099999</v>
      </c>
      <c r="L716" s="1">
        <v>4097.9794914300001</v>
      </c>
      <c r="M716" s="1" t="s">
        <v>198</v>
      </c>
      <c r="N716" s="1" t="b">
        <v>1</v>
      </c>
    </row>
    <row r="717" spans="1:14" ht="19" customHeight="1" x14ac:dyDescent="0.3">
      <c r="A717">
        <v>712</v>
      </c>
      <c r="B717" s="1">
        <v>3</v>
      </c>
      <c r="C717" s="1">
        <v>70</v>
      </c>
      <c r="D717" s="1">
        <v>2.5000000000000001E-2</v>
      </c>
      <c r="E717" s="1">
        <v>0.06</v>
      </c>
      <c r="F717" s="1">
        <v>0</v>
      </c>
      <c r="G717" s="1">
        <v>1</v>
      </c>
      <c r="H717" s="1">
        <v>1.34561499472</v>
      </c>
      <c r="I717" s="1">
        <v>1.6430260289500001</v>
      </c>
      <c r="J717" s="1">
        <v>0.74643191625100003</v>
      </c>
      <c r="K717" s="1">
        <v>13454.488308399999</v>
      </c>
      <c r="L717" s="1">
        <v>3360.3431829699998</v>
      </c>
      <c r="M717" s="1" t="s">
        <v>198</v>
      </c>
      <c r="N717" s="1" t="b">
        <v>1</v>
      </c>
    </row>
    <row r="718" spans="1:14" ht="19" customHeight="1" x14ac:dyDescent="0.3">
      <c r="A718">
        <v>713</v>
      </c>
      <c r="B718" s="1">
        <v>3</v>
      </c>
      <c r="C718" s="1">
        <v>70</v>
      </c>
      <c r="D718" s="1">
        <v>2.5000000000000001E-2</v>
      </c>
      <c r="E718" s="1">
        <v>0.06</v>
      </c>
      <c r="F718" s="1">
        <v>5</v>
      </c>
      <c r="G718" s="1">
        <v>0</v>
      </c>
      <c r="H718" s="1">
        <v>1.31567672587</v>
      </c>
      <c r="I718" s="1">
        <v>2.1419609767300001</v>
      </c>
      <c r="J718" s="1">
        <v>0.91778282469600003</v>
      </c>
      <c r="K718" s="1">
        <v>15565.852732400001</v>
      </c>
      <c r="L718" s="1">
        <v>4131.7435539300004</v>
      </c>
      <c r="M718" s="1" t="s">
        <v>198</v>
      </c>
      <c r="N718" s="1" t="b">
        <v>1</v>
      </c>
    </row>
    <row r="719" spans="1:14" ht="19" customHeight="1" x14ac:dyDescent="0.3">
      <c r="A719">
        <v>714</v>
      </c>
      <c r="B719" s="1">
        <v>3</v>
      </c>
      <c r="C719" s="1">
        <v>70</v>
      </c>
      <c r="D719" s="1">
        <v>2.5000000000000001E-2</v>
      </c>
      <c r="E719" s="1">
        <v>0.06</v>
      </c>
      <c r="F719" s="1">
        <v>5</v>
      </c>
      <c r="G719" s="1">
        <v>1</v>
      </c>
      <c r="H719" s="1">
        <v>1.31567672587</v>
      </c>
      <c r="I719" s="1">
        <v>1.6064707325500001</v>
      </c>
      <c r="J719" s="1">
        <v>0.75258191625100002</v>
      </c>
      <c r="K719" s="1">
        <v>13155.1425894</v>
      </c>
      <c r="L719" s="1">
        <v>3388.0297142200002</v>
      </c>
      <c r="M719" s="1" t="s">
        <v>198</v>
      </c>
      <c r="N719" s="1" t="b">
        <v>1</v>
      </c>
    </row>
    <row r="720" spans="1:14" ht="19" customHeight="1" x14ac:dyDescent="0.3">
      <c r="A720">
        <v>715</v>
      </c>
      <c r="B720" s="1">
        <v>3</v>
      </c>
      <c r="C720" s="1">
        <v>70</v>
      </c>
      <c r="D720" s="1">
        <v>2.5000000000000001E-2</v>
      </c>
      <c r="E720" s="1">
        <v>8.5000000000000006E-2</v>
      </c>
      <c r="F720" s="1">
        <v>-5</v>
      </c>
      <c r="G720" s="1">
        <v>0</v>
      </c>
      <c r="H720" s="1">
        <v>1.21184521693</v>
      </c>
      <c r="I720" s="1">
        <v>1.98621371332</v>
      </c>
      <c r="J720" s="1">
        <v>0.90849083233000005</v>
      </c>
      <c r="K720" s="1">
        <v>14397.261546600001</v>
      </c>
      <c r="L720" s="1">
        <v>4089.91216579</v>
      </c>
      <c r="M720" s="1" t="s">
        <v>198</v>
      </c>
      <c r="N720" s="1" t="b">
        <v>1</v>
      </c>
    </row>
    <row r="721" spans="1:14" ht="19" customHeight="1" x14ac:dyDescent="0.3">
      <c r="A721">
        <v>716</v>
      </c>
      <c r="B721" s="1">
        <v>3</v>
      </c>
      <c r="C721" s="1">
        <v>70</v>
      </c>
      <c r="D721" s="1">
        <v>2.5000000000000001E-2</v>
      </c>
      <c r="E721" s="1">
        <v>8.5000000000000006E-2</v>
      </c>
      <c r="F721" s="1">
        <v>-5</v>
      </c>
      <c r="G721" s="1">
        <v>1</v>
      </c>
      <c r="H721" s="1">
        <v>1.21184521693</v>
      </c>
      <c r="I721" s="1">
        <v>1.48966028499</v>
      </c>
      <c r="J721" s="1">
        <v>0.74496248250999997</v>
      </c>
      <c r="K721" s="1">
        <v>12161.8400814</v>
      </c>
      <c r="L721" s="1">
        <v>3353.7279759500002</v>
      </c>
      <c r="M721" s="1" t="s">
        <v>198</v>
      </c>
      <c r="N721" s="1" t="b">
        <v>1</v>
      </c>
    </row>
    <row r="722" spans="1:14" ht="19" customHeight="1" x14ac:dyDescent="0.3">
      <c r="A722">
        <v>717</v>
      </c>
      <c r="B722" s="1">
        <v>3</v>
      </c>
      <c r="C722" s="1">
        <v>70</v>
      </c>
      <c r="D722" s="1">
        <v>2.5000000000000001E-2</v>
      </c>
      <c r="E722" s="1">
        <v>8.5000000000000006E-2</v>
      </c>
      <c r="F722" s="1">
        <v>0</v>
      </c>
      <c r="G722" s="1">
        <v>0</v>
      </c>
      <c r="H722" s="1">
        <v>1.2394207962399999</v>
      </c>
      <c r="I722" s="1">
        <v>2.0314100742200001</v>
      </c>
      <c r="J722" s="1">
        <v>0.90099083232999999</v>
      </c>
      <c r="K722" s="1">
        <v>14724.871725000001</v>
      </c>
      <c r="L722" s="1">
        <v>4056.1481032900001</v>
      </c>
      <c r="M722" s="1" t="s">
        <v>198</v>
      </c>
      <c r="N722" s="1" t="b">
        <v>1</v>
      </c>
    </row>
    <row r="723" spans="1:14" ht="19" customHeight="1" x14ac:dyDescent="0.3">
      <c r="A723">
        <v>718</v>
      </c>
      <c r="B723" s="1">
        <v>3</v>
      </c>
      <c r="C723" s="1">
        <v>70</v>
      </c>
      <c r="D723" s="1">
        <v>2.5000000000000001E-2</v>
      </c>
      <c r="E723" s="1">
        <v>8.5000000000000006E-2</v>
      </c>
      <c r="F723" s="1">
        <v>0</v>
      </c>
      <c r="G723" s="1">
        <v>1</v>
      </c>
      <c r="H723" s="1">
        <v>1.2394207962399999</v>
      </c>
      <c r="I723" s="1">
        <v>1.5235575556700001</v>
      </c>
      <c r="J723" s="1">
        <v>0.73881248250999998</v>
      </c>
      <c r="K723" s="1">
        <v>12438.583167999999</v>
      </c>
      <c r="L723" s="1">
        <v>3326.0414446999998</v>
      </c>
      <c r="M723" s="1" t="s">
        <v>198</v>
      </c>
      <c r="N723" s="1" t="b">
        <v>1</v>
      </c>
    </row>
    <row r="724" spans="1:14" ht="19" customHeight="1" x14ac:dyDescent="0.3">
      <c r="A724">
        <v>719</v>
      </c>
      <c r="B724" s="1">
        <v>3</v>
      </c>
      <c r="C724" s="1">
        <v>70</v>
      </c>
      <c r="D724" s="1">
        <v>2.5000000000000001E-2</v>
      </c>
      <c r="E724" s="1">
        <v>8.5000000000000006E-2</v>
      </c>
      <c r="F724" s="1">
        <v>5</v>
      </c>
      <c r="G724" s="1">
        <v>0</v>
      </c>
      <c r="H724" s="1">
        <v>1.21184521693</v>
      </c>
      <c r="I724" s="1">
        <v>1.98621371332</v>
      </c>
      <c r="J724" s="1">
        <v>0.90849083233000005</v>
      </c>
      <c r="K724" s="1">
        <v>14397.261546600001</v>
      </c>
      <c r="L724" s="1">
        <v>4089.91216579</v>
      </c>
      <c r="M724" s="1" t="s">
        <v>198</v>
      </c>
      <c r="N724" s="1" t="b">
        <v>1</v>
      </c>
    </row>
    <row r="725" spans="1:14" ht="19" customHeight="1" x14ac:dyDescent="0.3">
      <c r="A725">
        <v>720</v>
      </c>
      <c r="B725" s="1">
        <v>3</v>
      </c>
      <c r="C725" s="1">
        <v>70</v>
      </c>
      <c r="D725" s="1">
        <v>2.5000000000000001E-2</v>
      </c>
      <c r="E725" s="1">
        <v>8.5000000000000006E-2</v>
      </c>
      <c r="F725" s="1">
        <v>5</v>
      </c>
      <c r="G725" s="1">
        <v>1</v>
      </c>
      <c r="H725" s="1">
        <v>1.21184521693</v>
      </c>
      <c r="I725" s="1">
        <v>1.48966028499</v>
      </c>
      <c r="J725" s="1">
        <v>0.74496248250999997</v>
      </c>
      <c r="K725" s="1">
        <v>12161.8400814</v>
      </c>
      <c r="L725" s="1">
        <v>3353.7279759500002</v>
      </c>
      <c r="M725" s="1" t="s">
        <v>198</v>
      </c>
      <c r="N725" s="1" t="b">
        <v>1</v>
      </c>
    </row>
    <row r="726" spans="1:14" ht="19" customHeight="1" x14ac:dyDescent="0.3">
      <c r="A726">
        <v>721</v>
      </c>
      <c r="B726" s="1">
        <v>3</v>
      </c>
      <c r="C726" s="1">
        <v>70</v>
      </c>
      <c r="D726" s="1">
        <v>0.04</v>
      </c>
      <c r="E726" s="1">
        <v>0.04</v>
      </c>
      <c r="F726" s="1">
        <v>-5</v>
      </c>
      <c r="G726" s="1">
        <v>0</v>
      </c>
      <c r="H726" s="1">
        <v>1.28105052569</v>
      </c>
      <c r="I726" s="1">
        <v>2.0900216764600001</v>
      </c>
      <c r="J726" s="1">
        <v>0.91468408914800003</v>
      </c>
      <c r="K726" s="1">
        <v>15176.14567</v>
      </c>
      <c r="L726" s="1">
        <v>4117.7934338300001</v>
      </c>
      <c r="M726" s="1" t="s">
        <v>198</v>
      </c>
      <c r="N726" s="1" t="b">
        <v>1</v>
      </c>
    </row>
    <row r="727" spans="1:14" ht="19" customHeight="1" x14ac:dyDescent="0.3">
      <c r="A727">
        <v>722</v>
      </c>
      <c r="B727" s="1">
        <v>3</v>
      </c>
      <c r="C727" s="1">
        <v>70</v>
      </c>
      <c r="D727" s="1">
        <v>0.04</v>
      </c>
      <c r="E727" s="1">
        <v>0.04</v>
      </c>
      <c r="F727" s="1">
        <v>-5</v>
      </c>
      <c r="G727" s="1">
        <v>1</v>
      </c>
      <c r="H727" s="1">
        <v>1.28105052569</v>
      </c>
      <c r="I727" s="1">
        <v>1.5675162573400001</v>
      </c>
      <c r="J727" s="1">
        <v>0.75004095310100005</v>
      </c>
      <c r="K727" s="1">
        <v>12823.891586399999</v>
      </c>
      <c r="L727" s="1">
        <v>3376.59061574</v>
      </c>
      <c r="M727" s="1" t="s">
        <v>198</v>
      </c>
      <c r="N727" s="1" t="b">
        <v>1</v>
      </c>
    </row>
    <row r="728" spans="1:14" ht="19" customHeight="1" x14ac:dyDescent="0.3">
      <c r="A728">
        <v>723</v>
      </c>
      <c r="B728" s="1">
        <v>3</v>
      </c>
      <c r="C728" s="1">
        <v>70</v>
      </c>
      <c r="D728" s="1">
        <v>0.04</v>
      </c>
      <c r="E728" s="1">
        <v>0.04</v>
      </c>
      <c r="F728" s="1">
        <v>0</v>
      </c>
      <c r="G728" s="1">
        <v>0</v>
      </c>
      <c r="H728" s="1">
        <v>1.31020087417</v>
      </c>
      <c r="I728" s="1">
        <v>2.1375801911100001</v>
      </c>
      <c r="J728" s="1">
        <v>0.90718408914799997</v>
      </c>
      <c r="K728" s="1">
        <v>15521.4793832</v>
      </c>
      <c r="L728" s="1">
        <v>4084.0293713299998</v>
      </c>
      <c r="M728" s="1" t="s">
        <v>198</v>
      </c>
      <c r="N728" s="1" t="b">
        <v>1</v>
      </c>
    </row>
    <row r="729" spans="1:14" ht="19" customHeight="1" x14ac:dyDescent="0.3">
      <c r="A729">
        <v>724</v>
      </c>
      <c r="B729" s="1">
        <v>3</v>
      </c>
      <c r="C729" s="1">
        <v>70</v>
      </c>
      <c r="D729" s="1">
        <v>0.04</v>
      </c>
      <c r="E729" s="1">
        <v>0.04</v>
      </c>
      <c r="F729" s="1">
        <v>0</v>
      </c>
      <c r="G729" s="1">
        <v>1</v>
      </c>
      <c r="H729" s="1">
        <v>1.31020087417</v>
      </c>
      <c r="I729" s="1">
        <v>1.60318514333</v>
      </c>
      <c r="J729" s="1">
        <v>0.74389095310099995</v>
      </c>
      <c r="K729" s="1">
        <v>13115.699677500001</v>
      </c>
      <c r="L729" s="1">
        <v>3348.9040844900001</v>
      </c>
      <c r="M729" s="1" t="s">
        <v>198</v>
      </c>
      <c r="N729" s="1" t="b">
        <v>1</v>
      </c>
    </row>
    <row r="730" spans="1:14" ht="19" customHeight="1" x14ac:dyDescent="0.3">
      <c r="A730">
        <v>725</v>
      </c>
      <c r="B730" s="1">
        <v>3</v>
      </c>
      <c r="C730" s="1">
        <v>70</v>
      </c>
      <c r="D730" s="1">
        <v>0.04</v>
      </c>
      <c r="E730" s="1">
        <v>0.04</v>
      </c>
      <c r="F730" s="1">
        <v>5</v>
      </c>
      <c r="G730" s="1">
        <v>0</v>
      </c>
      <c r="H730" s="1">
        <v>1.28105052569</v>
      </c>
      <c r="I730" s="1">
        <v>2.0900216764600001</v>
      </c>
      <c r="J730" s="1">
        <v>0.91468408914800003</v>
      </c>
      <c r="K730" s="1">
        <v>15176.14567</v>
      </c>
      <c r="L730" s="1">
        <v>4117.7934338300001</v>
      </c>
      <c r="M730" s="1" t="s">
        <v>198</v>
      </c>
      <c r="N730" s="1" t="b">
        <v>1</v>
      </c>
    </row>
    <row r="731" spans="1:14" ht="19" customHeight="1" x14ac:dyDescent="0.3">
      <c r="A731">
        <v>726</v>
      </c>
      <c r="B731" s="1">
        <v>3</v>
      </c>
      <c r="C731" s="1">
        <v>70</v>
      </c>
      <c r="D731" s="1">
        <v>0.04</v>
      </c>
      <c r="E731" s="1">
        <v>0.04</v>
      </c>
      <c r="F731" s="1">
        <v>5</v>
      </c>
      <c r="G731" s="1">
        <v>1</v>
      </c>
      <c r="H731" s="1">
        <v>1.28105052569</v>
      </c>
      <c r="I731" s="1">
        <v>1.5675162573400001</v>
      </c>
      <c r="J731" s="1">
        <v>0.75004095310100005</v>
      </c>
      <c r="K731" s="1">
        <v>12823.891586399999</v>
      </c>
      <c r="L731" s="1">
        <v>3376.59061574</v>
      </c>
      <c r="M731" s="1" t="s">
        <v>198</v>
      </c>
      <c r="N731" s="1" t="b">
        <v>1</v>
      </c>
    </row>
    <row r="732" spans="1:14" ht="19" customHeight="1" x14ac:dyDescent="0.3">
      <c r="A732">
        <v>727</v>
      </c>
      <c r="B732" s="1">
        <v>3</v>
      </c>
      <c r="C732" s="1">
        <v>70</v>
      </c>
      <c r="D732" s="1">
        <v>0.04</v>
      </c>
      <c r="E732" s="1">
        <v>0.06</v>
      </c>
      <c r="F732" s="1">
        <v>-5</v>
      </c>
      <c r="G732" s="1">
        <v>0</v>
      </c>
      <c r="H732" s="1">
        <v>1.3222463412400001</v>
      </c>
      <c r="I732" s="1">
        <v>2.1518153997899998</v>
      </c>
      <c r="J732" s="1">
        <v>0.91837074657600004</v>
      </c>
      <c r="K732" s="1">
        <v>15639.791700399999</v>
      </c>
      <c r="L732" s="1">
        <v>4134.3903047399999</v>
      </c>
      <c r="M732" s="1" t="s">
        <v>198</v>
      </c>
      <c r="N732" s="1" t="b">
        <v>1</v>
      </c>
    </row>
    <row r="733" spans="1:14" ht="19" customHeight="1" x14ac:dyDescent="0.3">
      <c r="A733">
        <v>728</v>
      </c>
      <c r="B733" s="1">
        <v>3</v>
      </c>
      <c r="C733" s="1">
        <v>70</v>
      </c>
      <c r="D733" s="1">
        <v>0.04</v>
      </c>
      <c r="E733" s="1">
        <v>0.06</v>
      </c>
      <c r="F733" s="1">
        <v>-5</v>
      </c>
      <c r="G733" s="1">
        <v>1</v>
      </c>
      <c r="H733" s="1">
        <v>1.3222463412400001</v>
      </c>
      <c r="I733" s="1">
        <v>1.61386154985</v>
      </c>
      <c r="J733" s="1">
        <v>0.75306401219200003</v>
      </c>
      <c r="K733" s="1">
        <v>13217.9907122</v>
      </c>
      <c r="L733" s="1">
        <v>3390.2000498900002</v>
      </c>
      <c r="M733" s="1" t="s">
        <v>198</v>
      </c>
      <c r="N733" s="1" t="b">
        <v>1</v>
      </c>
    </row>
    <row r="734" spans="1:14" ht="19" customHeight="1" x14ac:dyDescent="0.3">
      <c r="A734">
        <v>729</v>
      </c>
      <c r="B734" s="1">
        <v>3</v>
      </c>
      <c r="C734" s="1">
        <v>70</v>
      </c>
      <c r="D734" s="1">
        <v>0.04</v>
      </c>
      <c r="E734" s="1">
        <v>0.06</v>
      </c>
      <c r="F734" s="1">
        <v>0</v>
      </c>
      <c r="G734" s="1">
        <v>0</v>
      </c>
      <c r="H734" s="1">
        <v>1.3523341019099999</v>
      </c>
      <c r="I734" s="1">
        <v>2.20078003273</v>
      </c>
      <c r="J734" s="1">
        <v>0.91087074657599998</v>
      </c>
      <c r="K734" s="1">
        <v>15995.675694899999</v>
      </c>
      <c r="L734" s="1">
        <v>4100.6262422399996</v>
      </c>
      <c r="M734" s="1" t="s">
        <v>198</v>
      </c>
      <c r="N734" s="1" t="b">
        <v>1</v>
      </c>
    </row>
    <row r="735" spans="1:14" ht="19" customHeight="1" x14ac:dyDescent="0.3">
      <c r="A735">
        <v>730</v>
      </c>
      <c r="B735" s="1">
        <v>3</v>
      </c>
      <c r="C735" s="1">
        <v>70</v>
      </c>
      <c r="D735" s="1">
        <v>0.04</v>
      </c>
      <c r="E735" s="1">
        <v>0.06</v>
      </c>
      <c r="F735" s="1">
        <v>0</v>
      </c>
      <c r="G735" s="1">
        <v>1</v>
      </c>
      <c r="H735" s="1">
        <v>1.3523341019099999</v>
      </c>
      <c r="I735" s="1">
        <v>1.65058502455</v>
      </c>
      <c r="J735" s="1">
        <v>0.74691401219200004</v>
      </c>
      <c r="K735" s="1">
        <v>13518.766542400001</v>
      </c>
      <c r="L735" s="1">
        <v>3362.5135186399998</v>
      </c>
      <c r="M735" s="1" t="s">
        <v>198</v>
      </c>
      <c r="N735" s="1" t="b">
        <v>1</v>
      </c>
    </row>
    <row r="736" spans="1:14" ht="19" customHeight="1" x14ac:dyDescent="0.3">
      <c r="A736">
        <v>731</v>
      </c>
      <c r="B736" s="1">
        <v>3</v>
      </c>
      <c r="C736" s="1">
        <v>70</v>
      </c>
      <c r="D736" s="1">
        <v>0.04</v>
      </c>
      <c r="E736" s="1">
        <v>0.06</v>
      </c>
      <c r="F736" s="1">
        <v>5</v>
      </c>
      <c r="G736" s="1">
        <v>0</v>
      </c>
      <c r="H736" s="1">
        <v>1.3222463412400001</v>
      </c>
      <c r="I736" s="1">
        <v>2.1518153997899998</v>
      </c>
      <c r="J736" s="1">
        <v>0.91837074657600004</v>
      </c>
      <c r="K736" s="1">
        <v>15639.791700399999</v>
      </c>
      <c r="L736" s="1">
        <v>4134.3903047399999</v>
      </c>
      <c r="M736" s="1" t="s">
        <v>198</v>
      </c>
      <c r="N736" s="1" t="b">
        <v>1</v>
      </c>
    </row>
    <row r="737" spans="1:14" ht="19" customHeight="1" x14ac:dyDescent="0.3">
      <c r="A737">
        <v>732</v>
      </c>
      <c r="B737" s="1">
        <v>3</v>
      </c>
      <c r="C737" s="1">
        <v>70</v>
      </c>
      <c r="D737" s="1">
        <v>0.04</v>
      </c>
      <c r="E737" s="1">
        <v>0.06</v>
      </c>
      <c r="F737" s="1">
        <v>5</v>
      </c>
      <c r="G737" s="1">
        <v>1</v>
      </c>
      <c r="H737" s="1">
        <v>1.3222463412400001</v>
      </c>
      <c r="I737" s="1">
        <v>1.61386154985</v>
      </c>
      <c r="J737" s="1">
        <v>0.75306401219200003</v>
      </c>
      <c r="K737" s="1">
        <v>13217.9907122</v>
      </c>
      <c r="L737" s="1">
        <v>3390.2000498900002</v>
      </c>
      <c r="M737" s="1" t="s">
        <v>198</v>
      </c>
      <c r="N737" s="1" t="b">
        <v>1</v>
      </c>
    </row>
    <row r="738" spans="1:14" ht="19" customHeight="1" x14ac:dyDescent="0.3">
      <c r="A738">
        <v>733</v>
      </c>
      <c r="B738" s="1">
        <v>3</v>
      </c>
      <c r="C738" s="1">
        <v>70</v>
      </c>
      <c r="D738" s="1">
        <v>0.04</v>
      </c>
      <c r="E738" s="1">
        <v>8.5000000000000006E-2</v>
      </c>
      <c r="F738" s="1">
        <v>-5</v>
      </c>
      <c r="G738" s="1">
        <v>0</v>
      </c>
      <c r="H738" s="1">
        <v>1.21693002325</v>
      </c>
      <c r="I738" s="1">
        <v>1.9938409228</v>
      </c>
      <c r="J738" s="1">
        <v>0.90894587706499996</v>
      </c>
      <c r="K738" s="1">
        <v>14454.4894528</v>
      </c>
      <c r="L738" s="1">
        <v>4091.9607203099999</v>
      </c>
      <c r="M738" s="1" t="s">
        <v>198</v>
      </c>
      <c r="N738" s="1" t="b">
        <v>1</v>
      </c>
    </row>
    <row r="739" spans="1:14" ht="19" customHeight="1" x14ac:dyDescent="0.3">
      <c r="A739">
        <v>734</v>
      </c>
      <c r="B739" s="1">
        <v>3</v>
      </c>
      <c r="C739" s="1">
        <v>70</v>
      </c>
      <c r="D739" s="1">
        <v>0.04</v>
      </c>
      <c r="E739" s="1">
        <v>8.5000000000000006E-2</v>
      </c>
      <c r="F739" s="1">
        <v>-5</v>
      </c>
      <c r="G739" s="1">
        <v>1</v>
      </c>
      <c r="H739" s="1">
        <v>1.21693002325</v>
      </c>
      <c r="I739" s="1">
        <v>1.4953806920999999</v>
      </c>
      <c r="J739" s="1">
        <v>0.74533561919299995</v>
      </c>
      <c r="K739" s="1">
        <v>12210.4838017</v>
      </c>
      <c r="L739" s="1">
        <v>3355.40779066</v>
      </c>
      <c r="M739" s="1" t="s">
        <v>198</v>
      </c>
      <c r="N739" s="1" t="b">
        <v>1</v>
      </c>
    </row>
    <row r="740" spans="1:14" ht="19" customHeight="1" x14ac:dyDescent="0.3">
      <c r="A740">
        <v>735</v>
      </c>
      <c r="B740" s="1">
        <v>3</v>
      </c>
      <c r="C740" s="1">
        <v>70</v>
      </c>
      <c r="D740" s="1">
        <v>0.04</v>
      </c>
      <c r="E740" s="1">
        <v>8.5000000000000006E-2</v>
      </c>
      <c r="F740" s="1">
        <v>0</v>
      </c>
      <c r="G740" s="1">
        <v>0</v>
      </c>
      <c r="H740" s="1">
        <v>1.2446213075000001</v>
      </c>
      <c r="I740" s="1">
        <v>2.0392108411200001</v>
      </c>
      <c r="J740" s="1">
        <v>0.90144587706500001</v>
      </c>
      <c r="K740" s="1">
        <v>14783.4018541</v>
      </c>
      <c r="L740" s="1">
        <v>4058.19665781</v>
      </c>
      <c r="M740" s="1" t="s">
        <v>198</v>
      </c>
      <c r="N740" s="1" t="b">
        <v>1</v>
      </c>
    </row>
    <row r="741" spans="1:14" ht="19" customHeight="1" x14ac:dyDescent="0.3">
      <c r="A741">
        <v>736</v>
      </c>
      <c r="B741" s="1">
        <v>3</v>
      </c>
      <c r="C741" s="1">
        <v>70</v>
      </c>
      <c r="D741" s="1">
        <v>0.04</v>
      </c>
      <c r="E741" s="1">
        <v>8.5000000000000006E-2</v>
      </c>
      <c r="F741" s="1">
        <v>0</v>
      </c>
      <c r="G741" s="1">
        <v>1</v>
      </c>
      <c r="H741" s="1">
        <v>1.2446213075000001</v>
      </c>
      <c r="I741" s="1">
        <v>1.52940813084</v>
      </c>
      <c r="J741" s="1">
        <v>0.73918561919299997</v>
      </c>
      <c r="K741" s="1">
        <v>12488.3337777</v>
      </c>
      <c r="L741" s="1">
        <v>3327.7212594100001</v>
      </c>
      <c r="M741" s="1" t="s">
        <v>198</v>
      </c>
      <c r="N741" s="1" t="b">
        <v>1</v>
      </c>
    </row>
    <row r="742" spans="1:14" ht="19" customHeight="1" x14ac:dyDescent="0.3">
      <c r="A742">
        <v>737</v>
      </c>
      <c r="B742" s="1">
        <v>3</v>
      </c>
      <c r="C742" s="1">
        <v>70</v>
      </c>
      <c r="D742" s="1">
        <v>0.04</v>
      </c>
      <c r="E742" s="1">
        <v>8.5000000000000006E-2</v>
      </c>
      <c r="F742" s="1">
        <v>5</v>
      </c>
      <c r="G742" s="1">
        <v>0</v>
      </c>
      <c r="H742" s="1">
        <v>1.21693002325</v>
      </c>
      <c r="I742" s="1">
        <v>1.9938409228</v>
      </c>
      <c r="J742" s="1">
        <v>0.90894587706499996</v>
      </c>
      <c r="K742" s="1">
        <v>14454.4894528</v>
      </c>
      <c r="L742" s="1">
        <v>4091.9607203099999</v>
      </c>
      <c r="M742" s="1" t="s">
        <v>198</v>
      </c>
      <c r="N742" s="1" t="b">
        <v>1</v>
      </c>
    </row>
    <row r="743" spans="1:14" ht="19" customHeight="1" x14ac:dyDescent="0.3">
      <c r="A743">
        <v>738</v>
      </c>
      <c r="B743" s="1">
        <v>3</v>
      </c>
      <c r="C743" s="1">
        <v>70</v>
      </c>
      <c r="D743" s="1">
        <v>0.04</v>
      </c>
      <c r="E743" s="1">
        <v>8.5000000000000006E-2</v>
      </c>
      <c r="F743" s="1">
        <v>5</v>
      </c>
      <c r="G743" s="1">
        <v>1</v>
      </c>
      <c r="H743" s="1">
        <v>1.21693002325</v>
      </c>
      <c r="I743" s="1">
        <v>1.4953806920999999</v>
      </c>
      <c r="J743" s="1">
        <v>0.74533561919299995</v>
      </c>
      <c r="K743" s="1">
        <v>12210.4838017</v>
      </c>
      <c r="L743" s="1">
        <v>3355.40779066</v>
      </c>
      <c r="M743" s="1" t="s">
        <v>198</v>
      </c>
      <c r="N743" s="1" t="b">
        <v>1</v>
      </c>
    </row>
    <row r="744" spans="1:14" ht="19" customHeight="1" x14ac:dyDescent="0.3">
      <c r="A744">
        <v>739</v>
      </c>
      <c r="B744" s="1">
        <v>3</v>
      </c>
      <c r="C744" s="1">
        <v>70</v>
      </c>
      <c r="D744" s="1">
        <v>5.5E-2</v>
      </c>
      <c r="E744" s="1">
        <v>0.04</v>
      </c>
      <c r="F744" s="1">
        <v>-5</v>
      </c>
      <c r="G744" s="1">
        <v>0</v>
      </c>
      <c r="H744" s="1">
        <v>1.14116542362</v>
      </c>
      <c r="I744" s="1">
        <v>1.8801940233600001</v>
      </c>
      <c r="J744" s="1">
        <v>0.90216562231800002</v>
      </c>
      <c r="K744" s="1">
        <v>13601.782560400001</v>
      </c>
      <c r="L744" s="1">
        <v>4061.43686097</v>
      </c>
      <c r="M744" s="1" t="s">
        <v>198</v>
      </c>
      <c r="N744" s="1" t="b">
        <v>1</v>
      </c>
    </row>
    <row r="745" spans="1:14" ht="19" customHeight="1" x14ac:dyDescent="0.3">
      <c r="A745">
        <v>740</v>
      </c>
      <c r="B745" s="1">
        <v>3</v>
      </c>
      <c r="C745" s="1">
        <v>70</v>
      </c>
      <c r="D745" s="1">
        <v>5.5E-2</v>
      </c>
      <c r="E745" s="1">
        <v>0.04</v>
      </c>
      <c r="F745" s="1">
        <v>-5</v>
      </c>
      <c r="G745" s="1">
        <v>1</v>
      </c>
      <c r="H745" s="1">
        <v>1.14116542362</v>
      </c>
      <c r="I745" s="1">
        <v>1.4101455175199999</v>
      </c>
      <c r="J745" s="1">
        <v>0.73977581030100004</v>
      </c>
      <c r="K745" s="1">
        <v>11485.682943199999</v>
      </c>
      <c r="L745" s="1">
        <v>3330.3782259999998</v>
      </c>
      <c r="M745" s="1" t="s">
        <v>198</v>
      </c>
      <c r="N745" s="1" t="b">
        <v>1</v>
      </c>
    </row>
    <row r="746" spans="1:14" ht="19" customHeight="1" x14ac:dyDescent="0.3">
      <c r="A746">
        <v>741</v>
      </c>
      <c r="B746" s="1">
        <v>3</v>
      </c>
      <c r="C746" s="1">
        <v>70</v>
      </c>
      <c r="D746" s="1">
        <v>5.5E-2</v>
      </c>
      <c r="E746" s="1">
        <v>0.04</v>
      </c>
      <c r="F746" s="1">
        <v>0</v>
      </c>
      <c r="G746" s="1">
        <v>0</v>
      </c>
      <c r="H746" s="1">
        <v>1.1671326818300001</v>
      </c>
      <c r="I746" s="1">
        <v>1.9229779026</v>
      </c>
      <c r="J746" s="1">
        <v>0.89466562231799995</v>
      </c>
      <c r="K746" s="1">
        <v>13911.2915873</v>
      </c>
      <c r="L746" s="1">
        <v>4027.6727984700001</v>
      </c>
      <c r="M746" s="1" t="s">
        <v>198</v>
      </c>
      <c r="N746" s="1" t="b">
        <v>1</v>
      </c>
    </row>
    <row r="747" spans="1:14" ht="19" customHeight="1" x14ac:dyDescent="0.3">
      <c r="A747">
        <v>742</v>
      </c>
      <c r="B747" s="1">
        <v>3</v>
      </c>
      <c r="C747" s="1">
        <v>70</v>
      </c>
      <c r="D747" s="1">
        <v>5.5E-2</v>
      </c>
      <c r="E747" s="1">
        <v>0.04</v>
      </c>
      <c r="F747" s="1">
        <v>0</v>
      </c>
      <c r="G747" s="1">
        <v>1</v>
      </c>
      <c r="H747" s="1">
        <v>1.1671326818300001</v>
      </c>
      <c r="I747" s="1">
        <v>1.4422334269499999</v>
      </c>
      <c r="J747" s="1">
        <v>0.73362581030100005</v>
      </c>
      <c r="K747" s="1">
        <v>11747.040051</v>
      </c>
      <c r="L747" s="1">
        <v>3302.6916947499999</v>
      </c>
      <c r="M747" s="1" t="s">
        <v>198</v>
      </c>
      <c r="N747" s="1" t="b">
        <v>1</v>
      </c>
    </row>
    <row r="748" spans="1:14" ht="19" customHeight="1" x14ac:dyDescent="0.3">
      <c r="A748">
        <v>743</v>
      </c>
      <c r="B748" s="1">
        <v>3</v>
      </c>
      <c r="C748" s="1">
        <v>70</v>
      </c>
      <c r="D748" s="1">
        <v>5.5E-2</v>
      </c>
      <c r="E748" s="1">
        <v>0.04</v>
      </c>
      <c r="F748" s="1">
        <v>5</v>
      </c>
      <c r="G748" s="1">
        <v>0</v>
      </c>
      <c r="H748" s="1">
        <v>1.14116542362</v>
      </c>
      <c r="I748" s="1">
        <v>1.8801940233600001</v>
      </c>
      <c r="J748" s="1">
        <v>0.90216562231800002</v>
      </c>
      <c r="K748" s="1">
        <v>13601.782560400001</v>
      </c>
      <c r="L748" s="1">
        <v>4061.43686097</v>
      </c>
      <c r="M748" s="1" t="s">
        <v>198</v>
      </c>
      <c r="N748" s="1" t="b">
        <v>1</v>
      </c>
    </row>
    <row r="749" spans="1:14" ht="19" customHeight="1" x14ac:dyDescent="0.3">
      <c r="A749">
        <v>744</v>
      </c>
      <c r="B749" s="1">
        <v>3</v>
      </c>
      <c r="C749" s="1">
        <v>70</v>
      </c>
      <c r="D749" s="1">
        <v>5.5E-2</v>
      </c>
      <c r="E749" s="1">
        <v>0.04</v>
      </c>
      <c r="F749" s="1">
        <v>5</v>
      </c>
      <c r="G749" s="1">
        <v>1</v>
      </c>
      <c r="H749" s="1">
        <v>1.14116542362</v>
      </c>
      <c r="I749" s="1">
        <v>1.4101455175199999</v>
      </c>
      <c r="J749" s="1">
        <v>0.73977581030100004</v>
      </c>
      <c r="K749" s="1">
        <v>11485.682943199999</v>
      </c>
      <c r="L749" s="1">
        <v>3330.3782259999998</v>
      </c>
      <c r="M749" s="1" t="s">
        <v>198</v>
      </c>
      <c r="N749" s="1" t="b">
        <v>1</v>
      </c>
    </row>
    <row r="750" spans="1:14" ht="19" customHeight="1" x14ac:dyDescent="0.3">
      <c r="A750">
        <v>745</v>
      </c>
      <c r="B750" s="1">
        <v>3</v>
      </c>
      <c r="C750" s="1">
        <v>70</v>
      </c>
      <c r="D750" s="1">
        <v>5.5E-2</v>
      </c>
      <c r="E750" s="1">
        <v>0.06</v>
      </c>
      <c r="F750" s="1">
        <v>-5</v>
      </c>
      <c r="G750" s="1">
        <v>0</v>
      </c>
      <c r="H750" s="1">
        <v>1.16879502333</v>
      </c>
      <c r="I750" s="1">
        <v>1.9216384229200001</v>
      </c>
      <c r="J750" s="1">
        <v>0.90463822463499999</v>
      </c>
      <c r="K750" s="1">
        <v>13912.7450709</v>
      </c>
      <c r="L750" s="1">
        <v>4072.5682075300001</v>
      </c>
      <c r="M750" s="1" t="s">
        <v>198</v>
      </c>
      <c r="N750" s="1" t="b">
        <v>1</v>
      </c>
    </row>
    <row r="751" spans="1:14" ht="19" customHeight="1" x14ac:dyDescent="0.3">
      <c r="A751">
        <v>746</v>
      </c>
      <c r="B751" s="1">
        <v>3</v>
      </c>
      <c r="C751" s="1">
        <v>70</v>
      </c>
      <c r="D751" s="1">
        <v>5.5E-2</v>
      </c>
      <c r="E751" s="1">
        <v>0.06</v>
      </c>
      <c r="F751" s="1">
        <v>-5</v>
      </c>
      <c r="G751" s="1">
        <v>1</v>
      </c>
      <c r="H751" s="1">
        <v>1.16879502333</v>
      </c>
      <c r="I751" s="1">
        <v>1.4412288171900001</v>
      </c>
      <c r="J751" s="1">
        <v>0.74180334420100003</v>
      </c>
      <c r="K751" s="1">
        <v>11750.0010771</v>
      </c>
      <c r="L751" s="1">
        <v>3339.5059301699998</v>
      </c>
      <c r="M751" s="1" t="s">
        <v>198</v>
      </c>
      <c r="N751" s="1" t="b">
        <v>1</v>
      </c>
    </row>
    <row r="752" spans="1:14" ht="19" customHeight="1" x14ac:dyDescent="0.3">
      <c r="A752">
        <v>747</v>
      </c>
      <c r="B752" s="1">
        <v>3</v>
      </c>
      <c r="C752" s="1">
        <v>70</v>
      </c>
      <c r="D752" s="1">
        <v>5.5E-2</v>
      </c>
      <c r="E752" s="1">
        <v>0.06</v>
      </c>
      <c r="F752" s="1">
        <v>0</v>
      </c>
      <c r="G752" s="1">
        <v>0</v>
      </c>
      <c r="H752" s="1">
        <v>1.19539099402</v>
      </c>
      <c r="I752" s="1">
        <v>1.9653653708900001</v>
      </c>
      <c r="J752" s="1">
        <v>0.89713822463500004</v>
      </c>
      <c r="K752" s="1">
        <v>14229.330060300001</v>
      </c>
      <c r="L752" s="1">
        <v>4038.8041450300002</v>
      </c>
      <c r="M752" s="1" t="s">
        <v>198</v>
      </c>
      <c r="N752" s="1" t="b">
        <v>1</v>
      </c>
    </row>
    <row r="753" spans="1:14" ht="19" customHeight="1" x14ac:dyDescent="0.3">
      <c r="A753">
        <v>748</v>
      </c>
      <c r="B753" s="1">
        <v>3</v>
      </c>
      <c r="C753" s="1">
        <v>70</v>
      </c>
      <c r="D753" s="1">
        <v>5.5E-2</v>
      </c>
      <c r="E753" s="1">
        <v>0.06</v>
      </c>
      <c r="F753" s="1">
        <v>0</v>
      </c>
      <c r="G753" s="1">
        <v>1</v>
      </c>
      <c r="H753" s="1">
        <v>1.19539099402</v>
      </c>
      <c r="I753" s="1">
        <v>1.4740240281699999</v>
      </c>
      <c r="J753" s="1">
        <v>0.73565334420100004</v>
      </c>
      <c r="K753" s="1">
        <v>12017.372753</v>
      </c>
      <c r="L753" s="1">
        <v>3311.8193989199999</v>
      </c>
      <c r="M753" s="1" t="s">
        <v>198</v>
      </c>
      <c r="N753" s="1" t="b">
        <v>1</v>
      </c>
    </row>
    <row r="754" spans="1:14" ht="19" customHeight="1" x14ac:dyDescent="0.3">
      <c r="A754">
        <v>749</v>
      </c>
      <c r="B754" s="1">
        <v>3</v>
      </c>
      <c r="C754" s="1">
        <v>70</v>
      </c>
      <c r="D754" s="1">
        <v>5.5E-2</v>
      </c>
      <c r="E754" s="1">
        <v>0.06</v>
      </c>
      <c r="F754" s="1">
        <v>5</v>
      </c>
      <c r="G754" s="1">
        <v>0</v>
      </c>
      <c r="H754" s="1">
        <v>1.16879502333</v>
      </c>
      <c r="I754" s="1">
        <v>1.9216384229200001</v>
      </c>
      <c r="J754" s="1">
        <v>0.90463822463499999</v>
      </c>
      <c r="K754" s="1">
        <v>13912.7450709</v>
      </c>
      <c r="L754" s="1">
        <v>4072.5682075300001</v>
      </c>
      <c r="M754" s="1" t="s">
        <v>198</v>
      </c>
      <c r="N754" s="1" t="b">
        <v>1</v>
      </c>
    </row>
    <row r="755" spans="1:14" ht="19" customHeight="1" x14ac:dyDescent="0.3">
      <c r="A755">
        <v>750</v>
      </c>
      <c r="B755" s="1">
        <v>3</v>
      </c>
      <c r="C755" s="1">
        <v>70</v>
      </c>
      <c r="D755" s="1">
        <v>5.5E-2</v>
      </c>
      <c r="E755" s="1">
        <v>0.06</v>
      </c>
      <c r="F755" s="1">
        <v>5</v>
      </c>
      <c r="G755" s="1">
        <v>1</v>
      </c>
      <c r="H755" s="1">
        <v>1.16879502333</v>
      </c>
      <c r="I755" s="1">
        <v>1.4412288171900001</v>
      </c>
      <c r="J755" s="1">
        <v>0.74180334420100003</v>
      </c>
      <c r="K755" s="1">
        <v>11750.0010771</v>
      </c>
      <c r="L755" s="1">
        <v>3339.5059301699998</v>
      </c>
      <c r="M755" s="1" t="s">
        <v>198</v>
      </c>
      <c r="N755" s="1" t="b">
        <v>1</v>
      </c>
    </row>
    <row r="756" spans="1:14" ht="19" customHeight="1" x14ac:dyDescent="0.3">
      <c r="A756">
        <v>751</v>
      </c>
      <c r="B756" s="1">
        <v>3</v>
      </c>
      <c r="C756" s="1">
        <v>70</v>
      </c>
      <c r="D756" s="1">
        <v>5.5E-2</v>
      </c>
      <c r="E756" s="1">
        <v>8.5000000000000006E-2</v>
      </c>
      <c r="F756" s="1">
        <v>-5</v>
      </c>
      <c r="G756" s="1">
        <v>0</v>
      </c>
      <c r="H756" s="1">
        <v>1.09816047782</v>
      </c>
      <c r="I756" s="1">
        <v>1.81568660466</v>
      </c>
      <c r="J756" s="1">
        <v>0.89831706389699995</v>
      </c>
      <c r="K756" s="1">
        <v>13117.775334399999</v>
      </c>
      <c r="L756" s="1">
        <v>4044.1111320300001</v>
      </c>
      <c r="M756" s="1" t="s">
        <v>198</v>
      </c>
      <c r="N756" s="1" t="b">
        <v>1</v>
      </c>
    </row>
    <row r="757" spans="1:14" ht="19" customHeight="1" x14ac:dyDescent="0.3">
      <c r="A757">
        <v>752</v>
      </c>
      <c r="B757" s="1">
        <v>3</v>
      </c>
      <c r="C757" s="1">
        <v>70</v>
      </c>
      <c r="D757" s="1">
        <v>5.5E-2</v>
      </c>
      <c r="E757" s="1">
        <v>8.5000000000000006E-2</v>
      </c>
      <c r="F757" s="1">
        <v>-5</v>
      </c>
      <c r="G757" s="1">
        <v>1</v>
      </c>
      <c r="H757" s="1">
        <v>1.09816047782</v>
      </c>
      <c r="I757" s="1">
        <v>1.36176495349</v>
      </c>
      <c r="J757" s="1">
        <v>0.73661999239499998</v>
      </c>
      <c r="K757" s="1">
        <v>11074.276801100001</v>
      </c>
      <c r="L757" s="1">
        <v>3316.1711282699998</v>
      </c>
      <c r="M757" s="1" t="s">
        <v>198</v>
      </c>
      <c r="N757" s="1" t="b">
        <v>1</v>
      </c>
    </row>
    <row r="758" spans="1:14" ht="19" customHeight="1" x14ac:dyDescent="0.3">
      <c r="A758">
        <v>753</v>
      </c>
      <c r="B758" s="1">
        <v>3</v>
      </c>
      <c r="C758" s="1">
        <v>70</v>
      </c>
      <c r="D758" s="1">
        <v>5.5E-2</v>
      </c>
      <c r="E758" s="1">
        <v>8.5000000000000006E-2</v>
      </c>
      <c r="F758" s="1">
        <v>0</v>
      </c>
      <c r="G758" s="1">
        <v>0</v>
      </c>
      <c r="H758" s="1">
        <v>1.1231491570100001</v>
      </c>
      <c r="I758" s="1">
        <v>1.8570026153800001</v>
      </c>
      <c r="J758" s="1">
        <v>0.89081706389699999</v>
      </c>
      <c r="K758" s="1">
        <v>13416.2707603</v>
      </c>
      <c r="L758" s="1">
        <v>4010.3470695300002</v>
      </c>
      <c r="M758" s="1" t="s">
        <v>198</v>
      </c>
      <c r="N758" s="1" t="b">
        <v>1</v>
      </c>
    </row>
    <row r="759" spans="1:14" ht="19" customHeight="1" x14ac:dyDescent="0.3">
      <c r="A759">
        <v>754</v>
      </c>
      <c r="B759" s="1">
        <v>3</v>
      </c>
      <c r="C759" s="1">
        <v>70</v>
      </c>
      <c r="D759" s="1">
        <v>5.5E-2</v>
      </c>
      <c r="E759" s="1">
        <v>8.5000000000000006E-2</v>
      </c>
      <c r="F759" s="1">
        <v>0</v>
      </c>
      <c r="G759" s="1">
        <v>1</v>
      </c>
      <c r="H759" s="1">
        <v>1.1231491570100001</v>
      </c>
      <c r="I759" s="1">
        <v>1.3927519615299999</v>
      </c>
      <c r="J759" s="1">
        <v>0.73046999239499999</v>
      </c>
      <c r="K759" s="1">
        <v>11326.272348</v>
      </c>
      <c r="L759" s="1">
        <v>3288.4845970199999</v>
      </c>
      <c r="M759" s="1" t="s">
        <v>198</v>
      </c>
      <c r="N759" s="1" t="b">
        <v>1</v>
      </c>
    </row>
    <row r="760" spans="1:14" ht="19" customHeight="1" x14ac:dyDescent="0.3">
      <c r="A760">
        <v>755</v>
      </c>
      <c r="B760" s="1">
        <v>3</v>
      </c>
      <c r="C760" s="1">
        <v>70</v>
      </c>
      <c r="D760" s="1">
        <v>5.5E-2</v>
      </c>
      <c r="E760" s="1">
        <v>8.5000000000000006E-2</v>
      </c>
      <c r="F760" s="1">
        <v>5</v>
      </c>
      <c r="G760" s="1">
        <v>0</v>
      </c>
      <c r="H760" s="1">
        <v>1.09816047782</v>
      </c>
      <c r="I760" s="1">
        <v>1.81568660466</v>
      </c>
      <c r="J760" s="1">
        <v>0.89831706389699995</v>
      </c>
      <c r="K760" s="1">
        <v>13117.775334399999</v>
      </c>
      <c r="L760" s="1">
        <v>4044.1111320300001</v>
      </c>
      <c r="M760" s="1" t="s">
        <v>198</v>
      </c>
      <c r="N760" s="1" t="b">
        <v>1</v>
      </c>
    </row>
    <row r="761" spans="1:14" ht="19" customHeight="1" x14ac:dyDescent="0.3">
      <c r="A761">
        <v>756</v>
      </c>
      <c r="B761" s="1">
        <v>3</v>
      </c>
      <c r="C761" s="1">
        <v>70</v>
      </c>
      <c r="D761" s="1">
        <v>5.5E-2</v>
      </c>
      <c r="E761" s="1">
        <v>8.5000000000000006E-2</v>
      </c>
      <c r="F761" s="1">
        <v>5</v>
      </c>
      <c r="G761" s="1">
        <v>1</v>
      </c>
      <c r="H761" s="1">
        <v>1.09816047782</v>
      </c>
      <c r="I761" s="1">
        <v>1.36176495349</v>
      </c>
      <c r="J761" s="1">
        <v>0.73661999239499998</v>
      </c>
      <c r="K761" s="1">
        <v>11074.276801100001</v>
      </c>
      <c r="L761" s="1">
        <v>3316.1711282699998</v>
      </c>
      <c r="M761" s="1" t="s">
        <v>198</v>
      </c>
      <c r="N761" s="1" t="b">
        <v>1</v>
      </c>
    </row>
    <row r="762" spans="1:14" ht="19" customHeight="1" x14ac:dyDescent="0.3">
      <c r="A762">
        <v>757</v>
      </c>
      <c r="B762" s="1">
        <v>3</v>
      </c>
      <c r="C762" s="1">
        <v>90</v>
      </c>
      <c r="D762" s="1">
        <v>2.5000000000000001E-2</v>
      </c>
      <c r="E762" s="1">
        <v>0.04</v>
      </c>
      <c r="F762" s="1">
        <v>-5</v>
      </c>
      <c r="G762" s="1">
        <v>0</v>
      </c>
      <c r="H762" s="1">
        <v>1.2750617122300001</v>
      </c>
      <c r="I762" s="1">
        <v>2.0810384562799999</v>
      </c>
      <c r="J762" s="1">
        <v>0.91414814385099996</v>
      </c>
      <c r="K762" s="1">
        <v>24975.677941599999</v>
      </c>
      <c r="L762" s="1">
        <v>6802.9762180199996</v>
      </c>
      <c r="M762" s="1" t="s">
        <v>198</v>
      </c>
      <c r="N762" s="1" t="b">
        <v>1</v>
      </c>
    </row>
    <row r="763" spans="1:14" ht="19" customHeight="1" x14ac:dyDescent="0.3">
      <c r="A763">
        <v>758</v>
      </c>
      <c r="B763" s="1">
        <v>3</v>
      </c>
      <c r="C763" s="1">
        <v>90</v>
      </c>
      <c r="D763" s="1">
        <v>2.5000000000000001E-2</v>
      </c>
      <c r="E763" s="1">
        <v>0.04</v>
      </c>
      <c r="F763" s="1">
        <v>-5</v>
      </c>
      <c r="G763" s="1">
        <v>1</v>
      </c>
      <c r="H763" s="1">
        <v>1.2750617122300001</v>
      </c>
      <c r="I763" s="1">
        <v>1.56077884221</v>
      </c>
      <c r="J763" s="1">
        <v>0.74960147795800003</v>
      </c>
      <c r="K763" s="1">
        <v>21103.970926099999</v>
      </c>
      <c r="L763" s="1">
        <v>5578.4404987799999</v>
      </c>
      <c r="M763" s="1" t="s">
        <v>198</v>
      </c>
      <c r="N763" s="1" t="b">
        <v>1</v>
      </c>
    </row>
    <row r="764" spans="1:14" ht="19" customHeight="1" x14ac:dyDescent="0.3">
      <c r="A764">
        <v>759</v>
      </c>
      <c r="B764" s="1">
        <v>3</v>
      </c>
      <c r="C764" s="1">
        <v>90</v>
      </c>
      <c r="D764" s="1">
        <v>2.5000000000000001E-2</v>
      </c>
      <c r="E764" s="1">
        <v>0.04</v>
      </c>
      <c r="F764" s="1">
        <v>0</v>
      </c>
      <c r="G764" s="1">
        <v>0</v>
      </c>
      <c r="H764" s="1">
        <v>1.30407578506</v>
      </c>
      <c r="I764" s="1">
        <v>2.1283925574499998</v>
      </c>
      <c r="J764" s="1">
        <v>0.90664814385100001</v>
      </c>
      <c r="K764" s="1">
        <v>25544.0003464</v>
      </c>
      <c r="L764" s="1">
        <v>6747.1621555199999</v>
      </c>
      <c r="M764" s="1" t="s">
        <v>198</v>
      </c>
      <c r="N764" s="1" t="b">
        <v>1</v>
      </c>
    </row>
    <row r="765" spans="1:14" ht="19" customHeight="1" x14ac:dyDescent="0.3">
      <c r="A765">
        <v>760</v>
      </c>
      <c r="B765" s="1">
        <v>3</v>
      </c>
      <c r="C765" s="1">
        <v>90</v>
      </c>
      <c r="D765" s="1">
        <v>2.5000000000000001E-2</v>
      </c>
      <c r="E765" s="1">
        <v>0.04</v>
      </c>
      <c r="F765" s="1">
        <v>0</v>
      </c>
      <c r="G765" s="1">
        <v>1</v>
      </c>
      <c r="H765" s="1">
        <v>1.30407578506</v>
      </c>
      <c r="I765" s="1">
        <v>1.5962944180900001</v>
      </c>
      <c r="J765" s="1">
        <v>0.74345147795800004</v>
      </c>
      <c r="K765" s="1">
        <v>21584.192505499999</v>
      </c>
      <c r="L765" s="1">
        <v>5532.6729675300003</v>
      </c>
      <c r="M765" s="1" t="s">
        <v>198</v>
      </c>
      <c r="N765" s="1" t="b">
        <v>1</v>
      </c>
    </row>
    <row r="766" spans="1:14" ht="19" customHeight="1" x14ac:dyDescent="0.3">
      <c r="A766">
        <v>761</v>
      </c>
      <c r="B766" s="1">
        <v>3</v>
      </c>
      <c r="C766" s="1">
        <v>90</v>
      </c>
      <c r="D766" s="1">
        <v>2.5000000000000001E-2</v>
      </c>
      <c r="E766" s="1">
        <v>0.04</v>
      </c>
      <c r="F766" s="1">
        <v>5</v>
      </c>
      <c r="G766" s="1">
        <v>0</v>
      </c>
      <c r="H766" s="1">
        <v>1.2750617122300001</v>
      </c>
      <c r="I766" s="1">
        <v>2.0810384562799999</v>
      </c>
      <c r="J766" s="1">
        <v>0.91414814385099996</v>
      </c>
      <c r="K766" s="1">
        <v>24975.677941599999</v>
      </c>
      <c r="L766" s="1">
        <v>6802.9762180199996</v>
      </c>
      <c r="M766" s="1" t="s">
        <v>198</v>
      </c>
      <c r="N766" s="1" t="b">
        <v>1</v>
      </c>
    </row>
    <row r="767" spans="1:14" ht="19" customHeight="1" x14ac:dyDescent="0.3">
      <c r="A767">
        <v>762</v>
      </c>
      <c r="B767" s="1">
        <v>3</v>
      </c>
      <c r="C767" s="1">
        <v>90</v>
      </c>
      <c r="D767" s="1">
        <v>2.5000000000000001E-2</v>
      </c>
      <c r="E767" s="1">
        <v>0.04</v>
      </c>
      <c r="F767" s="1">
        <v>5</v>
      </c>
      <c r="G767" s="1">
        <v>1</v>
      </c>
      <c r="H767" s="1">
        <v>1.2750617122300001</v>
      </c>
      <c r="I767" s="1">
        <v>1.56077884221</v>
      </c>
      <c r="J767" s="1">
        <v>0.74960147795800003</v>
      </c>
      <c r="K767" s="1">
        <v>21103.970926099999</v>
      </c>
      <c r="L767" s="1">
        <v>5578.4404987799999</v>
      </c>
      <c r="M767" s="1" t="s">
        <v>198</v>
      </c>
      <c r="N767" s="1" t="b">
        <v>1</v>
      </c>
    </row>
    <row r="768" spans="1:14" ht="19" customHeight="1" x14ac:dyDescent="0.3">
      <c r="A768">
        <v>763</v>
      </c>
      <c r="B768" s="1">
        <v>3</v>
      </c>
      <c r="C768" s="1">
        <v>90</v>
      </c>
      <c r="D768" s="1">
        <v>2.5000000000000001E-2</v>
      </c>
      <c r="E768" s="1">
        <v>0.06</v>
      </c>
      <c r="F768" s="1">
        <v>-5</v>
      </c>
      <c r="G768" s="1">
        <v>0</v>
      </c>
      <c r="H768" s="1">
        <v>1.31567672587</v>
      </c>
      <c r="I768" s="1">
        <v>2.1419609767300001</v>
      </c>
      <c r="J768" s="1">
        <v>0.91778282469600003</v>
      </c>
      <c r="K768" s="1">
        <v>25731.307578100001</v>
      </c>
      <c r="L768" s="1">
        <v>6830.0250585399999</v>
      </c>
      <c r="M768" s="1" t="s">
        <v>198</v>
      </c>
      <c r="N768" s="1" t="b">
        <v>1</v>
      </c>
    </row>
    <row r="769" spans="1:14" ht="19" customHeight="1" x14ac:dyDescent="0.3">
      <c r="A769">
        <v>764</v>
      </c>
      <c r="B769" s="1">
        <v>3</v>
      </c>
      <c r="C769" s="1">
        <v>90</v>
      </c>
      <c r="D769" s="1">
        <v>2.5000000000000001E-2</v>
      </c>
      <c r="E769" s="1">
        <v>0.06</v>
      </c>
      <c r="F769" s="1">
        <v>-5</v>
      </c>
      <c r="G769" s="1">
        <v>1</v>
      </c>
      <c r="H769" s="1">
        <v>1.31567672587</v>
      </c>
      <c r="I769" s="1">
        <v>1.6064707325500001</v>
      </c>
      <c r="J769" s="1">
        <v>0.75258191625100002</v>
      </c>
      <c r="K769" s="1">
        <v>21746.256117100002</v>
      </c>
      <c r="L769" s="1">
        <v>5600.6205479999999</v>
      </c>
      <c r="M769" s="1" t="s">
        <v>198</v>
      </c>
      <c r="N769" s="1" t="b">
        <v>1</v>
      </c>
    </row>
    <row r="770" spans="1:14" ht="19" customHeight="1" x14ac:dyDescent="0.3">
      <c r="A770">
        <v>765</v>
      </c>
      <c r="B770" s="1">
        <v>3</v>
      </c>
      <c r="C770" s="1">
        <v>90</v>
      </c>
      <c r="D770" s="1">
        <v>2.5000000000000001E-2</v>
      </c>
      <c r="E770" s="1">
        <v>0.06</v>
      </c>
      <c r="F770" s="1">
        <v>0</v>
      </c>
      <c r="G770" s="1">
        <v>0</v>
      </c>
      <c r="H770" s="1">
        <v>1.34561499472</v>
      </c>
      <c r="I770" s="1">
        <v>2.1907013719399999</v>
      </c>
      <c r="J770" s="1">
        <v>0.91028282469599997</v>
      </c>
      <c r="K770" s="1">
        <v>26316.8243611</v>
      </c>
      <c r="L770" s="1">
        <v>6774.2109960400003</v>
      </c>
      <c r="M770" s="1" t="s">
        <v>198</v>
      </c>
      <c r="N770" s="1" t="b">
        <v>1</v>
      </c>
    </row>
    <row r="771" spans="1:14" ht="19" customHeight="1" x14ac:dyDescent="0.3">
      <c r="A771">
        <v>766</v>
      </c>
      <c r="B771" s="1">
        <v>3</v>
      </c>
      <c r="C771" s="1">
        <v>90</v>
      </c>
      <c r="D771" s="1">
        <v>2.5000000000000001E-2</v>
      </c>
      <c r="E771" s="1">
        <v>0.06</v>
      </c>
      <c r="F771" s="1">
        <v>0</v>
      </c>
      <c r="G771" s="1">
        <v>1</v>
      </c>
      <c r="H771" s="1">
        <v>1.34561499472</v>
      </c>
      <c r="I771" s="1">
        <v>1.6430260289500001</v>
      </c>
      <c r="J771" s="1">
        <v>0.74643191625100003</v>
      </c>
      <c r="K771" s="1">
        <v>22241.092917999998</v>
      </c>
      <c r="L771" s="1">
        <v>5554.8530167500003</v>
      </c>
      <c r="M771" s="1" t="s">
        <v>198</v>
      </c>
      <c r="N771" s="1" t="b">
        <v>1</v>
      </c>
    </row>
    <row r="772" spans="1:14" ht="19" customHeight="1" x14ac:dyDescent="0.3">
      <c r="A772">
        <v>767</v>
      </c>
      <c r="B772" s="1">
        <v>3</v>
      </c>
      <c r="C772" s="1">
        <v>90</v>
      </c>
      <c r="D772" s="1">
        <v>2.5000000000000001E-2</v>
      </c>
      <c r="E772" s="1">
        <v>0.06</v>
      </c>
      <c r="F772" s="1">
        <v>5</v>
      </c>
      <c r="G772" s="1">
        <v>0</v>
      </c>
      <c r="H772" s="1">
        <v>1.31567672587</v>
      </c>
      <c r="I772" s="1">
        <v>2.1419609767300001</v>
      </c>
      <c r="J772" s="1">
        <v>0.91778282469600003</v>
      </c>
      <c r="K772" s="1">
        <v>25731.307578100001</v>
      </c>
      <c r="L772" s="1">
        <v>6830.0250585399999</v>
      </c>
      <c r="M772" s="1" t="s">
        <v>198</v>
      </c>
      <c r="N772" s="1" t="b">
        <v>1</v>
      </c>
    </row>
    <row r="773" spans="1:14" ht="19" customHeight="1" x14ac:dyDescent="0.3">
      <c r="A773">
        <v>768</v>
      </c>
      <c r="B773" s="1">
        <v>3</v>
      </c>
      <c r="C773" s="1">
        <v>90</v>
      </c>
      <c r="D773" s="1">
        <v>2.5000000000000001E-2</v>
      </c>
      <c r="E773" s="1">
        <v>0.06</v>
      </c>
      <c r="F773" s="1">
        <v>5</v>
      </c>
      <c r="G773" s="1">
        <v>1</v>
      </c>
      <c r="H773" s="1">
        <v>1.31567672587</v>
      </c>
      <c r="I773" s="1">
        <v>1.6064707325500001</v>
      </c>
      <c r="J773" s="1">
        <v>0.75258191625100002</v>
      </c>
      <c r="K773" s="1">
        <v>21746.256117100002</v>
      </c>
      <c r="L773" s="1">
        <v>5600.6205479999999</v>
      </c>
      <c r="M773" s="1" t="s">
        <v>198</v>
      </c>
      <c r="N773" s="1" t="b">
        <v>1</v>
      </c>
    </row>
    <row r="774" spans="1:14" ht="19" customHeight="1" x14ac:dyDescent="0.3">
      <c r="A774">
        <v>769</v>
      </c>
      <c r="B774" s="1">
        <v>3</v>
      </c>
      <c r="C774" s="1">
        <v>90</v>
      </c>
      <c r="D774" s="1">
        <v>2.5000000000000001E-2</v>
      </c>
      <c r="E774" s="1">
        <v>8.5000000000000006E-2</v>
      </c>
      <c r="F774" s="1">
        <v>-5</v>
      </c>
      <c r="G774" s="1">
        <v>0</v>
      </c>
      <c r="H774" s="1">
        <v>1.21184521693</v>
      </c>
      <c r="I774" s="1">
        <v>1.98621371332</v>
      </c>
      <c r="J774" s="1">
        <v>0.90849083233000005</v>
      </c>
      <c r="K774" s="1">
        <v>23799.554801499999</v>
      </c>
      <c r="L774" s="1">
        <v>6760.8752128400001</v>
      </c>
      <c r="M774" s="1" t="s">
        <v>198</v>
      </c>
      <c r="N774" s="1" t="b">
        <v>1</v>
      </c>
    </row>
    <row r="775" spans="1:14" ht="19" customHeight="1" x14ac:dyDescent="0.3">
      <c r="A775">
        <v>770</v>
      </c>
      <c r="B775" s="1">
        <v>3</v>
      </c>
      <c r="C775" s="1">
        <v>90</v>
      </c>
      <c r="D775" s="1">
        <v>2.5000000000000001E-2</v>
      </c>
      <c r="E775" s="1">
        <v>8.5000000000000006E-2</v>
      </c>
      <c r="F775" s="1">
        <v>-5</v>
      </c>
      <c r="G775" s="1">
        <v>1</v>
      </c>
      <c r="H775" s="1">
        <v>1.21184521693</v>
      </c>
      <c r="I775" s="1">
        <v>1.48966028499</v>
      </c>
      <c r="J775" s="1">
        <v>0.74496248250999997</v>
      </c>
      <c r="K775" s="1">
        <v>20104.2662571</v>
      </c>
      <c r="L775" s="1">
        <v>5543.9176745300001</v>
      </c>
      <c r="M775" s="1" t="s">
        <v>198</v>
      </c>
      <c r="N775" s="1" t="b">
        <v>1</v>
      </c>
    </row>
    <row r="776" spans="1:14" ht="19" customHeight="1" x14ac:dyDescent="0.3">
      <c r="A776">
        <v>771</v>
      </c>
      <c r="B776" s="1">
        <v>3</v>
      </c>
      <c r="C776" s="1">
        <v>90</v>
      </c>
      <c r="D776" s="1">
        <v>2.5000000000000001E-2</v>
      </c>
      <c r="E776" s="1">
        <v>8.5000000000000006E-2</v>
      </c>
      <c r="F776" s="1">
        <v>0</v>
      </c>
      <c r="G776" s="1">
        <v>0</v>
      </c>
      <c r="H776" s="1">
        <v>1.2394207962399999</v>
      </c>
      <c r="I776" s="1">
        <v>2.0314100742200001</v>
      </c>
      <c r="J776" s="1">
        <v>0.90099083232999999</v>
      </c>
      <c r="K776" s="1">
        <v>24341.114484099999</v>
      </c>
      <c r="L776" s="1">
        <v>6705.0611503399996</v>
      </c>
      <c r="M776" s="1" t="s">
        <v>198</v>
      </c>
      <c r="N776" s="1" t="b">
        <v>1</v>
      </c>
    </row>
    <row r="777" spans="1:14" ht="19" customHeight="1" x14ac:dyDescent="0.3">
      <c r="A777">
        <v>772</v>
      </c>
      <c r="B777" s="1">
        <v>3</v>
      </c>
      <c r="C777" s="1">
        <v>90</v>
      </c>
      <c r="D777" s="1">
        <v>2.5000000000000001E-2</v>
      </c>
      <c r="E777" s="1">
        <v>8.5000000000000006E-2</v>
      </c>
      <c r="F777" s="1">
        <v>0</v>
      </c>
      <c r="G777" s="1">
        <v>1</v>
      </c>
      <c r="H777" s="1">
        <v>1.2394207962399999</v>
      </c>
      <c r="I777" s="1">
        <v>1.5235575556700001</v>
      </c>
      <c r="J777" s="1">
        <v>0.73881248250999998</v>
      </c>
      <c r="K777" s="1">
        <v>20561.739522600001</v>
      </c>
      <c r="L777" s="1">
        <v>5498.1501432799996</v>
      </c>
      <c r="M777" s="1" t="s">
        <v>198</v>
      </c>
      <c r="N777" s="1" t="b">
        <v>1</v>
      </c>
    </row>
    <row r="778" spans="1:14" ht="19" customHeight="1" x14ac:dyDescent="0.3">
      <c r="A778">
        <v>773</v>
      </c>
      <c r="B778" s="1">
        <v>3</v>
      </c>
      <c r="C778" s="1">
        <v>90</v>
      </c>
      <c r="D778" s="1">
        <v>2.5000000000000001E-2</v>
      </c>
      <c r="E778" s="1">
        <v>8.5000000000000006E-2</v>
      </c>
      <c r="F778" s="1">
        <v>5</v>
      </c>
      <c r="G778" s="1">
        <v>0</v>
      </c>
      <c r="H778" s="1">
        <v>1.21184521693</v>
      </c>
      <c r="I778" s="1">
        <v>1.98621371332</v>
      </c>
      <c r="J778" s="1">
        <v>0.90849083233000005</v>
      </c>
      <c r="K778" s="1">
        <v>23799.554801499999</v>
      </c>
      <c r="L778" s="1">
        <v>6760.8752128400001</v>
      </c>
      <c r="M778" s="1" t="s">
        <v>198</v>
      </c>
      <c r="N778" s="1" t="b">
        <v>1</v>
      </c>
    </row>
    <row r="779" spans="1:14" ht="19" customHeight="1" x14ac:dyDescent="0.3">
      <c r="A779">
        <v>774</v>
      </c>
      <c r="B779" s="1">
        <v>3</v>
      </c>
      <c r="C779" s="1">
        <v>90</v>
      </c>
      <c r="D779" s="1">
        <v>2.5000000000000001E-2</v>
      </c>
      <c r="E779" s="1">
        <v>8.5000000000000006E-2</v>
      </c>
      <c r="F779" s="1">
        <v>5</v>
      </c>
      <c r="G779" s="1">
        <v>1</v>
      </c>
      <c r="H779" s="1">
        <v>1.21184521693</v>
      </c>
      <c r="I779" s="1">
        <v>1.48966028499</v>
      </c>
      <c r="J779" s="1">
        <v>0.74496248250999997</v>
      </c>
      <c r="K779" s="1">
        <v>20104.2662571</v>
      </c>
      <c r="L779" s="1">
        <v>5543.9176745300001</v>
      </c>
      <c r="M779" s="1" t="s">
        <v>198</v>
      </c>
      <c r="N779" s="1" t="b">
        <v>1</v>
      </c>
    </row>
    <row r="780" spans="1:14" ht="19" customHeight="1" x14ac:dyDescent="0.3">
      <c r="A780">
        <v>775</v>
      </c>
      <c r="B780" s="1">
        <v>3</v>
      </c>
      <c r="C780" s="1">
        <v>90</v>
      </c>
      <c r="D780" s="1">
        <v>0.04</v>
      </c>
      <c r="E780" s="1">
        <v>0.04</v>
      </c>
      <c r="F780" s="1">
        <v>-5</v>
      </c>
      <c r="G780" s="1">
        <v>0</v>
      </c>
      <c r="H780" s="1">
        <v>1.28105052569</v>
      </c>
      <c r="I780" s="1">
        <v>2.0900216764600001</v>
      </c>
      <c r="J780" s="1">
        <v>0.91468408914800003</v>
      </c>
      <c r="K780" s="1">
        <v>25087.0979444</v>
      </c>
      <c r="L780" s="1">
        <v>6806.9646559299999</v>
      </c>
      <c r="M780" s="1" t="s">
        <v>198</v>
      </c>
      <c r="N780" s="1" t="b">
        <v>1</v>
      </c>
    </row>
    <row r="781" spans="1:14" ht="19" customHeight="1" x14ac:dyDescent="0.3">
      <c r="A781">
        <v>776</v>
      </c>
      <c r="B781" s="1">
        <v>3</v>
      </c>
      <c r="C781" s="1">
        <v>90</v>
      </c>
      <c r="D781" s="1">
        <v>0.04</v>
      </c>
      <c r="E781" s="1">
        <v>0.04</v>
      </c>
      <c r="F781" s="1">
        <v>-5</v>
      </c>
      <c r="G781" s="1">
        <v>1</v>
      </c>
      <c r="H781" s="1">
        <v>1.28105052569</v>
      </c>
      <c r="I781" s="1">
        <v>1.5675162573400001</v>
      </c>
      <c r="J781" s="1">
        <v>0.75004095310100005</v>
      </c>
      <c r="K781" s="1">
        <v>21198.677928500001</v>
      </c>
      <c r="L781" s="1">
        <v>5581.7110178599996</v>
      </c>
      <c r="M781" s="1" t="s">
        <v>198</v>
      </c>
      <c r="N781" s="1" t="b">
        <v>1</v>
      </c>
    </row>
    <row r="782" spans="1:14" ht="19" customHeight="1" x14ac:dyDescent="0.3">
      <c r="A782">
        <v>777</v>
      </c>
      <c r="B782" s="1">
        <v>3</v>
      </c>
      <c r="C782" s="1">
        <v>90</v>
      </c>
      <c r="D782" s="1">
        <v>0.04</v>
      </c>
      <c r="E782" s="1">
        <v>0.04</v>
      </c>
      <c r="F782" s="1">
        <v>0</v>
      </c>
      <c r="G782" s="1">
        <v>0</v>
      </c>
      <c r="H782" s="1">
        <v>1.31020087417</v>
      </c>
      <c r="I782" s="1">
        <v>2.1375801911100001</v>
      </c>
      <c r="J782" s="1">
        <v>0.90718408914799997</v>
      </c>
      <c r="K782" s="1">
        <v>25657.955715200002</v>
      </c>
      <c r="L782" s="1">
        <v>6751.1505934300003</v>
      </c>
      <c r="M782" s="1" t="s">
        <v>198</v>
      </c>
      <c r="N782" s="1" t="b">
        <v>1</v>
      </c>
    </row>
    <row r="783" spans="1:14" ht="19" customHeight="1" x14ac:dyDescent="0.3">
      <c r="A783">
        <v>778</v>
      </c>
      <c r="B783" s="1">
        <v>3</v>
      </c>
      <c r="C783" s="1">
        <v>90</v>
      </c>
      <c r="D783" s="1">
        <v>0.04</v>
      </c>
      <c r="E783" s="1">
        <v>0.04</v>
      </c>
      <c r="F783" s="1">
        <v>0</v>
      </c>
      <c r="G783" s="1">
        <v>1</v>
      </c>
      <c r="H783" s="1">
        <v>1.31020087417</v>
      </c>
      <c r="I783" s="1">
        <v>1.60318514333</v>
      </c>
      <c r="J783" s="1">
        <v>0.74389095310099995</v>
      </c>
      <c r="K783" s="1">
        <v>21681.054569</v>
      </c>
      <c r="L783" s="1">
        <v>5535.94348661</v>
      </c>
      <c r="M783" s="1" t="s">
        <v>198</v>
      </c>
      <c r="N783" s="1" t="b">
        <v>1</v>
      </c>
    </row>
    <row r="784" spans="1:14" ht="19" customHeight="1" x14ac:dyDescent="0.3">
      <c r="A784">
        <v>779</v>
      </c>
      <c r="B784" s="1">
        <v>3</v>
      </c>
      <c r="C784" s="1">
        <v>90</v>
      </c>
      <c r="D784" s="1">
        <v>0.04</v>
      </c>
      <c r="E784" s="1">
        <v>0.04</v>
      </c>
      <c r="F784" s="1">
        <v>5</v>
      </c>
      <c r="G784" s="1">
        <v>0</v>
      </c>
      <c r="H784" s="1">
        <v>1.28105052569</v>
      </c>
      <c r="I784" s="1">
        <v>2.0900216764600001</v>
      </c>
      <c r="J784" s="1">
        <v>0.91468408914800003</v>
      </c>
      <c r="K784" s="1">
        <v>25087.0979444</v>
      </c>
      <c r="L784" s="1">
        <v>6806.9646559299999</v>
      </c>
      <c r="M784" s="1" t="s">
        <v>198</v>
      </c>
      <c r="N784" s="1" t="b">
        <v>1</v>
      </c>
    </row>
    <row r="785" spans="1:14" ht="19" customHeight="1" x14ac:dyDescent="0.3">
      <c r="A785">
        <v>780</v>
      </c>
      <c r="B785" s="1">
        <v>3</v>
      </c>
      <c r="C785" s="1">
        <v>90</v>
      </c>
      <c r="D785" s="1">
        <v>0.04</v>
      </c>
      <c r="E785" s="1">
        <v>0.04</v>
      </c>
      <c r="F785" s="1">
        <v>5</v>
      </c>
      <c r="G785" s="1">
        <v>1</v>
      </c>
      <c r="H785" s="1">
        <v>1.28105052569</v>
      </c>
      <c r="I785" s="1">
        <v>1.5675162573400001</v>
      </c>
      <c r="J785" s="1">
        <v>0.75004095310100005</v>
      </c>
      <c r="K785" s="1">
        <v>21198.677928500001</v>
      </c>
      <c r="L785" s="1">
        <v>5581.7110178599996</v>
      </c>
      <c r="M785" s="1" t="s">
        <v>198</v>
      </c>
      <c r="N785" s="1" t="b">
        <v>1</v>
      </c>
    </row>
    <row r="786" spans="1:14" ht="19" customHeight="1" x14ac:dyDescent="0.3">
      <c r="A786">
        <v>781</v>
      </c>
      <c r="B786" s="1">
        <v>3</v>
      </c>
      <c r="C786" s="1">
        <v>90</v>
      </c>
      <c r="D786" s="1">
        <v>0.04</v>
      </c>
      <c r="E786" s="1">
        <v>0.06</v>
      </c>
      <c r="F786" s="1">
        <v>-5</v>
      </c>
      <c r="G786" s="1">
        <v>0</v>
      </c>
      <c r="H786" s="1">
        <v>1.3222463412400001</v>
      </c>
      <c r="I786" s="1">
        <v>2.1518153997899998</v>
      </c>
      <c r="J786" s="1">
        <v>0.91837074657600004</v>
      </c>
      <c r="K786" s="1">
        <v>25853.533219100002</v>
      </c>
      <c r="L786" s="1">
        <v>6834.4002996700001</v>
      </c>
      <c r="M786" s="1" t="s">
        <v>198</v>
      </c>
      <c r="N786" s="1" t="b">
        <v>1</v>
      </c>
    </row>
    <row r="787" spans="1:14" ht="19" customHeight="1" x14ac:dyDescent="0.3">
      <c r="A787">
        <v>782</v>
      </c>
      <c r="B787" s="1">
        <v>3</v>
      </c>
      <c r="C787" s="1">
        <v>90</v>
      </c>
      <c r="D787" s="1">
        <v>0.04</v>
      </c>
      <c r="E787" s="1">
        <v>0.06</v>
      </c>
      <c r="F787" s="1">
        <v>-5</v>
      </c>
      <c r="G787" s="1">
        <v>1</v>
      </c>
      <c r="H787" s="1">
        <v>1.3222463412400001</v>
      </c>
      <c r="I787" s="1">
        <v>1.61386154985</v>
      </c>
      <c r="J787" s="1">
        <v>0.75306401219200003</v>
      </c>
      <c r="K787" s="1">
        <v>21850.147912</v>
      </c>
      <c r="L787" s="1">
        <v>5604.2082457300003</v>
      </c>
      <c r="M787" s="1" t="s">
        <v>198</v>
      </c>
      <c r="N787" s="1" t="b">
        <v>1</v>
      </c>
    </row>
    <row r="788" spans="1:14" ht="19" customHeight="1" x14ac:dyDescent="0.3">
      <c r="A788">
        <v>783</v>
      </c>
      <c r="B788" s="1">
        <v>3</v>
      </c>
      <c r="C788" s="1">
        <v>90</v>
      </c>
      <c r="D788" s="1">
        <v>0.04</v>
      </c>
      <c r="E788" s="1">
        <v>0.06</v>
      </c>
      <c r="F788" s="1">
        <v>0</v>
      </c>
      <c r="G788" s="1">
        <v>0</v>
      </c>
      <c r="H788" s="1">
        <v>1.3523341019099999</v>
      </c>
      <c r="I788" s="1">
        <v>2.20078003273</v>
      </c>
      <c r="J788" s="1">
        <v>0.91087074657599998</v>
      </c>
      <c r="K788" s="1">
        <v>26441.831250800002</v>
      </c>
      <c r="L788" s="1">
        <v>6778.5862371699995</v>
      </c>
      <c r="M788" s="1" t="s">
        <v>198</v>
      </c>
      <c r="N788" s="1" t="b">
        <v>1</v>
      </c>
    </row>
    <row r="789" spans="1:14" ht="19" customHeight="1" x14ac:dyDescent="0.3">
      <c r="A789">
        <v>784</v>
      </c>
      <c r="B789" s="1">
        <v>3</v>
      </c>
      <c r="C789" s="1">
        <v>90</v>
      </c>
      <c r="D789" s="1">
        <v>0.04</v>
      </c>
      <c r="E789" s="1">
        <v>0.06</v>
      </c>
      <c r="F789" s="1">
        <v>0</v>
      </c>
      <c r="G789" s="1">
        <v>1</v>
      </c>
      <c r="H789" s="1">
        <v>1.3523341019099999</v>
      </c>
      <c r="I789" s="1">
        <v>1.65058502455</v>
      </c>
      <c r="J789" s="1">
        <v>0.74691401219200004</v>
      </c>
      <c r="K789" s="1">
        <v>22347.3487742</v>
      </c>
      <c r="L789" s="1">
        <v>5558.4407144799998</v>
      </c>
      <c r="M789" s="1" t="s">
        <v>198</v>
      </c>
      <c r="N789" s="1" t="b">
        <v>1</v>
      </c>
    </row>
    <row r="790" spans="1:14" ht="19" customHeight="1" x14ac:dyDescent="0.3">
      <c r="A790">
        <v>785</v>
      </c>
      <c r="B790" s="1">
        <v>3</v>
      </c>
      <c r="C790" s="1">
        <v>90</v>
      </c>
      <c r="D790" s="1">
        <v>0.04</v>
      </c>
      <c r="E790" s="1">
        <v>0.06</v>
      </c>
      <c r="F790" s="1">
        <v>5</v>
      </c>
      <c r="G790" s="1">
        <v>0</v>
      </c>
      <c r="H790" s="1">
        <v>1.3222463412400001</v>
      </c>
      <c r="I790" s="1">
        <v>2.1518153997899998</v>
      </c>
      <c r="J790" s="1">
        <v>0.91837074657600004</v>
      </c>
      <c r="K790" s="1">
        <v>25853.533219100002</v>
      </c>
      <c r="L790" s="1">
        <v>6834.4002996700001</v>
      </c>
      <c r="M790" s="1" t="s">
        <v>198</v>
      </c>
      <c r="N790" s="1" t="b">
        <v>1</v>
      </c>
    </row>
    <row r="791" spans="1:14" ht="19" customHeight="1" x14ac:dyDescent="0.3">
      <c r="A791">
        <v>786</v>
      </c>
      <c r="B791" s="1">
        <v>3</v>
      </c>
      <c r="C791" s="1">
        <v>90</v>
      </c>
      <c r="D791" s="1">
        <v>0.04</v>
      </c>
      <c r="E791" s="1">
        <v>0.06</v>
      </c>
      <c r="F791" s="1">
        <v>5</v>
      </c>
      <c r="G791" s="1">
        <v>1</v>
      </c>
      <c r="H791" s="1">
        <v>1.3222463412400001</v>
      </c>
      <c r="I791" s="1">
        <v>1.61386154985</v>
      </c>
      <c r="J791" s="1">
        <v>0.75306401219200003</v>
      </c>
      <c r="K791" s="1">
        <v>21850.147912</v>
      </c>
      <c r="L791" s="1">
        <v>5604.2082457300003</v>
      </c>
      <c r="M791" s="1" t="s">
        <v>198</v>
      </c>
      <c r="N791" s="1" t="b">
        <v>1</v>
      </c>
    </row>
    <row r="792" spans="1:14" ht="19" customHeight="1" x14ac:dyDescent="0.3">
      <c r="A792">
        <v>787</v>
      </c>
      <c r="B792" s="1">
        <v>3</v>
      </c>
      <c r="C792" s="1">
        <v>90</v>
      </c>
      <c r="D792" s="1">
        <v>0.04</v>
      </c>
      <c r="E792" s="1">
        <v>8.5000000000000006E-2</v>
      </c>
      <c r="F792" s="1">
        <v>-5</v>
      </c>
      <c r="G792" s="1">
        <v>0</v>
      </c>
      <c r="H792" s="1">
        <v>1.21693002325</v>
      </c>
      <c r="I792" s="1">
        <v>1.9938409228</v>
      </c>
      <c r="J792" s="1">
        <v>0.90894587706499996</v>
      </c>
      <c r="K792" s="1">
        <v>23894.1560341</v>
      </c>
      <c r="L792" s="1">
        <v>6764.2615988799998</v>
      </c>
      <c r="M792" s="1" t="s">
        <v>198</v>
      </c>
      <c r="N792" s="1" t="b">
        <v>1</v>
      </c>
    </row>
    <row r="793" spans="1:14" ht="19" customHeight="1" x14ac:dyDescent="0.3">
      <c r="A793">
        <v>788</v>
      </c>
      <c r="B793" s="1">
        <v>3</v>
      </c>
      <c r="C793" s="1">
        <v>90</v>
      </c>
      <c r="D793" s="1">
        <v>0.04</v>
      </c>
      <c r="E793" s="1">
        <v>8.5000000000000006E-2</v>
      </c>
      <c r="F793" s="1">
        <v>-5</v>
      </c>
      <c r="G793" s="1">
        <v>1</v>
      </c>
      <c r="H793" s="1">
        <v>1.21693002325</v>
      </c>
      <c r="I793" s="1">
        <v>1.4953806920999999</v>
      </c>
      <c r="J793" s="1">
        <v>0.74533561919299995</v>
      </c>
      <c r="K793" s="1">
        <v>20184.6773048</v>
      </c>
      <c r="L793" s="1">
        <v>5546.6945110899997</v>
      </c>
      <c r="M793" s="1" t="s">
        <v>198</v>
      </c>
      <c r="N793" s="1" t="b">
        <v>1</v>
      </c>
    </row>
    <row r="794" spans="1:14" ht="19" customHeight="1" x14ac:dyDescent="0.3">
      <c r="A794">
        <v>789</v>
      </c>
      <c r="B794" s="1">
        <v>3</v>
      </c>
      <c r="C794" s="1">
        <v>90</v>
      </c>
      <c r="D794" s="1">
        <v>0.04</v>
      </c>
      <c r="E794" s="1">
        <v>8.5000000000000006E-2</v>
      </c>
      <c r="F794" s="1">
        <v>0</v>
      </c>
      <c r="G794" s="1">
        <v>0</v>
      </c>
      <c r="H794" s="1">
        <v>1.2446213075000001</v>
      </c>
      <c r="I794" s="1">
        <v>2.0392108411200001</v>
      </c>
      <c r="J794" s="1">
        <v>0.90144587706500001</v>
      </c>
      <c r="K794" s="1">
        <v>24437.868371</v>
      </c>
      <c r="L794" s="1">
        <v>6708.4475363800002</v>
      </c>
      <c r="M794" s="1" t="s">
        <v>198</v>
      </c>
      <c r="N794" s="1" t="b">
        <v>1</v>
      </c>
    </row>
    <row r="795" spans="1:14" ht="19" customHeight="1" x14ac:dyDescent="0.3">
      <c r="A795">
        <v>790</v>
      </c>
      <c r="B795" s="1">
        <v>3</v>
      </c>
      <c r="C795" s="1">
        <v>90</v>
      </c>
      <c r="D795" s="1">
        <v>0.04</v>
      </c>
      <c r="E795" s="1">
        <v>8.5000000000000006E-2</v>
      </c>
      <c r="F795" s="1">
        <v>0</v>
      </c>
      <c r="G795" s="1">
        <v>1</v>
      </c>
      <c r="H795" s="1">
        <v>1.2446213075000001</v>
      </c>
      <c r="I795" s="1">
        <v>1.52940813084</v>
      </c>
      <c r="J795" s="1">
        <v>0.73918561919299997</v>
      </c>
      <c r="K795" s="1">
        <v>20643.980326500001</v>
      </c>
      <c r="L795" s="1">
        <v>5500.9269798400001</v>
      </c>
      <c r="M795" s="1" t="s">
        <v>198</v>
      </c>
      <c r="N795" s="1" t="b">
        <v>1</v>
      </c>
    </row>
    <row r="796" spans="1:14" ht="19" customHeight="1" x14ac:dyDescent="0.3">
      <c r="A796">
        <v>791</v>
      </c>
      <c r="B796" s="1">
        <v>3</v>
      </c>
      <c r="C796" s="1">
        <v>90</v>
      </c>
      <c r="D796" s="1">
        <v>0.04</v>
      </c>
      <c r="E796" s="1">
        <v>8.5000000000000006E-2</v>
      </c>
      <c r="F796" s="1">
        <v>5</v>
      </c>
      <c r="G796" s="1">
        <v>0</v>
      </c>
      <c r="H796" s="1">
        <v>1.21693002325</v>
      </c>
      <c r="I796" s="1">
        <v>1.9938409228</v>
      </c>
      <c r="J796" s="1">
        <v>0.90894587706499996</v>
      </c>
      <c r="K796" s="1">
        <v>23894.1560341</v>
      </c>
      <c r="L796" s="1">
        <v>6764.2615988799998</v>
      </c>
      <c r="M796" s="1" t="s">
        <v>198</v>
      </c>
      <c r="N796" s="1" t="b">
        <v>1</v>
      </c>
    </row>
    <row r="797" spans="1:14" ht="19" customHeight="1" x14ac:dyDescent="0.3">
      <c r="A797">
        <v>792</v>
      </c>
      <c r="B797" s="1">
        <v>3</v>
      </c>
      <c r="C797" s="1">
        <v>90</v>
      </c>
      <c r="D797" s="1">
        <v>0.04</v>
      </c>
      <c r="E797" s="1">
        <v>8.5000000000000006E-2</v>
      </c>
      <c r="F797" s="1">
        <v>5</v>
      </c>
      <c r="G797" s="1">
        <v>1</v>
      </c>
      <c r="H797" s="1">
        <v>1.21693002325</v>
      </c>
      <c r="I797" s="1">
        <v>1.4953806920999999</v>
      </c>
      <c r="J797" s="1">
        <v>0.74533561919299995</v>
      </c>
      <c r="K797" s="1">
        <v>20184.6773048</v>
      </c>
      <c r="L797" s="1">
        <v>5546.6945110899997</v>
      </c>
      <c r="M797" s="1" t="s">
        <v>198</v>
      </c>
      <c r="N797" s="1" t="b">
        <v>1</v>
      </c>
    </row>
    <row r="798" spans="1:14" ht="19" customHeight="1" x14ac:dyDescent="0.3">
      <c r="A798">
        <v>793</v>
      </c>
      <c r="B798" s="1">
        <v>3</v>
      </c>
      <c r="C798" s="1">
        <v>90</v>
      </c>
      <c r="D798" s="1">
        <v>5.5E-2</v>
      </c>
      <c r="E798" s="1">
        <v>0.04</v>
      </c>
      <c r="F798" s="1">
        <v>-5</v>
      </c>
      <c r="G798" s="1">
        <v>0</v>
      </c>
      <c r="H798" s="1">
        <v>1.14116542362</v>
      </c>
      <c r="I798" s="1">
        <v>1.8801940233600001</v>
      </c>
      <c r="J798" s="1">
        <v>0.90216562231800002</v>
      </c>
      <c r="K798" s="1">
        <v>22484.579334599999</v>
      </c>
      <c r="L798" s="1">
        <v>6713.8037905900001</v>
      </c>
      <c r="M798" s="1" t="s">
        <v>198</v>
      </c>
      <c r="N798" s="1" t="b">
        <v>1</v>
      </c>
    </row>
    <row r="799" spans="1:14" ht="19" customHeight="1" x14ac:dyDescent="0.3">
      <c r="A799">
        <v>794</v>
      </c>
      <c r="B799" s="1">
        <v>3</v>
      </c>
      <c r="C799" s="1">
        <v>90</v>
      </c>
      <c r="D799" s="1">
        <v>5.5E-2</v>
      </c>
      <c r="E799" s="1">
        <v>0.04</v>
      </c>
      <c r="F799" s="1">
        <v>-5</v>
      </c>
      <c r="G799" s="1">
        <v>1</v>
      </c>
      <c r="H799" s="1">
        <v>1.14116542362</v>
      </c>
      <c r="I799" s="1">
        <v>1.4101455175199999</v>
      </c>
      <c r="J799" s="1">
        <v>0.73977581030100004</v>
      </c>
      <c r="K799" s="1">
        <v>18986.537110099998</v>
      </c>
      <c r="L799" s="1">
        <v>5505.3191082800004</v>
      </c>
      <c r="M799" s="1" t="s">
        <v>198</v>
      </c>
      <c r="N799" s="1" t="b">
        <v>1</v>
      </c>
    </row>
    <row r="800" spans="1:14" ht="19" customHeight="1" x14ac:dyDescent="0.3">
      <c r="A800">
        <v>795</v>
      </c>
      <c r="B800" s="1">
        <v>3</v>
      </c>
      <c r="C800" s="1">
        <v>90</v>
      </c>
      <c r="D800" s="1">
        <v>5.5E-2</v>
      </c>
      <c r="E800" s="1">
        <v>0.04</v>
      </c>
      <c r="F800" s="1">
        <v>0</v>
      </c>
      <c r="G800" s="1">
        <v>0</v>
      </c>
      <c r="H800" s="1">
        <v>1.1671326818300001</v>
      </c>
      <c r="I800" s="1">
        <v>1.9229779026</v>
      </c>
      <c r="J800" s="1">
        <v>0.89466562231799995</v>
      </c>
      <c r="K800" s="1">
        <v>22996.216705499999</v>
      </c>
      <c r="L800" s="1">
        <v>6657.9897280900004</v>
      </c>
      <c r="M800" s="1" t="s">
        <v>198</v>
      </c>
      <c r="N800" s="1" t="b">
        <v>1</v>
      </c>
    </row>
    <row r="801" spans="1:14" ht="19" customHeight="1" x14ac:dyDescent="0.3">
      <c r="A801">
        <v>796</v>
      </c>
      <c r="B801" s="1">
        <v>3</v>
      </c>
      <c r="C801" s="1">
        <v>90</v>
      </c>
      <c r="D801" s="1">
        <v>5.5E-2</v>
      </c>
      <c r="E801" s="1">
        <v>0.04</v>
      </c>
      <c r="F801" s="1">
        <v>0</v>
      </c>
      <c r="G801" s="1">
        <v>1</v>
      </c>
      <c r="H801" s="1">
        <v>1.1671326818300001</v>
      </c>
      <c r="I801" s="1">
        <v>1.4422334269499999</v>
      </c>
      <c r="J801" s="1">
        <v>0.73362581030100005</v>
      </c>
      <c r="K801" s="1">
        <v>19418.5764108</v>
      </c>
      <c r="L801" s="1">
        <v>5459.5515770299999</v>
      </c>
      <c r="M801" s="1" t="s">
        <v>198</v>
      </c>
      <c r="N801" s="1" t="b">
        <v>1</v>
      </c>
    </row>
    <row r="802" spans="1:14" ht="19" customHeight="1" x14ac:dyDescent="0.3">
      <c r="A802">
        <v>797</v>
      </c>
      <c r="B802" s="1">
        <v>3</v>
      </c>
      <c r="C802" s="1">
        <v>90</v>
      </c>
      <c r="D802" s="1">
        <v>5.5E-2</v>
      </c>
      <c r="E802" s="1">
        <v>0.04</v>
      </c>
      <c r="F802" s="1">
        <v>5</v>
      </c>
      <c r="G802" s="1">
        <v>0</v>
      </c>
      <c r="H802" s="1">
        <v>1.14116542362</v>
      </c>
      <c r="I802" s="1">
        <v>1.8801940233600001</v>
      </c>
      <c r="J802" s="1">
        <v>0.90216562231800002</v>
      </c>
      <c r="K802" s="1">
        <v>22484.579334599999</v>
      </c>
      <c r="L802" s="1">
        <v>6713.8037905900001</v>
      </c>
      <c r="M802" s="1" t="s">
        <v>198</v>
      </c>
      <c r="N802" s="1" t="b">
        <v>1</v>
      </c>
    </row>
    <row r="803" spans="1:14" ht="19" customHeight="1" x14ac:dyDescent="0.3">
      <c r="A803">
        <v>798</v>
      </c>
      <c r="B803" s="1">
        <v>3</v>
      </c>
      <c r="C803" s="1">
        <v>90</v>
      </c>
      <c r="D803" s="1">
        <v>5.5E-2</v>
      </c>
      <c r="E803" s="1">
        <v>0.04</v>
      </c>
      <c r="F803" s="1">
        <v>5</v>
      </c>
      <c r="G803" s="1">
        <v>1</v>
      </c>
      <c r="H803" s="1">
        <v>1.14116542362</v>
      </c>
      <c r="I803" s="1">
        <v>1.4101455175199999</v>
      </c>
      <c r="J803" s="1">
        <v>0.73977581030100004</v>
      </c>
      <c r="K803" s="1">
        <v>18986.537110099998</v>
      </c>
      <c r="L803" s="1">
        <v>5505.3191082800004</v>
      </c>
      <c r="M803" s="1" t="s">
        <v>198</v>
      </c>
      <c r="N803" s="1" t="b">
        <v>1</v>
      </c>
    </row>
    <row r="804" spans="1:14" ht="19" customHeight="1" x14ac:dyDescent="0.3">
      <c r="A804">
        <v>799</v>
      </c>
      <c r="B804" s="1">
        <v>3</v>
      </c>
      <c r="C804" s="1">
        <v>90</v>
      </c>
      <c r="D804" s="1">
        <v>5.5E-2</v>
      </c>
      <c r="E804" s="1">
        <v>0.06</v>
      </c>
      <c r="F804" s="1">
        <v>-5</v>
      </c>
      <c r="G804" s="1">
        <v>0</v>
      </c>
      <c r="H804" s="1">
        <v>1.16879502333</v>
      </c>
      <c r="I804" s="1">
        <v>1.9216384229200001</v>
      </c>
      <c r="J804" s="1">
        <v>0.90463822463499999</v>
      </c>
      <c r="K804" s="1">
        <v>22998.6194029</v>
      </c>
      <c r="L804" s="1">
        <v>6732.20458796</v>
      </c>
      <c r="M804" s="1" t="s">
        <v>198</v>
      </c>
      <c r="N804" s="1" t="b">
        <v>1</v>
      </c>
    </row>
    <row r="805" spans="1:14" ht="19" customHeight="1" x14ac:dyDescent="0.3">
      <c r="A805">
        <v>800</v>
      </c>
      <c r="B805" s="1">
        <v>3</v>
      </c>
      <c r="C805" s="1">
        <v>90</v>
      </c>
      <c r="D805" s="1">
        <v>5.5E-2</v>
      </c>
      <c r="E805" s="1">
        <v>0.06</v>
      </c>
      <c r="F805" s="1">
        <v>-5</v>
      </c>
      <c r="G805" s="1">
        <v>1</v>
      </c>
      <c r="H805" s="1">
        <v>1.16879502333</v>
      </c>
      <c r="I805" s="1">
        <v>1.4412288171900001</v>
      </c>
      <c r="J805" s="1">
        <v>0.74180334420100003</v>
      </c>
      <c r="K805" s="1">
        <v>19423.471168200002</v>
      </c>
      <c r="L805" s="1">
        <v>5520.4077621200004</v>
      </c>
      <c r="M805" s="1" t="s">
        <v>198</v>
      </c>
      <c r="N805" s="1" t="b">
        <v>1</v>
      </c>
    </row>
    <row r="806" spans="1:14" ht="19" customHeight="1" x14ac:dyDescent="0.3">
      <c r="A806">
        <v>801</v>
      </c>
      <c r="B806" s="1">
        <v>3</v>
      </c>
      <c r="C806" s="1">
        <v>90</v>
      </c>
      <c r="D806" s="1">
        <v>5.5E-2</v>
      </c>
      <c r="E806" s="1">
        <v>0.06</v>
      </c>
      <c r="F806" s="1">
        <v>0</v>
      </c>
      <c r="G806" s="1">
        <v>0</v>
      </c>
      <c r="H806" s="1">
        <v>1.19539099402</v>
      </c>
      <c r="I806" s="1">
        <v>1.9653653708900001</v>
      </c>
      <c r="J806" s="1">
        <v>0.89713822463500004</v>
      </c>
      <c r="K806" s="1">
        <v>23521.953773099998</v>
      </c>
      <c r="L806" s="1">
        <v>6676.3905254600004</v>
      </c>
      <c r="M806" s="1" t="s">
        <v>198</v>
      </c>
      <c r="N806" s="1" t="b">
        <v>1</v>
      </c>
    </row>
    <row r="807" spans="1:14" ht="19" customHeight="1" x14ac:dyDescent="0.3">
      <c r="A807">
        <v>802</v>
      </c>
      <c r="B807" s="1">
        <v>3</v>
      </c>
      <c r="C807" s="1">
        <v>90</v>
      </c>
      <c r="D807" s="1">
        <v>5.5E-2</v>
      </c>
      <c r="E807" s="1">
        <v>0.06</v>
      </c>
      <c r="F807" s="1">
        <v>0</v>
      </c>
      <c r="G807" s="1">
        <v>1</v>
      </c>
      <c r="H807" s="1">
        <v>1.19539099402</v>
      </c>
      <c r="I807" s="1">
        <v>1.4740240281699999</v>
      </c>
      <c r="J807" s="1">
        <v>0.73565334420100004</v>
      </c>
      <c r="K807" s="1">
        <v>19865.452918200001</v>
      </c>
      <c r="L807" s="1">
        <v>5474.6402308699999</v>
      </c>
      <c r="M807" s="1" t="s">
        <v>198</v>
      </c>
      <c r="N807" s="1" t="b">
        <v>1</v>
      </c>
    </row>
    <row r="808" spans="1:14" ht="19" customHeight="1" x14ac:dyDescent="0.3">
      <c r="A808">
        <v>803</v>
      </c>
      <c r="B808" s="1">
        <v>3</v>
      </c>
      <c r="C808" s="1">
        <v>90</v>
      </c>
      <c r="D808" s="1">
        <v>5.5E-2</v>
      </c>
      <c r="E808" s="1">
        <v>0.06</v>
      </c>
      <c r="F808" s="1">
        <v>5</v>
      </c>
      <c r="G808" s="1">
        <v>0</v>
      </c>
      <c r="H808" s="1">
        <v>1.16879502333</v>
      </c>
      <c r="I808" s="1">
        <v>1.9216384229200001</v>
      </c>
      <c r="J808" s="1">
        <v>0.90463822463499999</v>
      </c>
      <c r="K808" s="1">
        <v>22998.6194029</v>
      </c>
      <c r="L808" s="1">
        <v>6732.20458796</v>
      </c>
      <c r="M808" s="1" t="s">
        <v>198</v>
      </c>
      <c r="N808" s="1" t="b">
        <v>1</v>
      </c>
    </row>
    <row r="809" spans="1:14" ht="19" customHeight="1" x14ac:dyDescent="0.3">
      <c r="A809">
        <v>804</v>
      </c>
      <c r="B809" s="1">
        <v>3</v>
      </c>
      <c r="C809" s="1">
        <v>90</v>
      </c>
      <c r="D809" s="1">
        <v>5.5E-2</v>
      </c>
      <c r="E809" s="1">
        <v>0.06</v>
      </c>
      <c r="F809" s="1">
        <v>5</v>
      </c>
      <c r="G809" s="1">
        <v>1</v>
      </c>
      <c r="H809" s="1">
        <v>1.16879502333</v>
      </c>
      <c r="I809" s="1">
        <v>1.4412288171900001</v>
      </c>
      <c r="J809" s="1">
        <v>0.74180334420100003</v>
      </c>
      <c r="K809" s="1">
        <v>19423.471168200002</v>
      </c>
      <c r="L809" s="1">
        <v>5520.4077621200004</v>
      </c>
      <c r="M809" s="1" t="s">
        <v>198</v>
      </c>
      <c r="N809" s="1" t="b">
        <v>1</v>
      </c>
    </row>
    <row r="810" spans="1:14" ht="19" customHeight="1" x14ac:dyDescent="0.3">
      <c r="A810">
        <v>805</v>
      </c>
      <c r="B810" s="1">
        <v>3</v>
      </c>
      <c r="C810" s="1">
        <v>90</v>
      </c>
      <c r="D810" s="1">
        <v>5.5E-2</v>
      </c>
      <c r="E810" s="1">
        <v>8.5000000000000006E-2</v>
      </c>
      <c r="F810" s="1">
        <v>-5</v>
      </c>
      <c r="G810" s="1">
        <v>0</v>
      </c>
      <c r="H810" s="1">
        <v>1.09816047782</v>
      </c>
      <c r="I810" s="1">
        <v>1.81568660466</v>
      </c>
      <c r="J810" s="1">
        <v>0.89831706389699995</v>
      </c>
      <c r="K810" s="1">
        <v>21684.485756900001</v>
      </c>
      <c r="L810" s="1">
        <v>6685.1632998900004</v>
      </c>
      <c r="M810" s="1" t="s">
        <v>198</v>
      </c>
      <c r="N810" s="1" t="b">
        <v>1</v>
      </c>
    </row>
    <row r="811" spans="1:14" ht="19" customHeight="1" x14ac:dyDescent="0.3">
      <c r="A811">
        <v>806</v>
      </c>
      <c r="B811" s="1">
        <v>3</v>
      </c>
      <c r="C811" s="1">
        <v>90</v>
      </c>
      <c r="D811" s="1">
        <v>5.5E-2</v>
      </c>
      <c r="E811" s="1">
        <v>8.5000000000000006E-2</v>
      </c>
      <c r="F811" s="1">
        <v>-5</v>
      </c>
      <c r="G811" s="1">
        <v>1</v>
      </c>
      <c r="H811" s="1">
        <v>1.09816047782</v>
      </c>
      <c r="I811" s="1">
        <v>1.36176495349</v>
      </c>
      <c r="J811" s="1">
        <v>0.73661999239499998</v>
      </c>
      <c r="K811" s="1">
        <v>18306.457569099999</v>
      </c>
      <c r="L811" s="1">
        <v>5481.8339059099999</v>
      </c>
      <c r="M811" s="1" t="s">
        <v>198</v>
      </c>
      <c r="N811" s="1" t="b">
        <v>1</v>
      </c>
    </row>
    <row r="812" spans="1:14" ht="19" customHeight="1" x14ac:dyDescent="0.3">
      <c r="A812">
        <v>807</v>
      </c>
      <c r="B812" s="1">
        <v>3</v>
      </c>
      <c r="C812" s="1">
        <v>90</v>
      </c>
      <c r="D812" s="1">
        <v>5.5E-2</v>
      </c>
      <c r="E812" s="1">
        <v>8.5000000000000006E-2</v>
      </c>
      <c r="F812" s="1">
        <v>0</v>
      </c>
      <c r="G812" s="1">
        <v>0</v>
      </c>
      <c r="H812" s="1">
        <v>1.1231491570100001</v>
      </c>
      <c r="I812" s="1">
        <v>1.8570026153800001</v>
      </c>
      <c r="J812" s="1">
        <v>0.89081706389699999</v>
      </c>
      <c r="K812" s="1">
        <v>22177.9169711</v>
      </c>
      <c r="L812" s="1">
        <v>6629.3492373899999</v>
      </c>
      <c r="M812" s="1" t="s">
        <v>198</v>
      </c>
      <c r="N812" s="1" t="b">
        <v>1</v>
      </c>
    </row>
    <row r="813" spans="1:14" ht="19" customHeight="1" x14ac:dyDescent="0.3">
      <c r="A813">
        <v>808</v>
      </c>
      <c r="B813" s="1">
        <v>3</v>
      </c>
      <c r="C813" s="1">
        <v>90</v>
      </c>
      <c r="D813" s="1">
        <v>5.5E-2</v>
      </c>
      <c r="E813" s="1">
        <v>8.5000000000000006E-2</v>
      </c>
      <c r="F813" s="1">
        <v>0</v>
      </c>
      <c r="G813" s="1">
        <v>1</v>
      </c>
      <c r="H813" s="1">
        <v>1.1231491570100001</v>
      </c>
      <c r="I813" s="1">
        <v>1.3927519615299999</v>
      </c>
      <c r="J813" s="1">
        <v>0.73046999239499999</v>
      </c>
      <c r="K813" s="1">
        <v>18723.021636599999</v>
      </c>
      <c r="L813" s="1">
        <v>5436.0663746600003</v>
      </c>
      <c r="M813" s="1" t="s">
        <v>198</v>
      </c>
      <c r="N813" s="1" t="b">
        <v>1</v>
      </c>
    </row>
    <row r="814" spans="1:14" ht="19" customHeight="1" x14ac:dyDescent="0.3">
      <c r="A814">
        <v>809</v>
      </c>
      <c r="B814" s="1">
        <v>3</v>
      </c>
      <c r="C814" s="1">
        <v>90</v>
      </c>
      <c r="D814" s="1">
        <v>5.5E-2</v>
      </c>
      <c r="E814" s="1">
        <v>8.5000000000000006E-2</v>
      </c>
      <c r="F814" s="1">
        <v>5</v>
      </c>
      <c r="G814" s="1">
        <v>0</v>
      </c>
      <c r="H814" s="1">
        <v>1.09816047782</v>
      </c>
      <c r="I814" s="1">
        <v>1.81568660466</v>
      </c>
      <c r="J814" s="1">
        <v>0.89831706389699995</v>
      </c>
      <c r="K814" s="1">
        <v>21684.485756900001</v>
      </c>
      <c r="L814" s="1">
        <v>6685.1632998900004</v>
      </c>
      <c r="M814" s="1" t="s">
        <v>198</v>
      </c>
      <c r="N814" s="1" t="b">
        <v>1</v>
      </c>
    </row>
    <row r="815" spans="1:14" ht="19" customHeight="1" x14ac:dyDescent="0.3">
      <c r="A815">
        <v>810</v>
      </c>
      <c r="B815" s="1">
        <v>3</v>
      </c>
      <c r="C815" s="1">
        <v>90</v>
      </c>
      <c r="D815" s="1">
        <v>5.5E-2</v>
      </c>
      <c r="E815" s="1">
        <v>8.5000000000000006E-2</v>
      </c>
      <c r="F815" s="1">
        <v>5</v>
      </c>
      <c r="G815" s="1">
        <v>1</v>
      </c>
      <c r="H815" s="1">
        <v>1.09816047782</v>
      </c>
      <c r="I815" s="1">
        <v>1.36176495349</v>
      </c>
      <c r="J815" s="1">
        <v>0.73661999239499998</v>
      </c>
      <c r="K815" s="1">
        <v>18306.457569099999</v>
      </c>
      <c r="L815" s="1">
        <v>5481.8339059099999</v>
      </c>
      <c r="M815" s="1" t="s">
        <v>198</v>
      </c>
      <c r="N815" s="1" t="b">
        <v>1</v>
      </c>
    </row>
    <row r="816" spans="1:14" ht="19" customHeight="1" x14ac:dyDescent="0.3">
      <c r="A816">
        <v>811</v>
      </c>
      <c r="B816" s="1">
        <v>4</v>
      </c>
      <c r="C816" s="1">
        <v>0</v>
      </c>
      <c r="D816" s="1">
        <v>2.5000000000000001E-2</v>
      </c>
      <c r="E816" s="1">
        <v>0.04</v>
      </c>
      <c r="F816" s="1">
        <v>-5</v>
      </c>
      <c r="G816" s="1">
        <v>0</v>
      </c>
      <c r="H816" s="1">
        <v>1.2850160855699999</v>
      </c>
      <c r="I816" s="1">
        <v>1.82631738182</v>
      </c>
      <c r="J816" s="1">
        <v>0.68279230308000005</v>
      </c>
      <c r="K816" s="1">
        <v>0</v>
      </c>
      <c r="L816" s="1">
        <v>0</v>
      </c>
      <c r="M816" s="1" t="s">
        <v>198</v>
      </c>
      <c r="N816" s="1" t="b">
        <v>1</v>
      </c>
    </row>
    <row r="817" spans="1:14" ht="19" customHeight="1" x14ac:dyDescent="0.3">
      <c r="A817">
        <v>812</v>
      </c>
      <c r="B817" s="1">
        <v>4</v>
      </c>
      <c r="C817" s="1">
        <v>0</v>
      </c>
      <c r="D817" s="1">
        <v>2.5000000000000001E-2</v>
      </c>
      <c r="E817" s="1">
        <v>0.04</v>
      </c>
      <c r="F817" s="1">
        <v>-5</v>
      </c>
      <c r="G817" s="1">
        <v>1</v>
      </c>
      <c r="H817" s="1">
        <v>1.2850160855699999</v>
      </c>
      <c r="I817" s="1">
        <v>1.36973803636</v>
      </c>
      <c r="J817" s="1">
        <v>0.55988968852499998</v>
      </c>
      <c r="K817" s="1">
        <v>0</v>
      </c>
      <c r="L817" s="1">
        <v>0</v>
      </c>
      <c r="M817" s="1" t="s">
        <v>198</v>
      </c>
      <c r="N817" s="1" t="b">
        <v>1</v>
      </c>
    </row>
    <row r="818" spans="1:14" ht="19" customHeight="1" x14ac:dyDescent="0.3">
      <c r="A818">
        <v>813</v>
      </c>
      <c r="B818" s="1">
        <v>4</v>
      </c>
      <c r="C818" s="1">
        <v>0</v>
      </c>
      <c r="D818" s="1">
        <v>2.5000000000000001E-2</v>
      </c>
      <c r="E818" s="1">
        <v>0.04</v>
      </c>
      <c r="F818" s="1">
        <v>0</v>
      </c>
      <c r="G818" s="1">
        <v>0</v>
      </c>
      <c r="H818" s="1">
        <v>1.3142566704900001</v>
      </c>
      <c r="I818" s="1">
        <v>1.86787529623</v>
      </c>
      <c r="J818" s="1">
        <v>0.67529230307999999</v>
      </c>
      <c r="K818" s="1">
        <v>0</v>
      </c>
      <c r="L818" s="1">
        <v>0</v>
      </c>
      <c r="M818" s="1" t="s">
        <v>198</v>
      </c>
      <c r="N818" s="1" t="b">
        <v>1</v>
      </c>
    </row>
    <row r="819" spans="1:14" ht="19" customHeight="1" x14ac:dyDescent="0.3">
      <c r="A819">
        <v>814</v>
      </c>
      <c r="B819" s="1">
        <v>4</v>
      </c>
      <c r="C819" s="1">
        <v>0</v>
      </c>
      <c r="D819" s="1">
        <v>2.5000000000000001E-2</v>
      </c>
      <c r="E819" s="1">
        <v>0.04</v>
      </c>
      <c r="F819" s="1">
        <v>0</v>
      </c>
      <c r="G819" s="1">
        <v>1</v>
      </c>
      <c r="H819" s="1">
        <v>1.3142566704900001</v>
      </c>
      <c r="I819" s="1">
        <v>1.40090647218</v>
      </c>
      <c r="J819" s="1">
        <v>0.553739688525</v>
      </c>
      <c r="K819" s="1">
        <v>0</v>
      </c>
      <c r="L819" s="1">
        <v>0</v>
      </c>
      <c r="M819" s="1" t="s">
        <v>198</v>
      </c>
      <c r="N819" s="1" t="b">
        <v>1</v>
      </c>
    </row>
    <row r="820" spans="1:14" ht="19" customHeight="1" x14ac:dyDescent="0.3">
      <c r="A820">
        <v>815</v>
      </c>
      <c r="B820" s="1">
        <v>4</v>
      </c>
      <c r="C820" s="1">
        <v>0</v>
      </c>
      <c r="D820" s="1">
        <v>2.5000000000000001E-2</v>
      </c>
      <c r="E820" s="1">
        <v>0.04</v>
      </c>
      <c r="F820" s="1">
        <v>5</v>
      </c>
      <c r="G820" s="1">
        <v>0</v>
      </c>
      <c r="H820" s="1">
        <v>1.2850160855699999</v>
      </c>
      <c r="I820" s="1">
        <v>1.82631738182</v>
      </c>
      <c r="J820" s="1">
        <v>0.68279230308000005</v>
      </c>
      <c r="K820" s="1">
        <v>0</v>
      </c>
      <c r="L820" s="1">
        <v>0</v>
      </c>
      <c r="M820" s="1" t="s">
        <v>198</v>
      </c>
      <c r="N820" s="1" t="b">
        <v>1</v>
      </c>
    </row>
    <row r="821" spans="1:14" ht="19" customHeight="1" x14ac:dyDescent="0.3">
      <c r="A821">
        <v>816</v>
      </c>
      <c r="B821" s="1">
        <v>4</v>
      </c>
      <c r="C821" s="1">
        <v>0</v>
      </c>
      <c r="D821" s="1">
        <v>2.5000000000000001E-2</v>
      </c>
      <c r="E821" s="1">
        <v>0.04</v>
      </c>
      <c r="F821" s="1">
        <v>5</v>
      </c>
      <c r="G821" s="1">
        <v>1</v>
      </c>
      <c r="H821" s="1">
        <v>1.2850160855699999</v>
      </c>
      <c r="I821" s="1">
        <v>1.36973803636</v>
      </c>
      <c r="J821" s="1">
        <v>0.55988968852499998</v>
      </c>
      <c r="K821" s="1">
        <v>0</v>
      </c>
      <c r="L821" s="1">
        <v>0</v>
      </c>
      <c r="M821" s="1" t="s">
        <v>198</v>
      </c>
      <c r="N821" s="1" t="b">
        <v>1</v>
      </c>
    </row>
    <row r="822" spans="1:14" ht="19" customHeight="1" x14ac:dyDescent="0.3">
      <c r="A822">
        <v>817</v>
      </c>
      <c r="B822" s="1">
        <v>4</v>
      </c>
      <c r="C822" s="1">
        <v>0</v>
      </c>
      <c r="D822" s="1">
        <v>2.5000000000000001E-2</v>
      </c>
      <c r="E822" s="1">
        <v>0.06</v>
      </c>
      <c r="F822" s="1">
        <v>-5</v>
      </c>
      <c r="G822" s="1">
        <v>0</v>
      </c>
      <c r="H822" s="1">
        <v>1.3256310992</v>
      </c>
      <c r="I822" s="1">
        <v>1.8872399022699999</v>
      </c>
      <c r="J822" s="1">
        <v>0.68642698392500001</v>
      </c>
      <c r="K822" s="1">
        <v>0</v>
      </c>
      <c r="L822" s="1">
        <v>0</v>
      </c>
      <c r="M822" s="1" t="s">
        <v>198</v>
      </c>
      <c r="N822" s="1" t="b">
        <v>1</v>
      </c>
    </row>
    <row r="823" spans="1:14" ht="19" customHeight="1" x14ac:dyDescent="0.3">
      <c r="A823">
        <v>818</v>
      </c>
      <c r="B823" s="1">
        <v>4</v>
      </c>
      <c r="C823" s="1">
        <v>0</v>
      </c>
      <c r="D823" s="1">
        <v>2.5000000000000001E-2</v>
      </c>
      <c r="E823" s="1">
        <v>0.06</v>
      </c>
      <c r="F823" s="1">
        <v>-5</v>
      </c>
      <c r="G823" s="1">
        <v>1</v>
      </c>
      <c r="H823" s="1">
        <v>1.3256310992</v>
      </c>
      <c r="I823" s="1">
        <v>1.4154299266999999</v>
      </c>
      <c r="J823" s="1">
        <v>0.56287012681799997</v>
      </c>
      <c r="K823" s="1">
        <v>0</v>
      </c>
      <c r="L823" s="1">
        <v>0</v>
      </c>
      <c r="M823" s="1" t="s">
        <v>198</v>
      </c>
      <c r="N823" s="1" t="b">
        <v>1</v>
      </c>
    </row>
    <row r="824" spans="1:14" ht="19" customHeight="1" x14ac:dyDescent="0.3">
      <c r="A824">
        <v>819</v>
      </c>
      <c r="B824" s="1">
        <v>4</v>
      </c>
      <c r="C824" s="1">
        <v>0</v>
      </c>
      <c r="D824" s="1">
        <v>2.5000000000000001E-2</v>
      </c>
      <c r="E824" s="1">
        <v>0.06</v>
      </c>
      <c r="F824" s="1">
        <v>0</v>
      </c>
      <c r="G824" s="1">
        <v>0</v>
      </c>
      <c r="H824" s="1">
        <v>1.3557958801500001</v>
      </c>
      <c r="I824" s="1">
        <v>1.93018411072</v>
      </c>
      <c r="J824" s="1">
        <v>0.67892698392499995</v>
      </c>
      <c r="K824" s="1">
        <v>0</v>
      </c>
      <c r="L824" s="1">
        <v>0</v>
      </c>
      <c r="M824" s="1" t="s">
        <v>198</v>
      </c>
      <c r="N824" s="1" t="b">
        <v>1</v>
      </c>
    </row>
    <row r="825" spans="1:14" ht="19" customHeight="1" x14ac:dyDescent="0.3">
      <c r="A825">
        <v>820</v>
      </c>
      <c r="B825" s="1">
        <v>4</v>
      </c>
      <c r="C825" s="1">
        <v>0</v>
      </c>
      <c r="D825" s="1">
        <v>2.5000000000000001E-2</v>
      </c>
      <c r="E825" s="1">
        <v>0.06</v>
      </c>
      <c r="F825" s="1">
        <v>0</v>
      </c>
      <c r="G825" s="1">
        <v>1</v>
      </c>
      <c r="H825" s="1">
        <v>1.3557958801500001</v>
      </c>
      <c r="I825" s="1">
        <v>1.44763808304</v>
      </c>
      <c r="J825" s="1">
        <v>0.55672012681799998</v>
      </c>
      <c r="K825" s="1">
        <v>0</v>
      </c>
      <c r="L825" s="1">
        <v>0</v>
      </c>
      <c r="M825" s="1" t="s">
        <v>198</v>
      </c>
      <c r="N825" s="1" t="b">
        <v>1</v>
      </c>
    </row>
    <row r="826" spans="1:14" ht="19" customHeight="1" x14ac:dyDescent="0.3">
      <c r="A826">
        <v>821</v>
      </c>
      <c r="B826" s="1">
        <v>4</v>
      </c>
      <c r="C826" s="1">
        <v>0</v>
      </c>
      <c r="D826" s="1">
        <v>2.5000000000000001E-2</v>
      </c>
      <c r="E826" s="1">
        <v>0.06</v>
      </c>
      <c r="F826" s="1">
        <v>5</v>
      </c>
      <c r="G826" s="1">
        <v>0</v>
      </c>
      <c r="H826" s="1">
        <v>1.3256310992</v>
      </c>
      <c r="I826" s="1">
        <v>1.8872399022699999</v>
      </c>
      <c r="J826" s="1">
        <v>0.68642698392500001</v>
      </c>
      <c r="K826" s="1">
        <v>0</v>
      </c>
      <c r="L826" s="1">
        <v>0</v>
      </c>
      <c r="M826" s="1" t="s">
        <v>198</v>
      </c>
      <c r="N826" s="1" t="b">
        <v>1</v>
      </c>
    </row>
    <row r="827" spans="1:14" ht="19" customHeight="1" x14ac:dyDescent="0.3">
      <c r="A827">
        <v>822</v>
      </c>
      <c r="B827" s="1">
        <v>4</v>
      </c>
      <c r="C827" s="1">
        <v>0</v>
      </c>
      <c r="D827" s="1">
        <v>2.5000000000000001E-2</v>
      </c>
      <c r="E827" s="1">
        <v>0.06</v>
      </c>
      <c r="F827" s="1">
        <v>5</v>
      </c>
      <c r="G827" s="1">
        <v>1</v>
      </c>
      <c r="H827" s="1">
        <v>1.3256310992</v>
      </c>
      <c r="I827" s="1">
        <v>1.4154299266999999</v>
      </c>
      <c r="J827" s="1">
        <v>0.56287012681799997</v>
      </c>
      <c r="K827" s="1">
        <v>0</v>
      </c>
      <c r="L827" s="1">
        <v>0</v>
      </c>
      <c r="M827" s="1" t="s">
        <v>198</v>
      </c>
      <c r="N827" s="1" t="b">
        <v>1</v>
      </c>
    </row>
    <row r="828" spans="1:14" ht="19" customHeight="1" x14ac:dyDescent="0.3">
      <c r="A828">
        <v>823</v>
      </c>
      <c r="B828" s="1">
        <v>4</v>
      </c>
      <c r="C828" s="1">
        <v>0</v>
      </c>
      <c r="D828" s="1">
        <v>2.5000000000000001E-2</v>
      </c>
      <c r="E828" s="1">
        <v>8.5000000000000006E-2</v>
      </c>
      <c r="F828" s="1">
        <v>-5</v>
      </c>
      <c r="G828" s="1">
        <v>0</v>
      </c>
      <c r="H828" s="1">
        <v>1.2217995902600001</v>
      </c>
      <c r="I828" s="1">
        <v>1.73149263885</v>
      </c>
      <c r="J828" s="1">
        <v>0.67713499155800005</v>
      </c>
      <c r="K828" s="1">
        <v>0</v>
      </c>
      <c r="L828" s="1">
        <v>0</v>
      </c>
      <c r="M828" s="1" t="s">
        <v>198</v>
      </c>
      <c r="N828" s="1" t="b">
        <v>1</v>
      </c>
    </row>
    <row r="829" spans="1:14" ht="19" customHeight="1" x14ac:dyDescent="0.3">
      <c r="A829">
        <v>824</v>
      </c>
      <c r="B829" s="1">
        <v>4</v>
      </c>
      <c r="C829" s="1">
        <v>0</v>
      </c>
      <c r="D829" s="1">
        <v>2.5000000000000001E-2</v>
      </c>
      <c r="E829" s="1">
        <v>8.5000000000000006E-2</v>
      </c>
      <c r="F829" s="1">
        <v>-5</v>
      </c>
      <c r="G829" s="1">
        <v>1</v>
      </c>
      <c r="H829" s="1">
        <v>1.2217995902600001</v>
      </c>
      <c r="I829" s="1">
        <v>1.2986194791400001</v>
      </c>
      <c r="J829" s="1">
        <v>0.55525069307700003</v>
      </c>
      <c r="K829" s="1">
        <v>0</v>
      </c>
      <c r="L829" s="1">
        <v>0</v>
      </c>
      <c r="M829" s="1" t="s">
        <v>198</v>
      </c>
      <c r="N829" s="1" t="b">
        <v>1</v>
      </c>
    </row>
    <row r="830" spans="1:14" ht="19" customHeight="1" x14ac:dyDescent="0.3">
      <c r="A830">
        <v>825</v>
      </c>
      <c r="B830" s="1">
        <v>4</v>
      </c>
      <c r="C830" s="1">
        <v>0</v>
      </c>
      <c r="D830" s="1">
        <v>2.5000000000000001E-2</v>
      </c>
      <c r="E830" s="1">
        <v>8.5000000000000006E-2</v>
      </c>
      <c r="F830" s="1">
        <v>0</v>
      </c>
      <c r="G830" s="1">
        <v>0</v>
      </c>
      <c r="H830" s="1">
        <v>1.24960168168</v>
      </c>
      <c r="I830" s="1">
        <v>1.7708928130099999</v>
      </c>
      <c r="J830" s="1">
        <v>0.66963499155799999</v>
      </c>
      <c r="K830" s="1">
        <v>0</v>
      </c>
      <c r="L830" s="1">
        <v>0</v>
      </c>
      <c r="M830" s="1" t="s">
        <v>198</v>
      </c>
      <c r="N830" s="1" t="b">
        <v>1</v>
      </c>
    </row>
    <row r="831" spans="1:14" ht="19" customHeight="1" x14ac:dyDescent="0.3">
      <c r="A831">
        <v>826</v>
      </c>
      <c r="B831" s="1">
        <v>4</v>
      </c>
      <c r="C831" s="1">
        <v>0</v>
      </c>
      <c r="D831" s="1">
        <v>2.5000000000000001E-2</v>
      </c>
      <c r="E831" s="1">
        <v>8.5000000000000006E-2</v>
      </c>
      <c r="F831" s="1">
        <v>0</v>
      </c>
      <c r="G831" s="1">
        <v>1</v>
      </c>
      <c r="H831" s="1">
        <v>1.24960168168</v>
      </c>
      <c r="I831" s="1">
        <v>1.32816960975</v>
      </c>
      <c r="J831" s="1">
        <v>0.54910069307700005</v>
      </c>
      <c r="K831" s="1">
        <v>0</v>
      </c>
      <c r="L831" s="1">
        <v>0</v>
      </c>
      <c r="M831" s="1" t="s">
        <v>198</v>
      </c>
      <c r="N831" s="1" t="b">
        <v>1</v>
      </c>
    </row>
    <row r="832" spans="1:14" ht="19" customHeight="1" x14ac:dyDescent="0.3">
      <c r="A832">
        <v>827</v>
      </c>
      <c r="B832" s="1">
        <v>4</v>
      </c>
      <c r="C832" s="1">
        <v>0</v>
      </c>
      <c r="D832" s="1">
        <v>2.5000000000000001E-2</v>
      </c>
      <c r="E832" s="1">
        <v>8.5000000000000006E-2</v>
      </c>
      <c r="F832" s="1">
        <v>5</v>
      </c>
      <c r="G832" s="1">
        <v>0</v>
      </c>
      <c r="H832" s="1">
        <v>1.2217995902600001</v>
      </c>
      <c r="I832" s="1">
        <v>1.73149263885</v>
      </c>
      <c r="J832" s="1">
        <v>0.67713499155800005</v>
      </c>
      <c r="K832" s="1">
        <v>0</v>
      </c>
      <c r="L832" s="1">
        <v>0</v>
      </c>
      <c r="M832" s="1" t="s">
        <v>198</v>
      </c>
      <c r="N832" s="1" t="b">
        <v>1</v>
      </c>
    </row>
    <row r="833" spans="1:14" ht="19" customHeight="1" x14ac:dyDescent="0.3">
      <c r="A833">
        <v>828</v>
      </c>
      <c r="B833" s="1">
        <v>4</v>
      </c>
      <c r="C833" s="1">
        <v>0</v>
      </c>
      <c r="D833" s="1">
        <v>2.5000000000000001E-2</v>
      </c>
      <c r="E833" s="1">
        <v>8.5000000000000006E-2</v>
      </c>
      <c r="F833" s="1">
        <v>5</v>
      </c>
      <c r="G833" s="1">
        <v>1</v>
      </c>
      <c r="H833" s="1">
        <v>1.2217995902600001</v>
      </c>
      <c r="I833" s="1">
        <v>1.2986194791400001</v>
      </c>
      <c r="J833" s="1">
        <v>0.55525069307700003</v>
      </c>
      <c r="K833" s="1">
        <v>0</v>
      </c>
      <c r="L833" s="1">
        <v>0</v>
      </c>
      <c r="M833" s="1" t="s">
        <v>198</v>
      </c>
      <c r="N833" s="1" t="b">
        <v>1</v>
      </c>
    </row>
    <row r="834" spans="1:14" ht="19" customHeight="1" x14ac:dyDescent="0.3">
      <c r="A834">
        <v>829</v>
      </c>
      <c r="B834" s="1">
        <v>4</v>
      </c>
      <c r="C834" s="1">
        <v>0</v>
      </c>
      <c r="D834" s="1">
        <v>0.04</v>
      </c>
      <c r="E834" s="1">
        <v>0.04</v>
      </c>
      <c r="F834" s="1">
        <v>-5</v>
      </c>
      <c r="G834" s="1">
        <v>0</v>
      </c>
      <c r="H834" s="1">
        <v>1.29100489902</v>
      </c>
      <c r="I834" s="1">
        <v>1.835300602</v>
      </c>
      <c r="J834" s="1">
        <v>0.68332824837600004</v>
      </c>
      <c r="K834" s="1">
        <v>0</v>
      </c>
      <c r="L834" s="1">
        <v>0</v>
      </c>
      <c r="M834" s="1" t="s">
        <v>198</v>
      </c>
      <c r="N834" s="1" t="b">
        <v>1</v>
      </c>
    </row>
    <row r="835" spans="1:14" ht="19" customHeight="1" x14ac:dyDescent="0.3">
      <c r="A835">
        <v>830</v>
      </c>
      <c r="B835" s="1">
        <v>4</v>
      </c>
      <c r="C835" s="1">
        <v>0</v>
      </c>
      <c r="D835" s="1">
        <v>0.04</v>
      </c>
      <c r="E835" s="1">
        <v>0.04</v>
      </c>
      <c r="F835" s="1">
        <v>-5</v>
      </c>
      <c r="G835" s="1">
        <v>1</v>
      </c>
      <c r="H835" s="1">
        <v>1.29100489902</v>
      </c>
      <c r="I835" s="1">
        <v>1.3764754514999999</v>
      </c>
      <c r="J835" s="1">
        <v>0.56032916366899999</v>
      </c>
      <c r="K835" s="1">
        <v>0</v>
      </c>
      <c r="L835" s="1">
        <v>0</v>
      </c>
      <c r="M835" s="1" t="s">
        <v>198</v>
      </c>
      <c r="N835" s="1" t="b">
        <v>1</v>
      </c>
    </row>
    <row r="836" spans="1:14" ht="19" customHeight="1" x14ac:dyDescent="0.3">
      <c r="A836">
        <v>831</v>
      </c>
      <c r="B836" s="1">
        <v>4</v>
      </c>
      <c r="C836" s="1">
        <v>0</v>
      </c>
      <c r="D836" s="1">
        <v>0.04</v>
      </c>
      <c r="E836" s="1">
        <v>0.04</v>
      </c>
      <c r="F836" s="1">
        <v>0</v>
      </c>
      <c r="G836" s="1">
        <v>0</v>
      </c>
      <c r="H836" s="1">
        <v>1.3203817596</v>
      </c>
      <c r="I836" s="1">
        <v>1.8770629298999999</v>
      </c>
      <c r="J836" s="1">
        <v>0.67582824837599997</v>
      </c>
      <c r="K836" s="1">
        <v>0</v>
      </c>
      <c r="L836" s="1">
        <v>0</v>
      </c>
      <c r="M836" s="1" t="s">
        <v>198</v>
      </c>
      <c r="N836" s="1" t="b">
        <v>1</v>
      </c>
    </row>
    <row r="837" spans="1:14" ht="19" customHeight="1" x14ac:dyDescent="0.3">
      <c r="A837">
        <v>832</v>
      </c>
      <c r="B837" s="1">
        <v>4</v>
      </c>
      <c r="C837" s="1">
        <v>0</v>
      </c>
      <c r="D837" s="1">
        <v>0.04</v>
      </c>
      <c r="E837" s="1">
        <v>0.04</v>
      </c>
      <c r="F837" s="1">
        <v>0</v>
      </c>
      <c r="G837" s="1">
        <v>1</v>
      </c>
      <c r="H837" s="1">
        <v>1.3203817596</v>
      </c>
      <c r="I837" s="1">
        <v>1.4077971974200001</v>
      </c>
      <c r="J837" s="1">
        <v>0.554179163669</v>
      </c>
      <c r="K837" s="1">
        <v>0</v>
      </c>
      <c r="L837" s="1">
        <v>0</v>
      </c>
      <c r="M837" s="1" t="s">
        <v>198</v>
      </c>
      <c r="N837" s="1" t="b">
        <v>1</v>
      </c>
    </row>
    <row r="838" spans="1:14" ht="19" customHeight="1" x14ac:dyDescent="0.3">
      <c r="A838">
        <v>833</v>
      </c>
      <c r="B838" s="1">
        <v>4</v>
      </c>
      <c r="C838" s="1">
        <v>0</v>
      </c>
      <c r="D838" s="1">
        <v>0.04</v>
      </c>
      <c r="E838" s="1">
        <v>0.04</v>
      </c>
      <c r="F838" s="1">
        <v>5</v>
      </c>
      <c r="G838" s="1">
        <v>0</v>
      </c>
      <c r="H838" s="1">
        <v>1.29100489902</v>
      </c>
      <c r="I838" s="1">
        <v>1.835300602</v>
      </c>
      <c r="J838" s="1">
        <v>0.68332824837600004</v>
      </c>
      <c r="K838" s="1">
        <v>0</v>
      </c>
      <c r="L838" s="1">
        <v>0</v>
      </c>
      <c r="M838" s="1" t="s">
        <v>198</v>
      </c>
      <c r="N838" s="1" t="b">
        <v>1</v>
      </c>
    </row>
    <row r="839" spans="1:14" ht="19" customHeight="1" x14ac:dyDescent="0.3">
      <c r="A839">
        <v>834</v>
      </c>
      <c r="B839" s="1">
        <v>4</v>
      </c>
      <c r="C839" s="1">
        <v>0</v>
      </c>
      <c r="D839" s="1">
        <v>0.04</v>
      </c>
      <c r="E839" s="1">
        <v>0.04</v>
      </c>
      <c r="F839" s="1">
        <v>5</v>
      </c>
      <c r="G839" s="1">
        <v>1</v>
      </c>
      <c r="H839" s="1">
        <v>1.29100489902</v>
      </c>
      <c r="I839" s="1">
        <v>1.3764754514999999</v>
      </c>
      <c r="J839" s="1">
        <v>0.56032916366899999</v>
      </c>
      <c r="K839" s="1">
        <v>0</v>
      </c>
      <c r="L839" s="1">
        <v>0</v>
      </c>
      <c r="M839" s="1" t="s">
        <v>198</v>
      </c>
      <c r="N839" s="1" t="b">
        <v>1</v>
      </c>
    </row>
    <row r="840" spans="1:14" ht="19" customHeight="1" x14ac:dyDescent="0.3">
      <c r="A840">
        <v>835</v>
      </c>
      <c r="B840" s="1">
        <v>4</v>
      </c>
      <c r="C840" s="1">
        <v>0</v>
      </c>
      <c r="D840" s="1">
        <v>0.04</v>
      </c>
      <c r="E840" s="1">
        <v>0.06</v>
      </c>
      <c r="F840" s="1">
        <v>-5</v>
      </c>
      <c r="G840" s="1">
        <v>0</v>
      </c>
      <c r="H840" s="1">
        <v>1.3322007145799999</v>
      </c>
      <c r="I840" s="1">
        <v>1.8970943253300001</v>
      </c>
      <c r="J840" s="1">
        <v>0.68701490580400004</v>
      </c>
      <c r="K840" s="1">
        <v>0</v>
      </c>
      <c r="L840" s="1">
        <v>0</v>
      </c>
      <c r="M840" s="1" t="s">
        <v>198</v>
      </c>
      <c r="N840" s="1" t="b">
        <v>1</v>
      </c>
    </row>
    <row r="841" spans="1:14" ht="19" customHeight="1" x14ac:dyDescent="0.3">
      <c r="A841">
        <v>836</v>
      </c>
      <c r="B841" s="1">
        <v>4</v>
      </c>
      <c r="C841" s="1">
        <v>0</v>
      </c>
      <c r="D841" s="1">
        <v>0.04</v>
      </c>
      <c r="E841" s="1">
        <v>0.06</v>
      </c>
      <c r="F841" s="1">
        <v>-5</v>
      </c>
      <c r="G841" s="1">
        <v>1</v>
      </c>
      <c r="H841" s="1">
        <v>1.3322007145799999</v>
      </c>
      <c r="I841" s="1">
        <v>1.422820744</v>
      </c>
      <c r="J841" s="1">
        <v>0.56335222275999997</v>
      </c>
      <c r="K841" s="1">
        <v>0</v>
      </c>
      <c r="L841" s="1">
        <v>0</v>
      </c>
      <c r="M841" s="1" t="s">
        <v>198</v>
      </c>
      <c r="N841" s="1" t="b">
        <v>1</v>
      </c>
    </row>
    <row r="842" spans="1:14" ht="19" customHeight="1" x14ac:dyDescent="0.3">
      <c r="A842">
        <v>837</v>
      </c>
      <c r="B842" s="1">
        <v>4</v>
      </c>
      <c r="C842" s="1">
        <v>0</v>
      </c>
      <c r="D842" s="1">
        <v>0.04</v>
      </c>
      <c r="E842" s="1">
        <v>0.06</v>
      </c>
      <c r="F842" s="1">
        <v>0</v>
      </c>
      <c r="G842" s="1">
        <v>0</v>
      </c>
      <c r="H842" s="1">
        <v>1.36251498735</v>
      </c>
      <c r="I842" s="1">
        <v>1.94026277152</v>
      </c>
      <c r="J842" s="1">
        <v>0.67951490580399998</v>
      </c>
      <c r="K842" s="1">
        <v>0</v>
      </c>
      <c r="L842" s="1">
        <v>0</v>
      </c>
      <c r="M842" s="1" t="s">
        <v>198</v>
      </c>
      <c r="N842" s="1" t="b">
        <v>1</v>
      </c>
    </row>
    <row r="843" spans="1:14" ht="19" customHeight="1" x14ac:dyDescent="0.3">
      <c r="A843">
        <v>838</v>
      </c>
      <c r="B843" s="1">
        <v>4</v>
      </c>
      <c r="C843" s="1">
        <v>0</v>
      </c>
      <c r="D843" s="1">
        <v>0.04</v>
      </c>
      <c r="E843" s="1">
        <v>0.06</v>
      </c>
      <c r="F843" s="1">
        <v>0</v>
      </c>
      <c r="G843" s="1">
        <v>1</v>
      </c>
      <c r="H843" s="1">
        <v>1.36251498735</v>
      </c>
      <c r="I843" s="1">
        <v>1.4551970786399999</v>
      </c>
      <c r="J843" s="1">
        <v>0.55720222275999998</v>
      </c>
      <c r="K843" s="1">
        <v>0</v>
      </c>
      <c r="L843" s="1">
        <v>0</v>
      </c>
      <c r="M843" s="1" t="s">
        <v>198</v>
      </c>
      <c r="N843" s="1" t="b">
        <v>1</v>
      </c>
    </row>
    <row r="844" spans="1:14" ht="19" customHeight="1" x14ac:dyDescent="0.3">
      <c r="A844">
        <v>839</v>
      </c>
      <c r="B844" s="1">
        <v>4</v>
      </c>
      <c r="C844" s="1">
        <v>0</v>
      </c>
      <c r="D844" s="1">
        <v>0.04</v>
      </c>
      <c r="E844" s="1">
        <v>0.06</v>
      </c>
      <c r="F844" s="1">
        <v>5</v>
      </c>
      <c r="G844" s="1">
        <v>0</v>
      </c>
      <c r="H844" s="1">
        <v>1.3322007145799999</v>
      </c>
      <c r="I844" s="1">
        <v>1.8970943253300001</v>
      </c>
      <c r="J844" s="1">
        <v>0.68701490580400004</v>
      </c>
      <c r="K844" s="1">
        <v>0</v>
      </c>
      <c r="L844" s="1">
        <v>0</v>
      </c>
      <c r="M844" s="1" t="s">
        <v>198</v>
      </c>
      <c r="N844" s="1" t="b">
        <v>1</v>
      </c>
    </row>
    <row r="845" spans="1:14" ht="19" customHeight="1" x14ac:dyDescent="0.3">
      <c r="A845">
        <v>840</v>
      </c>
      <c r="B845" s="1">
        <v>4</v>
      </c>
      <c r="C845" s="1">
        <v>0</v>
      </c>
      <c r="D845" s="1">
        <v>0.04</v>
      </c>
      <c r="E845" s="1">
        <v>0.06</v>
      </c>
      <c r="F845" s="1">
        <v>5</v>
      </c>
      <c r="G845" s="1">
        <v>1</v>
      </c>
      <c r="H845" s="1">
        <v>1.3322007145799999</v>
      </c>
      <c r="I845" s="1">
        <v>1.422820744</v>
      </c>
      <c r="J845" s="1">
        <v>0.56335222275999997</v>
      </c>
      <c r="K845" s="1">
        <v>0</v>
      </c>
      <c r="L845" s="1">
        <v>0</v>
      </c>
      <c r="M845" s="1" t="s">
        <v>198</v>
      </c>
      <c r="N845" s="1" t="b">
        <v>1</v>
      </c>
    </row>
    <row r="846" spans="1:14" ht="19" customHeight="1" x14ac:dyDescent="0.3">
      <c r="A846">
        <v>841</v>
      </c>
      <c r="B846" s="1">
        <v>4</v>
      </c>
      <c r="C846" s="1">
        <v>0</v>
      </c>
      <c r="D846" s="1">
        <v>0.04</v>
      </c>
      <c r="E846" s="1">
        <v>8.5000000000000006E-2</v>
      </c>
      <c r="F846" s="1">
        <v>-5</v>
      </c>
      <c r="G846" s="1">
        <v>0</v>
      </c>
      <c r="H846" s="1">
        <v>1.22688439658</v>
      </c>
      <c r="I846" s="1">
        <v>1.7391198483400001</v>
      </c>
      <c r="J846" s="1">
        <v>0.67759003629400005</v>
      </c>
      <c r="K846" s="1">
        <v>0</v>
      </c>
      <c r="L846" s="1">
        <v>0</v>
      </c>
      <c r="M846" s="1" t="s">
        <v>198</v>
      </c>
      <c r="N846" s="1" t="b">
        <v>1</v>
      </c>
    </row>
    <row r="847" spans="1:14" ht="19" customHeight="1" x14ac:dyDescent="0.3">
      <c r="A847">
        <v>842</v>
      </c>
      <c r="B847" s="1">
        <v>4</v>
      </c>
      <c r="C847" s="1">
        <v>0</v>
      </c>
      <c r="D847" s="1">
        <v>0.04</v>
      </c>
      <c r="E847" s="1">
        <v>8.5000000000000006E-2</v>
      </c>
      <c r="F847" s="1">
        <v>-5</v>
      </c>
      <c r="G847" s="1">
        <v>1</v>
      </c>
      <c r="H847" s="1">
        <v>1.22688439658</v>
      </c>
      <c r="I847" s="1">
        <v>1.30433988625</v>
      </c>
      <c r="J847" s="1">
        <v>0.555623829761</v>
      </c>
      <c r="K847" s="1">
        <v>0</v>
      </c>
      <c r="L847" s="1">
        <v>0</v>
      </c>
      <c r="M847" s="1" t="s">
        <v>198</v>
      </c>
      <c r="N847" s="1" t="b">
        <v>1</v>
      </c>
    </row>
    <row r="848" spans="1:14" ht="19" customHeight="1" x14ac:dyDescent="0.3">
      <c r="A848">
        <v>843</v>
      </c>
      <c r="B848" s="1">
        <v>4</v>
      </c>
      <c r="C848" s="1">
        <v>0</v>
      </c>
      <c r="D848" s="1">
        <v>0.04</v>
      </c>
      <c r="E848" s="1">
        <v>8.5000000000000006E-2</v>
      </c>
      <c r="F848" s="1">
        <v>0</v>
      </c>
      <c r="G848" s="1">
        <v>0</v>
      </c>
      <c r="H848" s="1">
        <v>1.2548021929399999</v>
      </c>
      <c r="I848" s="1">
        <v>1.7786935799000001</v>
      </c>
      <c r="J848" s="1">
        <v>0.67009003629399999</v>
      </c>
      <c r="K848" s="1">
        <v>0</v>
      </c>
      <c r="L848" s="1">
        <v>0</v>
      </c>
      <c r="M848" s="1" t="s">
        <v>198</v>
      </c>
      <c r="N848" s="1" t="b">
        <v>1</v>
      </c>
    </row>
    <row r="849" spans="1:14" ht="19" customHeight="1" x14ac:dyDescent="0.3">
      <c r="A849">
        <v>844</v>
      </c>
      <c r="B849" s="1">
        <v>4</v>
      </c>
      <c r="C849" s="1">
        <v>0</v>
      </c>
      <c r="D849" s="1">
        <v>0.04</v>
      </c>
      <c r="E849" s="1">
        <v>8.5000000000000006E-2</v>
      </c>
      <c r="F849" s="1">
        <v>0</v>
      </c>
      <c r="G849" s="1">
        <v>1</v>
      </c>
      <c r="H849" s="1">
        <v>1.2548021929399999</v>
      </c>
      <c r="I849" s="1">
        <v>1.33402018493</v>
      </c>
      <c r="J849" s="1">
        <v>0.54947382976100001</v>
      </c>
      <c r="K849" s="1">
        <v>0</v>
      </c>
      <c r="L849" s="1">
        <v>0</v>
      </c>
      <c r="M849" s="1" t="s">
        <v>198</v>
      </c>
      <c r="N849" s="1" t="b">
        <v>1</v>
      </c>
    </row>
    <row r="850" spans="1:14" ht="19" customHeight="1" x14ac:dyDescent="0.3">
      <c r="A850">
        <v>845</v>
      </c>
      <c r="B850" s="1">
        <v>4</v>
      </c>
      <c r="C850" s="1">
        <v>0</v>
      </c>
      <c r="D850" s="1">
        <v>0.04</v>
      </c>
      <c r="E850" s="1">
        <v>8.5000000000000006E-2</v>
      </c>
      <c r="F850" s="1">
        <v>5</v>
      </c>
      <c r="G850" s="1">
        <v>0</v>
      </c>
      <c r="H850" s="1">
        <v>1.22688439658</v>
      </c>
      <c r="I850" s="1">
        <v>1.7391198483400001</v>
      </c>
      <c r="J850" s="1">
        <v>0.67759003629400005</v>
      </c>
      <c r="K850" s="1">
        <v>0</v>
      </c>
      <c r="L850" s="1">
        <v>0</v>
      </c>
      <c r="M850" s="1" t="s">
        <v>198</v>
      </c>
      <c r="N850" s="1" t="b">
        <v>1</v>
      </c>
    </row>
    <row r="851" spans="1:14" ht="19" customHeight="1" x14ac:dyDescent="0.3">
      <c r="A851">
        <v>846</v>
      </c>
      <c r="B851" s="1">
        <v>4</v>
      </c>
      <c r="C851" s="1">
        <v>0</v>
      </c>
      <c r="D851" s="1">
        <v>0.04</v>
      </c>
      <c r="E851" s="1">
        <v>8.5000000000000006E-2</v>
      </c>
      <c r="F851" s="1">
        <v>5</v>
      </c>
      <c r="G851" s="1">
        <v>1</v>
      </c>
      <c r="H851" s="1">
        <v>1.22688439658</v>
      </c>
      <c r="I851" s="1">
        <v>1.30433988625</v>
      </c>
      <c r="J851" s="1">
        <v>0.555623829761</v>
      </c>
      <c r="K851" s="1">
        <v>0</v>
      </c>
      <c r="L851" s="1">
        <v>0</v>
      </c>
      <c r="M851" s="1" t="s">
        <v>198</v>
      </c>
      <c r="N851" s="1" t="b">
        <v>1</v>
      </c>
    </row>
    <row r="852" spans="1:14" ht="19" customHeight="1" x14ac:dyDescent="0.3">
      <c r="A852">
        <v>847</v>
      </c>
      <c r="B852" s="1">
        <v>4</v>
      </c>
      <c r="C852" s="1">
        <v>0</v>
      </c>
      <c r="D852" s="1">
        <v>5.5E-2</v>
      </c>
      <c r="E852" s="1">
        <v>0.04</v>
      </c>
      <c r="F852" s="1">
        <v>-5</v>
      </c>
      <c r="G852" s="1">
        <v>0</v>
      </c>
      <c r="H852" s="1">
        <v>1.15111979696</v>
      </c>
      <c r="I852" s="1">
        <v>1.6254729488999999</v>
      </c>
      <c r="J852" s="1">
        <v>0.67080978154699999</v>
      </c>
      <c r="K852" s="1">
        <v>0</v>
      </c>
      <c r="L852" s="1">
        <v>0</v>
      </c>
      <c r="M852" s="1" t="s">
        <v>198</v>
      </c>
      <c r="N852" s="1" t="b">
        <v>1</v>
      </c>
    </row>
    <row r="853" spans="1:14" ht="19" customHeight="1" x14ac:dyDescent="0.3">
      <c r="A853">
        <v>848</v>
      </c>
      <c r="B853" s="1">
        <v>4</v>
      </c>
      <c r="C853" s="1">
        <v>0</v>
      </c>
      <c r="D853" s="1">
        <v>5.5E-2</v>
      </c>
      <c r="E853" s="1">
        <v>0.04</v>
      </c>
      <c r="F853" s="1">
        <v>-5</v>
      </c>
      <c r="G853" s="1">
        <v>1</v>
      </c>
      <c r="H853" s="1">
        <v>1.15111979696</v>
      </c>
      <c r="I853" s="1">
        <v>1.21910471168</v>
      </c>
      <c r="J853" s="1">
        <v>0.55006402086799999</v>
      </c>
      <c r="K853" s="1">
        <v>0</v>
      </c>
      <c r="L853" s="1">
        <v>0</v>
      </c>
      <c r="M853" s="1" t="s">
        <v>198</v>
      </c>
      <c r="N853" s="1" t="b">
        <v>1</v>
      </c>
    </row>
    <row r="854" spans="1:14" ht="19" customHeight="1" x14ac:dyDescent="0.3">
      <c r="A854">
        <v>849</v>
      </c>
      <c r="B854" s="1">
        <v>4</v>
      </c>
      <c r="C854" s="1">
        <v>0</v>
      </c>
      <c r="D854" s="1">
        <v>5.5E-2</v>
      </c>
      <c r="E854" s="1">
        <v>0.04</v>
      </c>
      <c r="F854" s="1">
        <v>0</v>
      </c>
      <c r="G854" s="1">
        <v>0</v>
      </c>
      <c r="H854" s="1">
        <v>1.1773135672599999</v>
      </c>
      <c r="I854" s="1">
        <v>1.66246064139</v>
      </c>
      <c r="J854" s="1">
        <v>0.66330978154700004</v>
      </c>
      <c r="K854" s="1">
        <v>0</v>
      </c>
      <c r="L854" s="1">
        <v>0</v>
      </c>
      <c r="M854" s="1" t="s">
        <v>198</v>
      </c>
      <c r="N854" s="1" t="b">
        <v>1</v>
      </c>
    </row>
    <row r="855" spans="1:14" ht="19" customHeight="1" x14ac:dyDescent="0.3">
      <c r="A855">
        <v>850</v>
      </c>
      <c r="B855" s="1">
        <v>4</v>
      </c>
      <c r="C855" s="1">
        <v>0</v>
      </c>
      <c r="D855" s="1">
        <v>5.5E-2</v>
      </c>
      <c r="E855" s="1">
        <v>0.04</v>
      </c>
      <c r="F855" s="1">
        <v>0</v>
      </c>
      <c r="G855" s="1">
        <v>1</v>
      </c>
      <c r="H855" s="1">
        <v>1.1773135672599999</v>
      </c>
      <c r="I855" s="1">
        <v>1.24684548104</v>
      </c>
      <c r="J855" s="1">
        <v>0.543914020868</v>
      </c>
      <c r="K855" s="1">
        <v>0</v>
      </c>
      <c r="L855" s="1">
        <v>0</v>
      </c>
      <c r="M855" s="1" t="s">
        <v>198</v>
      </c>
      <c r="N855" s="1" t="b">
        <v>1</v>
      </c>
    </row>
    <row r="856" spans="1:14" ht="19" customHeight="1" x14ac:dyDescent="0.3">
      <c r="A856">
        <v>851</v>
      </c>
      <c r="B856" s="1">
        <v>4</v>
      </c>
      <c r="C856" s="1">
        <v>0</v>
      </c>
      <c r="D856" s="1">
        <v>5.5E-2</v>
      </c>
      <c r="E856" s="1">
        <v>0.04</v>
      </c>
      <c r="F856" s="1">
        <v>5</v>
      </c>
      <c r="G856" s="1">
        <v>0</v>
      </c>
      <c r="H856" s="1">
        <v>1.15111979696</v>
      </c>
      <c r="I856" s="1">
        <v>1.6254729488999999</v>
      </c>
      <c r="J856" s="1">
        <v>0.67080978154699999</v>
      </c>
      <c r="K856" s="1">
        <v>0</v>
      </c>
      <c r="L856" s="1">
        <v>0</v>
      </c>
      <c r="M856" s="1" t="s">
        <v>198</v>
      </c>
      <c r="N856" s="1" t="b">
        <v>1</v>
      </c>
    </row>
    <row r="857" spans="1:14" ht="19" customHeight="1" x14ac:dyDescent="0.3">
      <c r="A857">
        <v>852</v>
      </c>
      <c r="B857" s="1">
        <v>4</v>
      </c>
      <c r="C857" s="1">
        <v>0</v>
      </c>
      <c r="D857" s="1">
        <v>5.5E-2</v>
      </c>
      <c r="E857" s="1">
        <v>0.04</v>
      </c>
      <c r="F857" s="1">
        <v>5</v>
      </c>
      <c r="G857" s="1">
        <v>1</v>
      </c>
      <c r="H857" s="1">
        <v>1.15111979696</v>
      </c>
      <c r="I857" s="1">
        <v>1.21910471168</v>
      </c>
      <c r="J857" s="1">
        <v>0.55006402086799999</v>
      </c>
      <c r="K857" s="1">
        <v>0</v>
      </c>
      <c r="L857" s="1">
        <v>0</v>
      </c>
      <c r="M857" s="1" t="s">
        <v>198</v>
      </c>
      <c r="N857" s="1" t="b">
        <v>1</v>
      </c>
    </row>
    <row r="858" spans="1:14" ht="19" customHeight="1" x14ac:dyDescent="0.3">
      <c r="A858">
        <v>853</v>
      </c>
      <c r="B858" s="1">
        <v>4</v>
      </c>
      <c r="C858" s="1">
        <v>0</v>
      </c>
      <c r="D858" s="1">
        <v>5.5E-2</v>
      </c>
      <c r="E858" s="1">
        <v>0.06</v>
      </c>
      <c r="F858" s="1">
        <v>-5</v>
      </c>
      <c r="G858" s="1">
        <v>0</v>
      </c>
      <c r="H858" s="1">
        <v>1.17874939666</v>
      </c>
      <c r="I858" s="1">
        <v>1.6669173484599999</v>
      </c>
      <c r="J858" s="1">
        <v>0.67328238386399997</v>
      </c>
      <c r="K858" s="1">
        <v>0</v>
      </c>
      <c r="L858" s="1">
        <v>0</v>
      </c>
      <c r="M858" s="1" t="s">
        <v>198</v>
      </c>
      <c r="N858" s="1" t="b">
        <v>1</v>
      </c>
    </row>
    <row r="859" spans="1:14" ht="19" customHeight="1" x14ac:dyDescent="0.3">
      <c r="A859">
        <v>854</v>
      </c>
      <c r="B859" s="1">
        <v>4</v>
      </c>
      <c r="C859" s="1">
        <v>0</v>
      </c>
      <c r="D859" s="1">
        <v>5.5E-2</v>
      </c>
      <c r="E859" s="1">
        <v>0.06</v>
      </c>
      <c r="F859" s="1">
        <v>-5</v>
      </c>
      <c r="G859" s="1">
        <v>1</v>
      </c>
      <c r="H859" s="1">
        <v>1.17874939666</v>
      </c>
      <c r="I859" s="1">
        <v>1.2501880113499999</v>
      </c>
      <c r="J859" s="1">
        <v>0.55209155476799998</v>
      </c>
      <c r="K859" s="1">
        <v>0</v>
      </c>
      <c r="L859" s="1">
        <v>0</v>
      </c>
      <c r="M859" s="1" t="s">
        <v>198</v>
      </c>
      <c r="N859" s="1" t="b">
        <v>1</v>
      </c>
    </row>
    <row r="860" spans="1:14" ht="19" customHeight="1" x14ac:dyDescent="0.3">
      <c r="A860">
        <v>855</v>
      </c>
      <c r="B860" s="1">
        <v>4</v>
      </c>
      <c r="C860" s="1">
        <v>0</v>
      </c>
      <c r="D860" s="1">
        <v>5.5E-2</v>
      </c>
      <c r="E860" s="1">
        <v>0.06</v>
      </c>
      <c r="F860" s="1">
        <v>0</v>
      </c>
      <c r="G860" s="1">
        <v>0</v>
      </c>
      <c r="H860" s="1">
        <v>1.2055718794500001</v>
      </c>
      <c r="I860" s="1">
        <v>1.7048481096699999</v>
      </c>
      <c r="J860" s="1">
        <v>0.66578238386400002</v>
      </c>
      <c r="K860" s="1">
        <v>0</v>
      </c>
      <c r="L860" s="1">
        <v>0</v>
      </c>
      <c r="M860" s="1" t="s">
        <v>198</v>
      </c>
      <c r="N860" s="1" t="b">
        <v>1</v>
      </c>
    </row>
    <row r="861" spans="1:14" ht="19" customHeight="1" x14ac:dyDescent="0.3">
      <c r="A861">
        <v>856</v>
      </c>
      <c r="B861" s="1">
        <v>4</v>
      </c>
      <c r="C861" s="1">
        <v>0</v>
      </c>
      <c r="D861" s="1">
        <v>5.5E-2</v>
      </c>
      <c r="E861" s="1">
        <v>0.06</v>
      </c>
      <c r="F861" s="1">
        <v>0</v>
      </c>
      <c r="G861" s="1">
        <v>1</v>
      </c>
      <c r="H861" s="1">
        <v>1.2055718794500001</v>
      </c>
      <c r="I861" s="1">
        <v>1.27863608226</v>
      </c>
      <c r="J861" s="1">
        <v>0.54594155476799999</v>
      </c>
      <c r="K861" s="1">
        <v>0</v>
      </c>
      <c r="L861" s="1">
        <v>0</v>
      </c>
      <c r="M861" s="1" t="s">
        <v>198</v>
      </c>
      <c r="N861" s="1" t="b">
        <v>1</v>
      </c>
    </row>
    <row r="862" spans="1:14" ht="19" customHeight="1" x14ac:dyDescent="0.3">
      <c r="A862">
        <v>857</v>
      </c>
      <c r="B862" s="1">
        <v>4</v>
      </c>
      <c r="C862" s="1">
        <v>0</v>
      </c>
      <c r="D862" s="1">
        <v>5.5E-2</v>
      </c>
      <c r="E862" s="1">
        <v>0.06</v>
      </c>
      <c r="F862" s="1">
        <v>5</v>
      </c>
      <c r="G862" s="1">
        <v>0</v>
      </c>
      <c r="H862" s="1">
        <v>1.17874939666</v>
      </c>
      <c r="I862" s="1">
        <v>1.6669173484599999</v>
      </c>
      <c r="J862" s="1">
        <v>0.67328238386399997</v>
      </c>
      <c r="K862" s="1">
        <v>0</v>
      </c>
      <c r="L862" s="1">
        <v>0</v>
      </c>
      <c r="M862" s="1" t="s">
        <v>198</v>
      </c>
      <c r="N862" s="1" t="b">
        <v>1</v>
      </c>
    </row>
    <row r="863" spans="1:14" ht="19" customHeight="1" x14ac:dyDescent="0.3">
      <c r="A863">
        <v>858</v>
      </c>
      <c r="B863" s="1">
        <v>4</v>
      </c>
      <c r="C863" s="1">
        <v>0</v>
      </c>
      <c r="D863" s="1">
        <v>5.5E-2</v>
      </c>
      <c r="E863" s="1">
        <v>0.06</v>
      </c>
      <c r="F863" s="1">
        <v>5</v>
      </c>
      <c r="G863" s="1">
        <v>1</v>
      </c>
      <c r="H863" s="1">
        <v>1.17874939666</v>
      </c>
      <c r="I863" s="1">
        <v>1.2501880113499999</v>
      </c>
      <c r="J863" s="1">
        <v>0.55209155476799998</v>
      </c>
      <c r="K863" s="1">
        <v>0</v>
      </c>
      <c r="L863" s="1">
        <v>0</v>
      </c>
      <c r="M863" s="1" t="s">
        <v>198</v>
      </c>
      <c r="N863" s="1" t="b">
        <v>1</v>
      </c>
    </row>
    <row r="864" spans="1:14" ht="19" customHeight="1" x14ac:dyDescent="0.3">
      <c r="A864">
        <v>859</v>
      </c>
      <c r="B864" s="1">
        <v>4</v>
      </c>
      <c r="C864" s="1">
        <v>0</v>
      </c>
      <c r="D864" s="1">
        <v>5.5E-2</v>
      </c>
      <c r="E864" s="1">
        <v>8.5000000000000006E-2</v>
      </c>
      <c r="F864" s="1">
        <v>-5</v>
      </c>
      <c r="G864" s="1">
        <v>0</v>
      </c>
      <c r="H864" s="1">
        <v>1.1081148511500001</v>
      </c>
      <c r="I864" s="1">
        <v>1.5609655301900001</v>
      </c>
      <c r="J864" s="1">
        <v>0.66696122312499995</v>
      </c>
      <c r="K864" s="1">
        <v>0</v>
      </c>
      <c r="L864" s="1">
        <v>0</v>
      </c>
      <c r="M864" s="1" t="s">
        <v>198</v>
      </c>
      <c r="N864" s="1" t="b">
        <v>1</v>
      </c>
    </row>
    <row r="865" spans="1:14" ht="19" customHeight="1" x14ac:dyDescent="0.3">
      <c r="A865">
        <v>860</v>
      </c>
      <c r="B865" s="1">
        <v>4</v>
      </c>
      <c r="C865" s="1">
        <v>0</v>
      </c>
      <c r="D865" s="1">
        <v>5.5E-2</v>
      </c>
      <c r="E865" s="1">
        <v>8.5000000000000006E-2</v>
      </c>
      <c r="F865" s="1">
        <v>-5</v>
      </c>
      <c r="G865" s="1">
        <v>1</v>
      </c>
      <c r="H865" s="1">
        <v>1.1081148511500001</v>
      </c>
      <c r="I865" s="1">
        <v>1.1707241476400001</v>
      </c>
      <c r="J865" s="1">
        <v>0.54690820296300002</v>
      </c>
      <c r="K865" s="1">
        <v>0</v>
      </c>
      <c r="L865" s="1">
        <v>0</v>
      </c>
      <c r="M865" s="1" t="s">
        <v>198</v>
      </c>
      <c r="N865" s="1" t="b">
        <v>1</v>
      </c>
    </row>
    <row r="866" spans="1:14" ht="19" customHeight="1" x14ac:dyDescent="0.3">
      <c r="A866">
        <v>861</v>
      </c>
      <c r="B866" s="1">
        <v>4</v>
      </c>
      <c r="C866" s="1">
        <v>0</v>
      </c>
      <c r="D866" s="1">
        <v>5.5E-2</v>
      </c>
      <c r="E866" s="1">
        <v>8.5000000000000006E-2</v>
      </c>
      <c r="F866" s="1">
        <v>0</v>
      </c>
      <c r="G866" s="1">
        <v>0</v>
      </c>
      <c r="H866" s="1">
        <v>1.1333300424499999</v>
      </c>
      <c r="I866" s="1">
        <v>1.5964853541599999</v>
      </c>
      <c r="J866" s="1">
        <v>0.659461223125</v>
      </c>
      <c r="K866" s="1">
        <v>0</v>
      </c>
      <c r="L866" s="1">
        <v>0</v>
      </c>
      <c r="M866" s="1" t="s">
        <v>198</v>
      </c>
      <c r="N866" s="1" t="b">
        <v>1</v>
      </c>
    </row>
    <row r="867" spans="1:14" ht="19" customHeight="1" x14ac:dyDescent="0.3">
      <c r="A867">
        <v>862</v>
      </c>
      <c r="B867" s="1">
        <v>4</v>
      </c>
      <c r="C867" s="1">
        <v>0</v>
      </c>
      <c r="D867" s="1">
        <v>5.5E-2</v>
      </c>
      <c r="E867" s="1">
        <v>8.5000000000000006E-2</v>
      </c>
      <c r="F867" s="1">
        <v>0</v>
      </c>
      <c r="G867" s="1">
        <v>1</v>
      </c>
      <c r="H867" s="1">
        <v>1.1333300424499999</v>
      </c>
      <c r="I867" s="1">
        <v>1.1973640156200001</v>
      </c>
      <c r="J867" s="1">
        <v>0.54075820296300003</v>
      </c>
      <c r="K867" s="1">
        <v>0</v>
      </c>
      <c r="L867" s="1">
        <v>0</v>
      </c>
      <c r="M867" s="1" t="s">
        <v>198</v>
      </c>
      <c r="N867" s="1" t="b">
        <v>1</v>
      </c>
    </row>
    <row r="868" spans="1:14" ht="19" customHeight="1" x14ac:dyDescent="0.3">
      <c r="A868">
        <v>863</v>
      </c>
      <c r="B868" s="1">
        <v>4</v>
      </c>
      <c r="C868" s="1">
        <v>0</v>
      </c>
      <c r="D868" s="1">
        <v>5.5E-2</v>
      </c>
      <c r="E868" s="1">
        <v>8.5000000000000006E-2</v>
      </c>
      <c r="F868" s="1">
        <v>5</v>
      </c>
      <c r="G868" s="1">
        <v>0</v>
      </c>
      <c r="H868" s="1">
        <v>1.1081148511500001</v>
      </c>
      <c r="I868" s="1">
        <v>1.5609655301900001</v>
      </c>
      <c r="J868" s="1">
        <v>0.66696122312499995</v>
      </c>
      <c r="K868" s="1">
        <v>0</v>
      </c>
      <c r="L868" s="1">
        <v>0</v>
      </c>
      <c r="M868" s="1" t="s">
        <v>198</v>
      </c>
      <c r="N868" s="1" t="b">
        <v>1</v>
      </c>
    </row>
    <row r="869" spans="1:14" ht="19" customHeight="1" x14ac:dyDescent="0.3">
      <c r="A869">
        <v>864</v>
      </c>
      <c r="B869" s="1">
        <v>4</v>
      </c>
      <c r="C869" s="1">
        <v>0</v>
      </c>
      <c r="D869" s="1">
        <v>5.5E-2</v>
      </c>
      <c r="E869" s="1">
        <v>8.5000000000000006E-2</v>
      </c>
      <c r="F869" s="1">
        <v>5</v>
      </c>
      <c r="G869" s="1">
        <v>1</v>
      </c>
      <c r="H869" s="1">
        <v>1.1081148511500001</v>
      </c>
      <c r="I869" s="1">
        <v>1.1707241476400001</v>
      </c>
      <c r="J869" s="1">
        <v>0.54690820296300002</v>
      </c>
      <c r="K869" s="1">
        <v>0</v>
      </c>
      <c r="L869" s="1">
        <v>0</v>
      </c>
      <c r="M869" s="1" t="s">
        <v>198</v>
      </c>
      <c r="N869" s="1" t="b">
        <v>1</v>
      </c>
    </row>
    <row r="870" spans="1:14" ht="19" customHeight="1" x14ac:dyDescent="0.3">
      <c r="A870">
        <v>865</v>
      </c>
      <c r="B870" s="1">
        <v>4</v>
      </c>
      <c r="C870" s="1">
        <v>30</v>
      </c>
      <c r="D870" s="1">
        <v>2.5000000000000001E-2</v>
      </c>
      <c r="E870" s="1">
        <v>0.04</v>
      </c>
      <c r="F870" s="1">
        <v>-5</v>
      </c>
      <c r="G870" s="1">
        <v>0</v>
      </c>
      <c r="H870" s="1">
        <v>1.2850160855699999</v>
      </c>
      <c r="I870" s="1">
        <v>1.82631738182</v>
      </c>
      <c r="J870" s="1">
        <v>0.68279230308000005</v>
      </c>
      <c r="K870" s="1">
        <v>2572.6838608399999</v>
      </c>
      <c r="L870" s="1">
        <v>564.58388560900005</v>
      </c>
      <c r="M870" s="1" t="s">
        <v>198</v>
      </c>
      <c r="N870" s="1" t="b">
        <v>1</v>
      </c>
    </row>
    <row r="871" spans="1:14" ht="19" customHeight="1" x14ac:dyDescent="0.3">
      <c r="A871">
        <v>866</v>
      </c>
      <c r="B871" s="1">
        <v>4</v>
      </c>
      <c r="C871" s="1">
        <v>30</v>
      </c>
      <c r="D871" s="1">
        <v>2.5000000000000001E-2</v>
      </c>
      <c r="E871" s="1">
        <v>0.04</v>
      </c>
      <c r="F871" s="1">
        <v>-5</v>
      </c>
      <c r="G871" s="1">
        <v>1</v>
      </c>
      <c r="H871" s="1">
        <v>1.2850160855699999</v>
      </c>
      <c r="I871" s="1">
        <v>1.36973803636</v>
      </c>
      <c r="J871" s="1">
        <v>0.55988968852499998</v>
      </c>
      <c r="K871" s="1">
        <v>2195.1498145700002</v>
      </c>
      <c r="L871" s="1">
        <v>462.95878619899997</v>
      </c>
      <c r="M871" s="1" t="s">
        <v>198</v>
      </c>
      <c r="N871" s="1" t="b">
        <v>1</v>
      </c>
    </row>
    <row r="872" spans="1:14" ht="19" customHeight="1" x14ac:dyDescent="0.3">
      <c r="A872">
        <v>867</v>
      </c>
      <c r="B872" s="1">
        <v>4</v>
      </c>
      <c r="C872" s="1">
        <v>30</v>
      </c>
      <c r="D872" s="1">
        <v>2.5000000000000001E-2</v>
      </c>
      <c r="E872" s="1">
        <v>0.04</v>
      </c>
      <c r="F872" s="1">
        <v>0</v>
      </c>
      <c r="G872" s="1">
        <v>0</v>
      </c>
      <c r="H872" s="1">
        <v>1.3142566704900001</v>
      </c>
      <c r="I872" s="1">
        <v>1.86787529623</v>
      </c>
      <c r="J872" s="1">
        <v>0.67529230307999999</v>
      </c>
      <c r="K872" s="1">
        <v>2631.2253699900002</v>
      </c>
      <c r="L872" s="1">
        <v>558.38232310900003</v>
      </c>
      <c r="M872" s="1" t="s">
        <v>198</v>
      </c>
      <c r="N872" s="1" t="b">
        <v>1</v>
      </c>
    </row>
    <row r="873" spans="1:14" ht="19" customHeight="1" x14ac:dyDescent="0.3">
      <c r="A873">
        <v>868</v>
      </c>
      <c r="B873" s="1">
        <v>4</v>
      </c>
      <c r="C873" s="1">
        <v>30</v>
      </c>
      <c r="D873" s="1">
        <v>2.5000000000000001E-2</v>
      </c>
      <c r="E873" s="1">
        <v>0.04</v>
      </c>
      <c r="F873" s="1">
        <v>0</v>
      </c>
      <c r="G873" s="1">
        <v>1</v>
      </c>
      <c r="H873" s="1">
        <v>1.3142566704900001</v>
      </c>
      <c r="I873" s="1">
        <v>1.40090647218</v>
      </c>
      <c r="J873" s="1">
        <v>0.553739688525</v>
      </c>
      <c r="K873" s="1">
        <v>2245.1005236000001</v>
      </c>
      <c r="L873" s="1">
        <v>457.87350494899999</v>
      </c>
      <c r="M873" s="1" t="s">
        <v>198</v>
      </c>
      <c r="N873" s="1" t="b">
        <v>1</v>
      </c>
    </row>
    <row r="874" spans="1:14" ht="19" customHeight="1" x14ac:dyDescent="0.3">
      <c r="A874">
        <v>869</v>
      </c>
      <c r="B874" s="1">
        <v>4</v>
      </c>
      <c r="C874" s="1">
        <v>30</v>
      </c>
      <c r="D874" s="1">
        <v>2.5000000000000001E-2</v>
      </c>
      <c r="E874" s="1">
        <v>0.04</v>
      </c>
      <c r="F874" s="1">
        <v>5</v>
      </c>
      <c r="G874" s="1">
        <v>0</v>
      </c>
      <c r="H874" s="1">
        <v>1.2850160855699999</v>
      </c>
      <c r="I874" s="1">
        <v>1.82631738182</v>
      </c>
      <c r="J874" s="1">
        <v>0.68279230308000005</v>
      </c>
      <c r="K874" s="1">
        <v>2572.6838608399999</v>
      </c>
      <c r="L874" s="1">
        <v>564.58388560900005</v>
      </c>
      <c r="M874" s="1" t="s">
        <v>198</v>
      </c>
      <c r="N874" s="1" t="b">
        <v>1</v>
      </c>
    </row>
    <row r="875" spans="1:14" ht="19" customHeight="1" x14ac:dyDescent="0.3">
      <c r="A875">
        <v>870</v>
      </c>
      <c r="B875" s="1">
        <v>4</v>
      </c>
      <c r="C875" s="1">
        <v>30</v>
      </c>
      <c r="D875" s="1">
        <v>2.5000000000000001E-2</v>
      </c>
      <c r="E875" s="1">
        <v>0.04</v>
      </c>
      <c r="F875" s="1">
        <v>5</v>
      </c>
      <c r="G875" s="1">
        <v>1</v>
      </c>
      <c r="H875" s="1">
        <v>1.2850160855699999</v>
      </c>
      <c r="I875" s="1">
        <v>1.36973803636</v>
      </c>
      <c r="J875" s="1">
        <v>0.55988968852499998</v>
      </c>
      <c r="K875" s="1">
        <v>2195.1498145700002</v>
      </c>
      <c r="L875" s="1">
        <v>462.95878619899997</v>
      </c>
      <c r="M875" s="1" t="s">
        <v>198</v>
      </c>
      <c r="N875" s="1" t="b">
        <v>1</v>
      </c>
    </row>
    <row r="876" spans="1:14" ht="19" customHeight="1" x14ac:dyDescent="0.3">
      <c r="A876">
        <v>871</v>
      </c>
      <c r="B876" s="1">
        <v>4</v>
      </c>
      <c r="C876" s="1">
        <v>30</v>
      </c>
      <c r="D876" s="1">
        <v>2.5000000000000001E-2</v>
      </c>
      <c r="E876" s="1">
        <v>0.06</v>
      </c>
      <c r="F876" s="1">
        <v>-5</v>
      </c>
      <c r="G876" s="1">
        <v>0</v>
      </c>
      <c r="H876" s="1">
        <v>1.3256310992</v>
      </c>
      <c r="I876" s="1">
        <v>1.8872399022699999</v>
      </c>
      <c r="J876" s="1">
        <v>0.68642698392500001</v>
      </c>
      <c r="K876" s="1">
        <v>2656.6427093399998</v>
      </c>
      <c r="L876" s="1">
        <v>567.58931233299995</v>
      </c>
      <c r="M876" s="1" t="s">
        <v>198</v>
      </c>
      <c r="N876" s="1" t="b">
        <v>1</v>
      </c>
    </row>
    <row r="877" spans="1:14" ht="19" customHeight="1" x14ac:dyDescent="0.3">
      <c r="A877">
        <v>872</v>
      </c>
      <c r="B877" s="1">
        <v>4</v>
      </c>
      <c r="C877" s="1">
        <v>30</v>
      </c>
      <c r="D877" s="1">
        <v>2.5000000000000001E-2</v>
      </c>
      <c r="E877" s="1">
        <v>0.06</v>
      </c>
      <c r="F877" s="1">
        <v>-5</v>
      </c>
      <c r="G877" s="1">
        <v>1</v>
      </c>
      <c r="H877" s="1">
        <v>1.3256310992</v>
      </c>
      <c r="I877" s="1">
        <v>1.4154299266999999</v>
      </c>
      <c r="J877" s="1">
        <v>0.56287012681799997</v>
      </c>
      <c r="K877" s="1">
        <v>2266.5148357899998</v>
      </c>
      <c r="L877" s="1">
        <v>465.42323611299997</v>
      </c>
      <c r="M877" s="1" t="s">
        <v>198</v>
      </c>
      <c r="N877" s="1" t="b">
        <v>1</v>
      </c>
    </row>
    <row r="878" spans="1:14" ht="19" customHeight="1" x14ac:dyDescent="0.3">
      <c r="A878">
        <v>873</v>
      </c>
      <c r="B878" s="1">
        <v>4</v>
      </c>
      <c r="C878" s="1">
        <v>30</v>
      </c>
      <c r="D878" s="1">
        <v>2.5000000000000001E-2</v>
      </c>
      <c r="E878" s="1">
        <v>0.06</v>
      </c>
      <c r="F878" s="1">
        <v>0</v>
      </c>
      <c r="G878" s="1">
        <v>0</v>
      </c>
      <c r="H878" s="1">
        <v>1.3557958801500001</v>
      </c>
      <c r="I878" s="1">
        <v>1.93018411072</v>
      </c>
      <c r="J878" s="1">
        <v>0.67892698392499995</v>
      </c>
      <c r="K878" s="1">
        <v>2717.0947049500001</v>
      </c>
      <c r="L878" s="1">
        <v>561.38774983300004</v>
      </c>
      <c r="M878" s="1" t="s">
        <v>198</v>
      </c>
      <c r="N878" s="1" t="b">
        <v>1</v>
      </c>
    </row>
    <row r="879" spans="1:14" ht="19" customHeight="1" x14ac:dyDescent="0.3">
      <c r="A879">
        <v>874</v>
      </c>
      <c r="B879" s="1">
        <v>4</v>
      </c>
      <c r="C879" s="1">
        <v>30</v>
      </c>
      <c r="D879" s="1">
        <v>2.5000000000000001E-2</v>
      </c>
      <c r="E879" s="1">
        <v>0.06</v>
      </c>
      <c r="F879" s="1">
        <v>0</v>
      </c>
      <c r="G879" s="1">
        <v>1</v>
      </c>
      <c r="H879" s="1">
        <v>1.3557958801500001</v>
      </c>
      <c r="I879" s="1">
        <v>1.44763808304</v>
      </c>
      <c r="J879" s="1">
        <v>0.55672012681799998</v>
      </c>
      <c r="K879" s="1">
        <v>2318.0894583200002</v>
      </c>
      <c r="L879" s="1">
        <v>460.33795486299999</v>
      </c>
      <c r="M879" s="1" t="s">
        <v>198</v>
      </c>
      <c r="N879" s="1" t="b">
        <v>1</v>
      </c>
    </row>
    <row r="880" spans="1:14" ht="19" customHeight="1" x14ac:dyDescent="0.3">
      <c r="A880">
        <v>875</v>
      </c>
      <c r="B880" s="1">
        <v>4</v>
      </c>
      <c r="C880" s="1">
        <v>30</v>
      </c>
      <c r="D880" s="1">
        <v>2.5000000000000001E-2</v>
      </c>
      <c r="E880" s="1">
        <v>0.06</v>
      </c>
      <c r="F880" s="1">
        <v>5</v>
      </c>
      <c r="G880" s="1">
        <v>0</v>
      </c>
      <c r="H880" s="1">
        <v>1.3256310992</v>
      </c>
      <c r="I880" s="1">
        <v>1.8872399022699999</v>
      </c>
      <c r="J880" s="1">
        <v>0.68642698392500001</v>
      </c>
      <c r="K880" s="1">
        <v>2656.6427093399998</v>
      </c>
      <c r="L880" s="1">
        <v>567.58931233299995</v>
      </c>
      <c r="M880" s="1" t="s">
        <v>198</v>
      </c>
      <c r="N880" s="1" t="b">
        <v>1</v>
      </c>
    </row>
    <row r="881" spans="1:14" ht="19" customHeight="1" x14ac:dyDescent="0.3">
      <c r="A881">
        <v>876</v>
      </c>
      <c r="B881" s="1">
        <v>4</v>
      </c>
      <c r="C881" s="1">
        <v>30</v>
      </c>
      <c r="D881" s="1">
        <v>2.5000000000000001E-2</v>
      </c>
      <c r="E881" s="1">
        <v>0.06</v>
      </c>
      <c r="F881" s="1">
        <v>5</v>
      </c>
      <c r="G881" s="1">
        <v>1</v>
      </c>
      <c r="H881" s="1">
        <v>1.3256310992</v>
      </c>
      <c r="I881" s="1">
        <v>1.4154299266999999</v>
      </c>
      <c r="J881" s="1">
        <v>0.56287012681799997</v>
      </c>
      <c r="K881" s="1">
        <v>2266.5148357899998</v>
      </c>
      <c r="L881" s="1">
        <v>465.42323611299997</v>
      </c>
      <c r="M881" s="1" t="s">
        <v>198</v>
      </c>
      <c r="N881" s="1" t="b">
        <v>1</v>
      </c>
    </row>
    <row r="882" spans="1:14" ht="19" customHeight="1" x14ac:dyDescent="0.3">
      <c r="A882">
        <v>877</v>
      </c>
      <c r="B882" s="1">
        <v>4</v>
      </c>
      <c r="C882" s="1">
        <v>30</v>
      </c>
      <c r="D882" s="1">
        <v>2.5000000000000001E-2</v>
      </c>
      <c r="E882" s="1">
        <v>8.5000000000000006E-2</v>
      </c>
      <c r="F882" s="1">
        <v>-5</v>
      </c>
      <c r="G882" s="1">
        <v>0</v>
      </c>
      <c r="H882" s="1">
        <v>1.2217995902600001</v>
      </c>
      <c r="I882" s="1">
        <v>1.73149263885</v>
      </c>
      <c r="J882" s="1">
        <v>0.67713499155800005</v>
      </c>
      <c r="K882" s="1">
        <v>2442.0035119499998</v>
      </c>
      <c r="L882" s="1">
        <v>559.90599614400003</v>
      </c>
      <c r="M882" s="1" t="s">
        <v>198</v>
      </c>
      <c r="N882" s="1" t="b">
        <v>1</v>
      </c>
    </row>
    <row r="883" spans="1:14" ht="19" customHeight="1" x14ac:dyDescent="0.3">
      <c r="A883">
        <v>878</v>
      </c>
      <c r="B883" s="1">
        <v>4</v>
      </c>
      <c r="C883" s="1">
        <v>30</v>
      </c>
      <c r="D883" s="1">
        <v>2.5000000000000001E-2</v>
      </c>
      <c r="E883" s="1">
        <v>8.5000000000000006E-2</v>
      </c>
      <c r="F883" s="1">
        <v>-5</v>
      </c>
      <c r="G883" s="1">
        <v>1</v>
      </c>
      <c r="H883" s="1">
        <v>1.2217995902600001</v>
      </c>
      <c r="I883" s="1">
        <v>1.2986194791400001</v>
      </c>
      <c r="J883" s="1">
        <v>0.55525069307700003</v>
      </c>
      <c r="K883" s="1">
        <v>2084.0715180100001</v>
      </c>
      <c r="L883" s="1">
        <v>459.12291683799998</v>
      </c>
      <c r="M883" s="1" t="s">
        <v>198</v>
      </c>
      <c r="N883" s="1" t="b">
        <v>1</v>
      </c>
    </row>
    <row r="884" spans="1:14" ht="19" customHeight="1" x14ac:dyDescent="0.3">
      <c r="A884">
        <v>879</v>
      </c>
      <c r="B884" s="1">
        <v>4</v>
      </c>
      <c r="C884" s="1">
        <v>30</v>
      </c>
      <c r="D884" s="1">
        <v>2.5000000000000001E-2</v>
      </c>
      <c r="E884" s="1">
        <v>8.5000000000000006E-2</v>
      </c>
      <c r="F884" s="1">
        <v>0</v>
      </c>
      <c r="G884" s="1">
        <v>0</v>
      </c>
      <c r="H884" s="1">
        <v>1.24960168168</v>
      </c>
      <c r="I884" s="1">
        <v>1.7708928130099999</v>
      </c>
      <c r="J884" s="1">
        <v>0.66963499155799999</v>
      </c>
      <c r="K884" s="1">
        <v>2497.5713852899999</v>
      </c>
      <c r="L884" s="1">
        <v>553.70443364400001</v>
      </c>
      <c r="M884" s="1" t="s">
        <v>198</v>
      </c>
      <c r="N884" s="1" t="b">
        <v>1</v>
      </c>
    </row>
    <row r="885" spans="1:14" ht="19" customHeight="1" x14ac:dyDescent="0.3">
      <c r="A885">
        <v>880</v>
      </c>
      <c r="B885" s="1">
        <v>4</v>
      </c>
      <c r="C885" s="1">
        <v>30</v>
      </c>
      <c r="D885" s="1">
        <v>2.5000000000000001E-2</v>
      </c>
      <c r="E885" s="1">
        <v>8.5000000000000006E-2</v>
      </c>
      <c r="F885" s="1">
        <v>0</v>
      </c>
      <c r="G885" s="1">
        <v>1</v>
      </c>
      <c r="H885" s="1">
        <v>1.24960168168</v>
      </c>
      <c r="I885" s="1">
        <v>1.32816960975</v>
      </c>
      <c r="J885" s="1">
        <v>0.54910069307700005</v>
      </c>
      <c r="K885" s="1">
        <v>2131.4946365999999</v>
      </c>
      <c r="L885" s="1">
        <v>454.037635588</v>
      </c>
      <c r="M885" s="1" t="s">
        <v>198</v>
      </c>
      <c r="N885" s="1" t="b">
        <v>1</v>
      </c>
    </row>
    <row r="886" spans="1:14" ht="19" customHeight="1" x14ac:dyDescent="0.3">
      <c r="A886">
        <v>881</v>
      </c>
      <c r="B886" s="1">
        <v>4</v>
      </c>
      <c r="C886" s="1">
        <v>30</v>
      </c>
      <c r="D886" s="1">
        <v>2.5000000000000001E-2</v>
      </c>
      <c r="E886" s="1">
        <v>8.5000000000000006E-2</v>
      </c>
      <c r="F886" s="1">
        <v>5</v>
      </c>
      <c r="G886" s="1">
        <v>0</v>
      </c>
      <c r="H886" s="1">
        <v>1.2217995902600001</v>
      </c>
      <c r="I886" s="1">
        <v>1.73149263885</v>
      </c>
      <c r="J886" s="1">
        <v>0.67713499155800005</v>
      </c>
      <c r="K886" s="1">
        <v>2442.0035119499998</v>
      </c>
      <c r="L886" s="1">
        <v>559.90599614400003</v>
      </c>
      <c r="M886" s="1" t="s">
        <v>198</v>
      </c>
      <c r="N886" s="1" t="b">
        <v>1</v>
      </c>
    </row>
    <row r="887" spans="1:14" ht="19" customHeight="1" x14ac:dyDescent="0.3">
      <c r="A887">
        <v>882</v>
      </c>
      <c r="B887" s="1">
        <v>4</v>
      </c>
      <c r="C887" s="1">
        <v>30</v>
      </c>
      <c r="D887" s="1">
        <v>2.5000000000000001E-2</v>
      </c>
      <c r="E887" s="1">
        <v>8.5000000000000006E-2</v>
      </c>
      <c r="F887" s="1">
        <v>5</v>
      </c>
      <c r="G887" s="1">
        <v>1</v>
      </c>
      <c r="H887" s="1">
        <v>1.2217995902600001</v>
      </c>
      <c r="I887" s="1">
        <v>1.2986194791400001</v>
      </c>
      <c r="J887" s="1">
        <v>0.55525069307700003</v>
      </c>
      <c r="K887" s="1">
        <v>2084.0715180100001</v>
      </c>
      <c r="L887" s="1">
        <v>459.12291683799998</v>
      </c>
      <c r="M887" s="1" t="s">
        <v>198</v>
      </c>
      <c r="N887" s="1" t="b">
        <v>1</v>
      </c>
    </row>
    <row r="888" spans="1:14" ht="19" customHeight="1" x14ac:dyDescent="0.3">
      <c r="A888">
        <v>883</v>
      </c>
      <c r="B888" s="1">
        <v>4</v>
      </c>
      <c r="C888" s="1">
        <v>30</v>
      </c>
      <c r="D888" s="1">
        <v>0.04</v>
      </c>
      <c r="E888" s="1">
        <v>0.04</v>
      </c>
      <c r="F888" s="1">
        <v>-5</v>
      </c>
      <c r="G888" s="1">
        <v>0</v>
      </c>
      <c r="H888" s="1">
        <v>1.29100489902</v>
      </c>
      <c r="I888" s="1">
        <v>1.835300602</v>
      </c>
      <c r="J888" s="1">
        <v>0.68332824837600004</v>
      </c>
      <c r="K888" s="1">
        <v>2585.0638611499999</v>
      </c>
      <c r="L888" s="1">
        <v>565.02704537600005</v>
      </c>
      <c r="M888" s="1" t="s">
        <v>198</v>
      </c>
      <c r="N888" s="1" t="b">
        <v>1</v>
      </c>
    </row>
    <row r="889" spans="1:14" ht="19" customHeight="1" x14ac:dyDescent="0.3">
      <c r="A889">
        <v>884</v>
      </c>
      <c r="B889" s="1">
        <v>4</v>
      </c>
      <c r="C889" s="1">
        <v>30</v>
      </c>
      <c r="D889" s="1">
        <v>0.04</v>
      </c>
      <c r="E889" s="1">
        <v>0.04</v>
      </c>
      <c r="F889" s="1">
        <v>-5</v>
      </c>
      <c r="G889" s="1">
        <v>1</v>
      </c>
      <c r="H889" s="1">
        <v>1.29100489902</v>
      </c>
      <c r="I889" s="1">
        <v>1.3764754514999999</v>
      </c>
      <c r="J889" s="1">
        <v>0.56032916366899999</v>
      </c>
      <c r="K889" s="1">
        <v>2205.6728148299999</v>
      </c>
      <c r="L889" s="1">
        <v>463.32217720900002</v>
      </c>
      <c r="M889" s="1" t="s">
        <v>198</v>
      </c>
      <c r="N889" s="1" t="b">
        <v>1</v>
      </c>
    </row>
    <row r="890" spans="1:14" ht="19" customHeight="1" x14ac:dyDescent="0.3">
      <c r="A890">
        <v>885</v>
      </c>
      <c r="B890" s="1">
        <v>4</v>
      </c>
      <c r="C890" s="1">
        <v>30</v>
      </c>
      <c r="D890" s="1">
        <v>0.04</v>
      </c>
      <c r="E890" s="1">
        <v>0.04</v>
      </c>
      <c r="F890" s="1">
        <v>0</v>
      </c>
      <c r="G890" s="1">
        <v>0</v>
      </c>
      <c r="H890" s="1">
        <v>1.3203817596</v>
      </c>
      <c r="I890" s="1">
        <v>1.8770629298999999</v>
      </c>
      <c r="J890" s="1">
        <v>0.67582824837599997</v>
      </c>
      <c r="K890" s="1">
        <v>2643.88707763</v>
      </c>
      <c r="L890" s="1">
        <v>558.82548287600002</v>
      </c>
      <c r="M890" s="1" t="s">
        <v>198</v>
      </c>
      <c r="N890" s="1" t="b">
        <v>1</v>
      </c>
    </row>
    <row r="891" spans="1:14" ht="19" customHeight="1" x14ac:dyDescent="0.3">
      <c r="A891">
        <v>886</v>
      </c>
      <c r="B891" s="1">
        <v>4</v>
      </c>
      <c r="C891" s="1">
        <v>30</v>
      </c>
      <c r="D891" s="1">
        <v>0.04</v>
      </c>
      <c r="E891" s="1">
        <v>0.04</v>
      </c>
      <c r="F891" s="1">
        <v>0</v>
      </c>
      <c r="G891" s="1">
        <v>1</v>
      </c>
      <c r="H891" s="1">
        <v>1.3203817596</v>
      </c>
      <c r="I891" s="1">
        <v>1.4077971974200001</v>
      </c>
      <c r="J891" s="1">
        <v>0.554179163669</v>
      </c>
      <c r="K891" s="1">
        <v>2255.86297509</v>
      </c>
      <c r="L891" s="1">
        <v>458.23689595899998</v>
      </c>
      <c r="M891" s="1" t="s">
        <v>198</v>
      </c>
      <c r="N891" s="1" t="b">
        <v>1</v>
      </c>
    </row>
    <row r="892" spans="1:14" ht="19" customHeight="1" x14ac:dyDescent="0.3">
      <c r="A892">
        <v>887</v>
      </c>
      <c r="B892" s="1">
        <v>4</v>
      </c>
      <c r="C892" s="1">
        <v>30</v>
      </c>
      <c r="D892" s="1">
        <v>0.04</v>
      </c>
      <c r="E892" s="1">
        <v>0.04</v>
      </c>
      <c r="F892" s="1">
        <v>5</v>
      </c>
      <c r="G892" s="1">
        <v>0</v>
      </c>
      <c r="H892" s="1">
        <v>1.29100489902</v>
      </c>
      <c r="I892" s="1">
        <v>1.835300602</v>
      </c>
      <c r="J892" s="1">
        <v>0.68332824837600004</v>
      </c>
      <c r="K892" s="1">
        <v>2585.0638611499999</v>
      </c>
      <c r="L892" s="1">
        <v>565.02704537600005</v>
      </c>
      <c r="M892" s="1" t="s">
        <v>198</v>
      </c>
      <c r="N892" s="1" t="b">
        <v>1</v>
      </c>
    </row>
    <row r="893" spans="1:14" ht="19" customHeight="1" x14ac:dyDescent="0.3">
      <c r="A893">
        <v>888</v>
      </c>
      <c r="B893" s="1">
        <v>4</v>
      </c>
      <c r="C893" s="1">
        <v>30</v>
      </c>
      <c r="D893" s="1">
        <v>0.04</v>
      </c>
      <c r="E893" s="1">
        <v>0.04</v>
      </c>
      <c r="F893" s="1">
        <v>5</v>
      </c>
      <c r="G893" s="1">
        <v>1</v>
      </c>
      <c r="H893" s="1">
        <v>1.29100489902</v>
      </c>
      <c r="I893" s="1">
        <v>1.3764754514999999</v>
      </c>
      <c r="J893" s="1">
        <v>0.56032916366899999</v>
      </c>
      <c r="K893" s="1">
        <v>2205.6728148299999</v>
      </c>
      <c r="L893" s="1">
        <v>463.32217720900002</v>
      </c>
      <c r="M893" s="1" t="s">
        <v>198</v>
      </c>
      <c r="N893" s="1" t="b">
        <v>1</v>
      </c>
    </row>
    <row r="894" spans="1:14" ht="19" customHeight="1" x14ac:dyDescent="0.3">
      <c r="A894">
        <v>889</v>
      </c>
      <c r="B894" s="1">
        <v>4</v>
      </c>
      <c r="C894" s="1">
        <v>30</v>
      </c>
      <c r="D894" s="1">
        <v>0.04</v>
      </c>
      <c r="E894" s="1">
        <v>0.06</v>
      </c>
      <c r="F894" s="1">
        <v>-5</v>
      </c>
      <c r="G894" s="1">
        <v>0</v>
      </c>
      <c r="H894" s="1">
        <v>1.3322007145799999</v>
      </c>
      <c r="I894" s="1">
        <v>1.8970943253300001</v>
      </c>
      <c r="J894" s="1">
        <v>0.68701490580400004</v>
      </c>
      <c r="K894" s="1">
        <v>2670.2233361200001</v>
      </c>
      <c r="L894" s="1">
        <v>568.07545023700004</v>
      </c>
      <c r="M894" s="1" t="s">
        <v>198</v>
      </c>
      <c r="N894" s="1" t="b">
        <v>1</v>
      </c>
    </row>
    <row r="895" spans="1:14" ht="19" customHeight="1" x14ac:dyDescent="0.3">
      <c r="A895">
        <v>890</v>
      </c>
      <c r="B895" s="1">
        <v>4</v>
      </c>
      <c r="C895" s="1">
        <v>30</v>
      </c>
      <c r="D895" s="1">
        <v>0.04</v>
      </c>
      <c r="E895" s="1">
        <v>0.06</v>
      </c>
      <c r="F895" s="1">
        <v>-5</v>
      </c>
      <c r="G895" s="1">
        <v>1</v>
      </c>
      <c r="H895" s="1">
        <v>1.3322007145799999</v>
      </c>
      <c r="I895" s="1">
        <v>1.422820744</v>
      </c>
      <c r="J895" s="1">
        <v>0.56335222275999997</v>
      </c>
      <c r="K895" s="1">
        <v>2278.05836856</v>
      </c>
      <c r="L895" s="1">
        <v>465.82186919399999</v>
      </c>
      <c r="M895" s="1" t="s">
        <v>198</v>
      </c>
      <c r="N895" s="1" t="b">
        <v>1</v>
      </c>
    </row>
    <row r="896" spans="1:14" ht="19" customHeight="1" x14ac:dyDescent="0.3">
      <c r="A896">
        <v>891</v>
      </c>
      <c r="B896" s="1">
        <v>4</v>
      </c>
      <c r="C896" s="1">
        <v>30</v>
      </c>
      <c r="D896" s="1">
        <v>0.04</v>
      </c>
      <c r="E896" s="1">
        <v>0.06</v>
      </c>
      <c r="F896" s="1">
        <v>0</v>
      </c>
      <c r="G896" s="1">
        <v>0</v>
      </c>
      <c r="H896" s="1">
        <v>1.36251498735</v>
      </c>
      <c r="I896" s="1">
        <v>1.94026277152</v>
      </c>
      <c r="J896" s="1">
        <v>0.67951490580399998</v>
      </c>
      <c r="K896" s="1">
        <v>2730.9843593599999</v>
      </c>
      <c r="L896" s="1">
        <v>561.87388773700002</v>
      </c>
      <c r="M896" s="1" t="s">
        <v>198</v>
      </c>
      <c r="N896" s="1" t="b">
        <v>1</v>
      </c>
    </row>
    <row r="897" spans="1:14" ht="19" customHeight="1" x14ac:dyDescent="0.3">
      <c r="A897">
        <v>892</v>
      </c>
      <c r="B897" s="1">
        <v>4</v>
      </c>
      <c r="C897" s="1">
        <v>30</v>
      </c>
      <c r="D897" s="1">
        <v>0.04</v>
      </c>
      <c r="E897" s="1">
        <v>0.06</v>
      </c>
      <c r="F897" s="1">
        <v>0</v>
      </c>
      <c r="G897" s="1">
        <v>1</v>
      </c>
      <c r="H897" s="1">
        <v>1.36251498735</v>
      </c>
      <c r="I897" s="1">
        <v>1.4551970786399999</v>
      </c>
      <c r="J897" s="1">
        <v>0.55720222275999998</v>
      </c>
      <c r="K897" s="1">
        <v>2329.8956645600001</v>
      </c>
      <c r="L897" s="1">
        <v>460.73658794400001</v>
      </c>
      <c r="M897" s="1" t="s">
        <v>198</v>
      </c>
      <c r="N897" s="1" t="b">
        <v>1</v>
      </c>
    </row>
    <row r="898" spans="1:14" ht="19" customHeight="1" x14ac:dyDescent="0.3">
      <c r="A898">
        <v>893</v>
      </c>
      <c r="B898" s="1">
        <v>4</v>
      </c>
      <c r="C898" s="1">
        <v>30</v>
      </c>
      <c r="D898" s="1">
        <v>0.04</v>
      </c>
      <c r="E898" s="1">
        <v>0.06</v>
      </c>
      <c r="F898" s="1">
        <v>5</v>
      </c>
      <c r="G898" s="1">
        <v>0</v>
      </c>
      <c r="H898" s="1">
        <v>1.3322007145799999</v>
      </c>
      <c r="I898" s="1">
        <v>1.8970943253300001</v>
      </c>
      <c r="J898" s="1">
        <v>0.68701490580400004</v>
      </c>
      <c r="K898" s="1">
        <v>2670.2233361200001</v>
      </c>
      <c r="L898" s="1">
        <v>568.07545023700004</v>
      </c>
      <c r="M898" s="1" t="s">
        <v>198</v>
      </c>
      <c r="N898" s="1" t="b">
        <v>1</v>
      </c>
    </row>
    <row r="899" spans="1:14" ht="19" customHeight="1" x14ac:dyDescent="0.3">
      <c r="A899">
        <v>894</v>
      </c>
      <c r="B899" s="1">
        <v>4</v>
      </c>
      <c r="C899" s="1">
        <v>30</v>
      </c>
      <c r="D899" s="1">
        <v>0.04</v>
      </c>
      <c r="E899" s="1">
        <v>0.06</v>
      </c>
      <c r="F899" s="1">
        <v>5</v>
      </c>
      <c r="G899" s="1">
        <v>1</v>
      </c>
      <c r="H899" s="1">
        <v>1.3322007145799999</v>
      </c>
      <c r="I899" s="1">
        <v>1.422820744</v>
      </c>
      <c r="J899" s="1">
        <v>0.56335222275999997</v>
      </c>
      <c r="K899" s="1">
        <v>2278.05836856</v>
      </c>
      <c r="L899" s="1">
        <v>465.82186919399999</v>
      </c>
      <c r="M899" s="1" t="s">
        <v>198</v>
      </c>
      <c r="N899" s="1" t="b">
        <v>1</v>
      </c>
    </row>
    <row r="900" spans="1:14" ht="19" customHeight="1" x14ac:dyDescent="0.3">
      <c r="A900">
        <v>895</v>
      </c>
      <c r="B900" s="1">
        <v>4</v>
      </c>
      <c r="C900" s="1">
        <v>30</v>
      </c>
      <c r="D900" s="1">
        <v>0.04</v>
      </c>
      <c r="E900" s="1">
        <v>8.5000000000000006E-2</v>
      </c>
      <c r="F900" s="1">
        <v>-5</v>
      </c>
      <c r="G900" s="1">
        <v>0</v>
      </c>
      <c r="H900" s="1">
        <v>1.22688439658</v>
      </c>
      <c r="I900" s="1">
        <v>1.7391198483400001</v>
      </c>
      <c r="J900" s="1">
        <v>0.67759003629400005</v>
      </c>
      <c r="K900" s="1">
        <v>2452.5147600199998</v>
      </c>
      <c r="L900" s="1">
        <v>560.28226126000004</v>
      </c>
      <c r="M900" s="1" t="s">
        <v>198</v>
      </c>
      <c r="N900" s="1" t="b">
        <v>1</v>
      </c>
    </row>
    <row r="901" spans="1:14" ht="19" customHeight="1" x14ac:dyDescent="0.3">
      <c r="A901">
        <v>896</v>
      </c>
      <c r="B901" s="1">
        <v>4</v>
      </c>
      <c r="C901" s="1">
        <v>30</v>
      </c>
      <c r="D901" s="1">
        <v>0.04</v>
      </c>
      <c r="E901" s="1">
        <v>8.5000000000000006E-2</v>
      </c>
      <c r="F901" s="1">
        <v>-5</v>
      </c>
      <c r="G901" s="1">
        <v>1</v>
      </c>
      <c r="H901" s="1">
        <v>1.22688439658</v>
      </c>
      <c r="I901" s="1">
        <v>1.30433988625</v>
      </c>
      <c r="J901" s="1">
        <v>0.555623829761</v>
      </c>
      <c r="K901" s="1">
        <v>2093.0060788699998</v>
      </c>
      <c r="L901" s="1">
        <v>459.43145423300001</v>
      </c>
      <c r="M901" s="1" t="s">
        <v>198</v>
      </c>
      <c r="N901" s="1" t="b">
        <v>1</v>
      </c>
    </row>
    <row r="902" spans="1:14" ht="19" customHeight="1" x14ac:dyDescent="0.3">
      <c r="A902">
        <v>897</v>
      </c>
      <c r="B902" s="1">
        <v>4</v>
      </c>
      <c r="C902" s="1">
        <v>30</v>
      </c>
      <c r="D902" s="1">
        <v>0.04</v>
      </c>
      <c r="E902" s="1">
        <v>8.5000000000000006E-2</v>
      </c>
      <c r="F902" s="1">
        <v>0</v>
      </c>
      <c r="G902" s="1">
        <v>0</v>
      </c>
      <c r="H902" s="1">
        <v>1.2548021929399999</v>
      </c>
      <c r="I902" s="1">
        <v>1.7786935799000001</v>
      </c>
      <c r="J902" s="1">
        <v>0.67009003629399999</v>
      </c>
      <c r="K902" s="1">
        <v>2508.32181717</v>
      </c>
      <c r="L902" s="1">
        <v>554.08069876000002</v>
      </c>
      <c r="M902" s="1" t="s">
        <v>198</v>
      </c>
      <c r="N902" s="1" t="b">
        <v>1</v>
      </c>
    </row>
    <row r="903" spans="1:14" ht="19" customHeight="1" x14ac:dyDescent="0.3">
      <c r="A903">
        <v>898</v>
      </c>
      <c r="B903" s="1">
        <v>4</v>
      </c>
      <c r="C903" s="1">
        <v>30</v>
      </c>
      <c r="D903" s="1">
        <v>0.04</v>
      </c>
      <c r="E903" s="1">
        <v>8.5000000000000006E-2</v>
      </c>
      <c r="F903" s="1">
        <v>0</v>
      </c>
      <c r="G903" s="1">
        <v>1</v>
      </c>
      <c r="H903" s="1">
        <v>1.2548021929399999</v>
      </c>
      <c r="I903" s="1">
        <v>1.33402018493</v>
      </c>
      <c r="J903" s="1">
        <v>0.54947382976100001</v>
      </c>
      <c r="K903" s="1">
        <v>2140.6325037000001</v>
      </c>
      <c r="L903" s="1">
        <v>454.34617298299997</v>
      </c>
      <c r="M903" s="1" t="s">
        <v>198</v>
      </c>
      <c r="N903" s="1" t="b">
        <v>1</v>
      </c>
    </row>
    <row r="904" spans="1:14" ht="19" customHeight="1" x14ac:dyDescent="0.3">
      <c r="A904">
        <v>899</v>
      </c>
      <c r="B904" s="1">
        <v>4</v>
      </c>
      <c r="C904" s="1">
        <v>30</v>
      </c>
      <c r="D904" s="1">
        <v>0.04</v>
      </c>
      <c r="E904" s="1">
        <v>8.5000000000000006E-2</v>
      </c>
      <c r="F904" s="1">
        <v>5</v>
      </c>
      <c r="G904" s="1">
        <v>0</v>
      </c>
      <c r="H904" s="1">
        <v>1.22688439658</v>
      </c>
      <c r="I904" s="1">
        <v>1.7391198483400001</v>
      </c>
      <c r="J904" s="1">
        <v>0.67759003629400005</v>
      </c>
      <c r="K904" s="1">
        <v>2452.5147600199998</v>
      </c>
      <c r="L904" s="1">
        <v>560.28226126000004</v>
      </c>
      <c r="M904" s="1" t="s">
        <v>198</v>
      </c>
      <c r="N904" s="1" t="b">
        <v>1</v>
      </c>
    </row>
    <row r="905" spans="1:14" ht="19" customHeight="1" x14ac:dyDescent="0.3">
      <c r="A905">
        <v>900</v>
      </c>
      <c r="B905" s="1">
        <v>4</v>
      </c>
      <c r="C905" s="1">
        <v>30</v>
      </c>
      <c r="D905" s="1">
        <v>0.04</v>
      </c>
      <c r="E905" s="1">
        <v>8.5000000000000006E-2</v>
      </c>
      <c r="F905" s="1">
        <v>5</v>
      </c>
      <c r="G905" s="1">
        <v>1</v>
      </c>
      <c r="H905" s="1">
        <v>1.22688439658</v>
      </c>
      <c r="I905" s="1">
        <v>1.30433988625</v>
      </c>
      <c r="J905" s="1">
        <v>0.555623829761</v>
      </c>
      <c r="K905" s="1">
        <v>2093.0060788699998</v>
      </c>
      <c r="L905" s="1">
        <v>459.43145423300001</v>
      </c>
      <c r="M905" s="1" t="s">
        <v>198</v>
      </c>
      <c r="N905" s="1" t="b">
        <v>1</v>
      </c>
    </row>
    <row r="906" spans="1:14" ht="19" customHeight="1" x14ac:dyDescent="0.3">
      <c r="A906">
        <v>901</v>
      </c>
      <c r="B906" s="1">
        <v>4</v>
      </c>
      <c r="C906" s="1">
        <v>30</v>
      </c>
      <c r="D906" s="1">
        <v>5.5E-2</v>
      </c>
      <c r="E906" s="1">
        <v>0.04</v>
      </c>
      <c r="F906" s="1">
        <v>-5</v>
      </c>
      <c r="G906" s="1">
        <v>0</v>
      </c>
      <c r="H906" s="1">
        <v>1.15111979696</v>
      </c>
      <c r="I906" s="1">
        <v>1.6254729488999999</v>
      </c>
      <c r="J906" s="1">
        <v>0.67080978154699999</v>
      </c>
      <c r="K906" s="1">
        <v>2295.8951267299999</v>
      </c>
      <c r="L906" s="1">
        <v>554.67583811600002</v>
      </c>
      <c r="M906" s="1" t="s">
        <v>198</v>
      </c>
      <c r="N906" s="1" t="b">
        <v>1</v>
      </c>
    </row>
    <row r="907" spans="1:14" ht="19" customHeight="1" x14ac:dyDescent="0.3">
      <c r="A907">
        <v>902</v>
      </c>
      <c r="B907" s="1">
        <v>4</v>
      </c>
      <c r="C907" s="1">
        <v>30</v>
      </c>
      <c r="D907" s="1">
        <v>5.5E-2</v>
      </c>
      <c r="E907" s="1">
        <v>0.04</v>
      </c>
      <c r="F907" s="1">
        <v>-5</v>
      </c>
      <c r="G907" s="1">
        <v>1</v>
      </c>
      <c r="H907" s="1">
        <v>1.15111979696</v>
      </c>
      <c r="I907" s="1">
        <v>1.21910471168</v>
      </c>
      <c r="J907" s="1">
        <v>0.55006402086799999</v>
      </c>
      <c r="K907" s="1">
        <v>1959.8793905699999</v>
      </c>
      <c r="L907" s="1">
        <v>454.83418725500002</v>
      </c>
      <c r="M907" s="1" t="s">
        <v>198</v>
      </c>
      <c r="N907" s="1" t="b">
        <v>1</v>
      </c>
    </row>
    <row r="908" spans="1:14" ht="19" customHeight="1" x14ac:dyDescent="0.3">
      <c r="A908">
        <v>903</v>
      </c>
      <c r="B908" s="1">
        <v>4</v>
      </c>
      <c r="C908" s="1">
        <v>30</v>
      </c>
      <c r="D908" s="1">
        <v>5.5E-2</v>
      </c>
      <c r="E908" s="1">
        <v>0.04</v>
      </c>
      <c r="F908" s="1">
        <v>0</v>
      </c>
      <c r="G908" s="1">
        <v>0</v>
      </c>
      <c r="H908" s="1">
        <v>1.1773135672599999</v>
      </c>
      <c r="I908" s="1">
        <v>1.66246064139</v>
      </c>
      <c r="J908" s="1">
        <v>0.66330978154700004</v>
      </c>
      <c r="K908" s="1">
        <v>2348.1382987799998</v>
      </c>
      <c r="L908" s="1">
        <v>548.474275616</v>
      </c>
      <c r="M908" s="1" t="s">
        <v>198</v>
      </c>
      <c r="N908" s="1" t="b">
        <v>1</v>
      </c>
    </row>
    <row r="909" spans="1:14" ht="19" customHeight="1" x14ac:dyDescent="0.3">
      <c r="A909">
        <v>904</v>
      </c>
      <c r="B909" s="1">
        <v>4</v>
      </c>
      <c r="C909" s="1">
        <v>30</v>
      </c>
      <c r="D909" s="1">
        <v>5.5E-2</v>
      </c>
      <c r="E909" s="1">
        <v>0.04</v>
      </c>
      <c r="F909" s="1">
        <v>0</v>
      </c>
      <c r="G909" s="1">
        <v>1</v>
      </c>
      <c r="H909" s="1">
        <v>1.1773135672599999</v>
      </c>
      <c r="I909" s="1">
        <v>1.24684548104</v>
      </c>
      <c r="J909" s="1">
        <v>0.543914020868</v>
      </c>
      <c r="K909" s="1">
        <v>2004.4765130599999</v>
      </c>
      <c r="L909" s="1">
        <v>449.74890600499998</v>
      </c>
      <c r="M909" s="1" t="s">
        <v>198</v>
      </c>
      <c r="N909" s="1" t="b">
        <v>1</v>
      </c>
    </row>
    <row r="910" spans="1:14" ht="19" customHeight="1" x14ac:dyDescent="0.3">
      <c r="A910">
        <v>905</v>
      </c>
      <c r="B910" s="1">
        <v>4</v>
      </c>
      <c r="C910" s="1">
        <v>30</v>
      </c>
      <c r="D910" s="1">
        <v>5.5E-2</v>
      </c>
      <c r="E910" s="1">
        <v>0.04</v>
      </c>
      <c r="F910" s="1">
        <v>5</v>
      </c>
      <c r="G910" s="1">
        <v>0</v>
      </c>
      <c r="H910" s="1">
        <v>1.15111979696</v>
      </c>
      <c r="I910" s="1">
        <v>1.6254729488999999</v>
      </c>
      <c r="J910" s="1">
        <v>0.67080978154699999</v>
      </c>
      <c r="K910" s="1">
        <v>2295.8951267299999</v>
      </c>
      <c r="L910" s="1">
        <v>554.67583811600002</v>
      </c>
      <c r="M910" s="1" t="s">
        <v>198</v>
      </c>
      <c r="N910" s="1" t="b">
        <v>1</v>
      </c>
    </row>
    <row r="911" spans="1:14" ht="19" customHeight="1" x14ac:dyDescent="0.3">
      <c r="A911">
        <v>906</v>
      </c>
      <c r="B911" s="1">
        <v>4</v>
      </c>
      <c r="C911" s="1">
        <v>30</v>
      </c>
      <c r="D911" s="1">
        <v>5.5E-2</v>
      </c>
      <c r="E911" s="1">
        <v>0.04</v>
      </c>
      <c r="F911" s="1">
        <v>5</v>
      </c>
      <c r="G911" s="1">
        <v>1</v>
      </c>
      <c r="H911" s="1">
        <v>1.15111979696</v>
      </c>
      <c r="I911" s="1">
        <v>1.21910471168</v>
      </c>
      <c r="J911" s="1">
        <v>0.55006402086799999</v>
      </c>
      <c r="K911" s="1">
        <v>1959.8793905699999</v>
      </c>
      <c r="L911" s="1">
        <v>454.83418725500002</v>
      </c>
      <c r="M911" s="1" t="s">
        <v>198</v>
      </c>
      <c r="N911" s="1" t="b">
        <v>1</v>
      </c>
    </row>
    <row r="912" spans="1:14" ht="19" customHeight="1" x14ac:dyDescent="0.3">
      <c r="A912">
        <v>907</v>
      </c>
      <c r="B912" s="1">
        <v>4</v>
      </c>
      <c r="C912" s="1">
        <v>30</v>
      </c>
      <c r="D912" s="1">
        <v>5.5E-2</v>
      </c>
      <c r="E912" s="1">
        <v>0.06</v>
      </c>
      <c r="F912" s="1">
        <v>-5</v>
      </c>
      <c r="G912" s="1">
        <v>0</v>
      </c>
      <c r="H912" s="1">
        <v>1.17874939666</v>
      </c>
      <c r="I912" s="1">
        <v>1.6669173484599999</v>
      </c>
      <c r="J912" s="1">
        <v>0.67328238386399997</v>
      </c>
      <c r="K912" s="1">
        <v>2353.0106898700001</v>
      </c>
      <c r="L912" s="1">
        <v>556.72037115700005</v>
      </c>
      <c r="M912" s="1" t="s">
        <v>198</v>
      </c>
      <c r="N912" s="1" t="b">
        <v>1</v>
      </c>
    </row>
    <row r="913" spans="1:14" ht="19" customHeight="1" x14ac:dyDescent="0.3">
      <c r="A913">
        <v>908</v>
      </c>
      <c r="B913" s="1">
        <v>4</v>
      </c>
      <c r="C913" s="1">
        <v>30</v>
      </c>
      <c r="D913" s="1">
        <v>5.5E-2</v>
      </c>
      <c r="E913" s="1">
        <v>0.06</v>
      </c>
      <c r="F913" s="1">
        <v>-5</v>
      </c>
      <c r="G913" s="1">
        <v>1</v>
      </c>
      <c r="H913" s="1">
        <v>1.17874939666</v>
      </c>
      <c r="I913" s="1">
        <v>1.2501880113499999</v>
      </c>
      <c r="J913" s="1">
        <v>0.55209155476799998</v>
      </c>
      <c r="K913" s="1">
        <v>2008.4276192499999</v>
      </c>
      <c r="L913" s="1">
        <v>456.51070434899998</v>
      </c>
      <c r="M913" s="1" t="s">
        <v>198</v>
      </c>
      <c r="N913" s="1" t="b">
        <v>1</v>
      </c>
    </row>
    <row r="914" spans="1:14" ht="19" customHeight="1" x14ac:dyDescent="0.3">
      <c r="A914">
        <v>909</v>
      </c>
      <c r="B914" s="1">
        <v>4</v>
      </c>
      <c r="C914" s="1">
        <v>30</v>
      </c>
      <c r="D914" s="1">
        <v>5.5E-2</v>
      </c>
      <c r="E914" s="1">
        <v>0.06</v>
      </c>
      <c r="F914" s="1">
        <v>0</v>
      </c>
      <c r="G914" s="1">
        <v>0</v>
      </c>
      <c r="H914" s="1">
        <v>1.2055718794500001</v>
      </c>
      <c r="I914" s="1">
        <v>1.7048481096699999</v>
      </c>
      <c r="J914" s="1">
        <v>0.66578238386400002</v>
      </c>
      <c r="K914" s="1">
        <v>2406.55352851</v>
      </c>
      <c r="L914" s="1">
        <v>550.51880865700002</v>
      </c>
      <c r="M914" s="1" t="s">
        <v>198</v>
      </c>
      <c r="N914" s="1" t="b">
        <v>1</v>
      </c>
    </row>
    <row r="915" spans="1:14" ht="19" customHeight="1" x14ac:dyDescent="0.3">
      <c r="A915">
        <v>910</v>
      </c>
      <c r="B915" s="1">
        <v>4</v>
      </c>
      <c r="C915" s="1">
        <v>30</v>
      </c>
      <c r="D915" s="1">
        <v>5.5E-2</v>
      </c>
      <c r="E915" s="1">
        <v>0.06</v>
      </c>
      <c r="F915" s="1">
        <v>0</v>
      </c>
      <c r="G915" s="1">
        <v>1</v>
      </c>
      <c r="H915" s="1">
        <v>1.2055718794500001</v>
      </c>
      <c r="I915" s="1">
        <v>1.27863608226</v>
      </c>
      <c r="J915" s="1">
        <v>0.54594155476799999</v>
      </c>
      <c r="K915" s="1">
        <v>2054.1294583399999</v>
      </c>
      <c r="L915" s="1">
        <v>451.425423099</v>
      </c>
      <c r="M915" s="1" t="s">
        <v>198</v>
      </c>
      <c r="N915" s="1" t="b">
        <v>1</v>
      </c>
    </row>
    <row r="916" spans="1:14" ht="19" customHeight="1" x14ac:dyDescent="0.3">
      <c r="A916">
        <v>911</v>
      </c>
      <c r="B916" s="1">
        <v>4</v>
      </c>
      <c r="C916" s="1">
        <v>30</v>
      </c>
      <c r="D916" s="1">
        <v>5.5E-2</v>
      </c>
      <c r="E916" s="1">
        <v>0.06</v>
      </c>
      <c r="F916" s="1">
        <v>5</v>
      </c>
      <c r="G916" s="1">
        <v>0</v>
      </c>
      <c r="H916" s="1">
        <v>1.17874939666</v>
      </c>
      <c r="I916" s="1">
        <v>1.6669173484599999</v>
      </c>
      <c r="J916" s="1">
        <v>0.67328238386399997</v>
      </c>
      <c r="K916" s="1">
        <v>2353.0106898700001</v>
      </c>
      <c r="L916" s="1">
        <v>556.72037115700005</v>
      </c>
      <c r="M916" s="1" t="s">
        <v>198</v>
      </c>
      <c r="N916" s="1" t="b">
        <v>1</v>
      </c>
    </row>
    <row r="917" spans="1:14" ht="19" customHeight="1" x14ac:dyDescent="0.3">
      <c r="A917">
        <v>912</v>
      </c>
      <c r="B917" s="1">
        <v>4</v>
      </c>
      <c r="C917" s="1">
        <v>30</v>
      </c>
      <c r="D917" s="1">
        <v>5.5E-2</v>
      </c>
      <c r="E917" s="1">
        <v>0.06</v>
      </c>
      <c r="F917" s="1">
        <v>5</v>
      </c>
      <c r="G917" s="1">
        <v>1</v>
      </c>
      <c r="H917" s="1">
        <v>1.17874939666</v>
      </c>
      <c r="I917" s="1">
        <v>1.2501880113499999</v>
      </c>
      <c r="J917" s="1">
        <v>0.55209155476799998</v>
      </c>
      <c r="K917" s="1">
        <v>2008.4276192499999</v>
      </c>
      <c r="L917" s="1">
        <v>456.51070434899998</v>
      </c>
      <c r="M917" s="1" t="s">
        <v>198</v>
      </c>
      <c r="N917" s="1" t="b">
        <v>1</v>
      </c>
    </row>
    <row r="918" spans="1:14" ht="19" customHeight="1" x14ac:dyDescent="0.3">
      <c r="A918">
        <v>913</v>
      </c>
      <c r="B918" s="1">
        <v>4</v>
      </c>
      <c r="C918" s="1">
        <v>30</v>
      </c>
      <c r="D918" s="1">
        <v>5.5E-2</v>
      </c>
      <c r="E918" s="1">
        <v>8.5000000000000006E-2</v>
      </c>
      <c r="F918" s="1">
        <v>-5</v>
      </c>
      <c r="G918" s="1">
        <v>0</v>
      </c>
      <c r="H918" s="1">
        <v>1.1081148511500001</v>
      </c>
      <c r="I918" s="1">
        <v>1.5609655301900001</v>
      </c>
      <c r="J918" s="1">
        <v>0.66696122312499995</v>
      </c>
      <c r="K918" s="1">
        <v>2206.9958403199998</v>
      </c>
      <c r="L918" s="1">
        <v>551.49356137200004</v>
      </c>
      <c r="M918" s="1" t="s">
        <v>198</v>
      </c>
      <c r="N918" s="1" t="b">
        <v>1</v>
      </c>
    </row>
    <row r="919" spans="1:14" ht="19" customHeight="1" x14ac:dyDescent="0.3">
      <c r="A919">
        <v>914</v>
      </c>
      <c r="B919" s="1">
        <v>4</v>
      </c>
      <c r="C919" s="1">
        <v>30</v>
      </c>
      <c r="D919" s="1">
        <v>5.5E-2</v>
      </c>
      <c r="E919" s="1">
        <v>8.5000000000000006E-2</v>
      </c>
      <c r="F919" s="1">
        <v>-5</v>
      </c>
      <c r="G919" s="1">
        <v>1</v>
      </c>
      <c r="H919" s="1">
        <v>1.1081148511500001</v>
      </c>
      <c r="I919" s="1">
        <v>1.1707241476400001</v>
      </c>
      <c r="J919" s="1">
        <v>0.54690820296300002</v>
      </c>
      <c r="K919" s="1">
        <v>1884.3149971299999</v>
      </c>
      <c r="L919" s="1">
        <v>452.22472032500002</v>
      </c>
      <c r="M919" s="1" t="s">
        <v>198</v>
      </c>
      <c r="N919" s="1" t="b">
        <v>1</v>
      </c>
    </row>
    <row r="920" spans="1:14" ht="19" customHeight="1" x14ac:dyDescent="0.3">
      <c r="A920">
        <v>915</v>
      </c>
      <c r="B920" s="1">
        <v>4</v>
      </c>
      <c r="C920" s="1">
        <v>30</v>
      </c>
      <c r="D920" s="1">
        <v>5.5E-2</v>
      </c>
      <c r="E920" s="1">
        <v>8.5000000000000006E-2</v>
      </c>
      <c r="F920" s="1">
        <v>0</v>
      </c>
      <c r="G920" s="1">
        <v>0</v>
      </c>
      <c r="H920" s="1">
        <v>1.1333300424499999</v>
      </c>
      <c r="I920" s="1">
        <v>1.5964853541599999</v>
      </c>
      <c r="J920" s="1">
        <v>0.659461223125</v>
      </c>
      <c r="K920" s="1">
        <v>2257.21610607</v>
      </c>
      <c r="L920" s="1">
        <v>545.29199887200002</v>
      </c>
      <c r="M920" s="1" t="s">
        <v>198</v>
      </c>
      <c r="N920" s="1" t="b">
        <v>1</v>
      </c>
    </row>
    <row r="921" spans="1:14" ht="19" customHeight="1" x14ac:dyDescent="0.3">
      <c r="A921">
        <v>916</v>
      </c>
      <c r="B921" s="1">
        <v>4</v>
      </c>
      <c r="C921" s="1">
        <v>30</v>
      </c>
      <c r="D921" s="1">
        <v>5.5E-2</v>
      </c>
      <c r="E921" s="1">
        <v>8.5000000000000006E-2</v>
      </c>
      <c r="F921" s="1">
        <v>0</v>
      </c>
      <c r="G921" s="1">
        <v>1</v>
      </c>
      <c r="H921" s="1">
        <v>1.1333300424499999</v>
      </c>
      <c r="I921" s="1">
        <v>1.1973640156200001</v>
      </c>
      <c r="J921" s="1">
        <v>0.54075820296300003</v>
      </c>
      <c r="K921" s="1">
        <v>1927.1926492600001</v>
      </c>
      <c r="L921" s="1">
        <v>447.13943907499998</v>
      </c>
      <c r="M921" s="1" t="s">
        <v>198</v>
      </c>
      <c r="N921" s="1" t="b">
        <v>1</v>
      </c>
    </row>
    <row r="922" spans="1:14" ht="19" customHeight="1" x14ac:dyDescent="0.3">
      <c r="A922">
        <v>917</v>
      </c>
      <c r="B922" s="1">
        <v>4</v>
      </c>
      <c r="C922" s="1">
        <v>30</v>
      </c>
      <c r="D922" s="1">
        <v>5.5E-2</v>
      </c>
      <c r="E922" s="1">
        <v>8.5000000000000006E-2</v>
      </c>
      <c r="F922" s="1">
        <v>5</v>
      </c>
      <c r="G922" s="1">
        <v>0</v>
      </c>
      <c r="H922" s="1">
        <v>1.1081148511500001</v>
      </c>
      <c r="I922" s="1">
        <v>1.5609655301900001</v>
      </c>
      <c r="J922" s="1">
        <v>0.66696122312499995</v>
      </c>
      <c r="K922" s="1">
        <v>2206.9958403199998</v>
      </c>
      <c r="L922" s="1">
        <v>551.49356137200004</v>
      </c>
      <c r="M922" s="1" t="s">
        <v>198</v>
      </c>
      <c r="N922" s="1" t="b">
        <v>1</v>
      </c>
    </row>
    <row r="923" spans="1:14" ht="19" customHeight="1" x14ac:dyDescent="0.3">
      <c r="A923">
        <v>918</v>
      </c>
      <c r="B923" s="1">
        <v>4</v>
      </c>
      <c r="C923" s="1">
        <v>30</v>
      </c>
      <c r="D923" s="1">
        <v>5.5E-2</v>
      </c>
      <c r="E923" s="1">
        <v>8.5000000000000006E-2</v>
      </c>
      <c r="F923" s="1">
        <v>5</v>
      </c>
      <c r="G923" s="1">
        <v>1</v>
      </c>
      <c r="H923" s="1">
        <v>1.1081148511500001</v>
      </c>
      <c r="I923" s="1">
        <v>1.1707241476400001</v>
      </c>
      <c r="J923" s="1">
        <v>0.54690820296300002</v>
      </c>
      <c r="K923" s="1">
        <v>1884.3149971299999</v>
      </c>
      <c r="L923" s="1">
        <v>452.22472032500002</v>
      </c>
      <c r="M923" s="1" t="s">
        <v>198</v>
      </c>
      <c r="N923" s="1" t="b">
        <v>1</v>
      </c>
    </row>
    <row r="924" spans="1:14" ht="19" customHeight="1" x14ac:dyDescent="0.3">
      <c r="A924">
        <v>919</v>
      </c>
      <c r="B924" s="1">
        <v>4</v>
      </c>
      <c r="C924" s="1">
        <v>50</v>
      </c>
      <c r="D924" s="1">
        <v>2.5000000000000001E-2</v>
      </c>
      <c r="E924" s="1">
        <v>0.04</v>
      </c>
      <c r="F924" s="1">
        <v>-5</v>
      </c>
      <c r="G924" s="1">
        <v>0</v>
      </c>
      <c r="H924" s="1">
        <v>1.2850160855699999</v>
      </c>
      <c r="I924" s="1">
        <v>1.82631738182</v>
      </c>
      <c r="J924" s="1">
        <v>0.68279230308000005</v>
      </c>
      <c r="K924" s="1">
        <v>7146.3440578899999</v>
      </c>
      <c r="L924" s="1">
        <v>1568.2885711399999</v>
      </c>
      <c r="M924" s="1" t="s">
        <v>198</v>
      </c>
      <c r="N924" s="1" t="b">
        <v>1</v>
      </c>
    </row>
    <row r="925" spans="1:14" ht="19" customHeight="1" x14ac:dyDescent="0.3">
      <c r="A925">
        <v>920</v>
      </c>
      <c r="B925" s="1">
        <v>4</v>
      </c>
      <c r="C925" s="1">
        <v>50</v>
      </c>
      <c r="D925" s="1">
        <v>2.5000000000000001E-2</v>
      </c>
      <c r="E925" s="1">
        <v>0.04</v>
      </c>
      <c r="F925" s="1">
        <v>-5</v>
      </c>
      <c r="G925" s="1">
        <v>1</v>
      </c>
      <c r="H925" s="1">
        <v>1.2850160855699999</v>
      </c>
      <c r="I925" s="1">
        <v>1.36973803636</v>
      </c>
      <c r="J925" s="1">
        <v>0.55988968852499998</v>
      </c>
      <c r="K925" s="1">
        <v>6097.6383738000004</v>
      </c>
      <c r="L925" s="1">
        <v>1285.99662833</v>
      </c>
      <c r="M925" s="1" t="s">
        <v>198</v>
      </c>
      <c r="N925" s="1" t="b">
        <v>1</v>
      </c>
    </row>
    <row r="926" spans="1:14" ht="19" customHeight="1" x14ac:dyDescent="0.3">
      <c r="A926">
        <v>921</v>
      </c>
      <c r="B926" s="1">
        <v>4</v>
      </c>
      <c r="C926" s="1">
        <v>50</v>
      </c>
      <c r="D926" s="1">
        <v>2.5000000000000001E-2</v>
      </c>
      <c r="E926" s="1">
        <v>0.04</v>
      </c>
      <c r="F926" s="1">
        <v>0</v>
      </c>
      <c r="G926" s="1">
        <v>0</v>
      </c>
      <c r="H926" s="1">
        <v>1.3142566704900001</v>
      </c>
      <c r="I926" s="1">
        <v>1.86787529623</v>
      </c>
      <c r="J926" s="1">
        <v>0.67529230307999999</v>
      </c>
      <c r="K926" s="1">
        <v>7308.9593610800002</v>
      </c>
      <c r="L926" s="1">
        <v>1551.0620086399999</v>
      </c>
      <c r="M926" s="1" t="s">
        <v>198</v>
      </c>
      <c r="N926" s="1" t="b">
        <v>1</v>
      </c>
    </row>
    <row r="927" spans="1:14" ht="19" customHeight="1" x14ac:dyDescent="0.3">
      <c r="A927">
        <v>922</v>
      </c>
      <c r="B927" s="1">
        <v>4</v>
      </c>
      <c r="C927" s="1">
        <v>50</v>
      </c>
      <c r="D927" s="1">
        <v>2.5000000000000001E-2</v>
      </c>
      <c r="E927" s="1">
        <v>0.04</v>
      </c>
      <c r="F927" s="1">
        <v>0</v>
      </c>
      <c r="G927" s="1">
        <v>1</v>
      </c>
      <c r="H927" s="1">
        <v>1.3142566704900001</v>
      </c>
      <c r="I927" s="1">
        <v>1.40090647218</v>
      </c>
      <c r="J927" s="1">
        <v>0.553739688525</v>
      </c>
      <c r="K927" s="1">
        <v>6236.3903433200003</v>
      </c>
      <c r="L927" s="1">
        <v>1271.87084708</v>
      </c>
      <c r="M927" s="1" t="s">
        <v>198</v>
      </c>
      <c r="N927" s="1" t="b">
        <v>1</v>
      </c>
    </row>
    <row r="928" spans="1:14" ht="19" customHeight="1" x14ac:dyDescent="0.3">
      <c r="A928">
        <v>923</v>
      </c>
      <c r="B928" s="1">
        <v>4</v>
      </c>
      <c r="C928" s="1">
        <v>50</v>
      </c>
      <c r="D928" s="1">
        <v>2.5000000000000001E-2</v>
      </c>
      <c r="E928" s="1">
        <v>0.04</v>
      </c>
      <c r="F928" s="1">
        <v>5</v>
      </c>
      <c r="G928" s="1">
        <v>0</v>
      </c>
      <c r="H928" s="1">
        <v>1.2850160855699999</v>
      </c>
      <c r="I928" s="1">
        <v>1.82631738182</v>
      </c>
      <c r="J928" s="1">
        <v>0.68279230308000005</v>
      </c>
      <c r="K928" s="1">
        <v>7146.3440578899999</v>
      </c>
      <c r="L928" s="1">
        <v>1568.2885711399999</v>
      </c>
      <c r="M928" s="1" t="s">
        <v>198</v>
      </c>
      <c r="N928" s="1" t="b">
        <v>1</v>
      </c>
    </row>
    <row r="929" spans="1:14" ht="19" customHeight="1" x14ac:dyDescent="0.3">
      <c r="A929">
        <v>924</v>
      </c>
      <c r="B929" s="1">
        <v>4</v>
      </c>
      <c r="C929" s="1">
        <v>50</v>
      </c>
      <c r="D929" s="1">
        <v>2.5000000000000001E-2</v>
      </c>
      <c r="E929" s="1">
        <v>0.04</v>
      </c>
      <c r="F929" s="1">
        <v>5</v>
      </c>
      <c r="G929" s="1">
        <v>1</v>
      </c>
      <c r="H929" s="1">
        <v>1.2850160855699999</v>
      </c>
      <c r="I929" s="1">
        <v>1.36973803636</v>
      </c>
      <c r="J929" s="1">
        <v>0.55988968852499998</v>
      </c>
      <c r="K929" s="1">
        <v>6097.6383738000004</v>
      </c>
      <c r="L929" s="1">
        <v>1285.99662833</v>
      </c>
      <c r="M929" s="1" t="s">
        <v>198</v>
      </c>
      <c r="N929" s="1" t="b">
        <v>1</v>
      </c>
    </row>
    <row r="930" spans="1:14" ht="19" customHeight="1" x14ac:dyDescent="0.3">
      <c r="A930">
        <v>925</v>
      </c>
      <c r="B930" s="1">
        <v>4</v>
      </c>
      <c r="C930" s="1">
        <v>50</v>
      </c>
      <c r="D930" s="1">
        <v>2.5000000000000001E-2</v>
      </c>
      <c r="E930" s="1">
        <v>0.06</v>
      </c>
      <c r="F930" s="1">
        <v>-5</v>
      </c>
      <c r="G930" s="1">
        <v>0</v>
      </c>
      <c r="H930" s="1">
        <v>1.3256310992</v>
      </c>
      <c r="I930" s="1">
        <v>1.8872399022699999</v>
      </c>
      <c r="J930" s="1">
        <v>0.68642698392500001</v>
      </c>
      <c r="K930" s="1">
        <v>7379.5630815000004</v>
      </c>
      <c r="L930" s="1">
        <v>1576.6369787000001</v>
      </c>
      <c r="M930" s="1" t="s">
        <v>198</v>
      </c>
      <c r="N930" s="1" t="b">
        <v>1</v>
      </c>
    </row>
    <row r="931" spans="1:14" ht="19" customHeight="1" x14ac:dyDescent="0.3">
      <c r="A931">
        <v>926</v>
      </c>
      <c r="B931" s="1">
        <v>4</v>
      </c>
      <c r="C931" s="1">
        <v>50</v>
      </c>
      <c r="D931" s="1">
        <v>2.5000000000000001E-2</v>
      </c>
      <c r="E931" s="1">
        <v>0.06</v>
      </c>
      <c r="F931" s="1">
        <v>-5</v>
      </c>
      <c r="G931" s="1">
        <v>1</v>
      </c>
      <c r="H931" s="1">
        <v>1.3256310992</v>
      </c>
      <c r="I931" s="1">
        <v>1.4154299266999999</v>
      </c>
      <c r="J931" s="1">
        <v>0.56287012681799997</v>
      </c>
      <c r="K931" s="1">
        <v>6295.8745438699998</v>
      </c>
      <c r="L931" s="1">
        <v>1292.8423225399999</v>
      </c>
      <c r="M931" s="1" t="s">
        <v>198</v>
      </c>
      <c r="N931" s="1" t="b">
        <v>1</v>
      </c>
    </row>
    <row r="932" spans="1:14" ht="19" customHeight="1" x14ac:dyDescent="0.3">
      <c r="A932">
        <v>927</v>
      </c>
      <c r="B932" s="1">
        <v>4</v>
      </c>
      <c r="C932" s="1">
        <v>50</v>
      </c>
      <c r="D932" s="1">
        <v>2.5000000000000001E-2</v>
      </c>
      <c r="E932" s="1">
        <v>0.06</v>
      </c>
      <c r="F932" s="1">
        <v>0</v>
      </c>
      <c r="G932" s="1">
        <v>0</v>
      </c>
      <c r="H932" s="1">
        <v>1.3557958801500001</v>
      </c>
      <c r="I932" s="1">
        <v>1.93018411072</v>
      </c>
      <c r="J932" s="1">
        <v>0.67892698392499995</v>
      </c>
      <c r="K932" s="1">
        <v>7547.4852915399997</v>
      </c>
      <c r="L932" s="1">
        <v>1559.4104162000001</v>
      </c>
      <c r="M932" s="1" t="s">
        <v>198</v>
      </c>
      <c r="N932" s="1" t="b">
        <v>1</v>
      </c>
    </row>
    <row r="933" spans="1:14" ht="19" customHeight="1" x14ac:dyDescent="0.3">
      <c r="A933">
        <v>928</v>
      </c>
      <c r="B933" s="1">
        <v>4</v>
      </c>
      <c r="C933" s="1">
        <v>50</v>
      </c>
      <c r="D933" s="1">
        <v>2.5000000000000001E-2</v>
      </c>
      <c r="E933" s="1">
        <v>0.06</v>
      </c>
      <c r="F933" s="1">
        <v>0</v>
      </c>
      <c r="G933" s="1">
        <v>1</v>
      </c>
      <c r="H933" s="1">
        <v>1.3557958801500001</v>
      </c>
      <c r="I933" s="1">
        <v>1.44763808304</v>
      </c>
      <c r="J933" s="1">
        <v>0.55672012681799998</v>
      </c>
      <c r="K933" s="1">
        <v>6439.1373842100002</v>
      </c>
      <c r="L933" s="1">
        <v>1278.7165412899999</v>
      </c>
      <c r="M933" s="1" t="s">
        <v>198</v>
      </c>
      <c r="N933" s="1" t="b">
        <v>1</v>
      </c>
    </row>
    <row r="934" spans="1:14" ht="19" customHeight="1" x14ac:dyDescent="0.3">
      <c r="A934">
        <v>929</v>
      </c>
      <c r="B934" s="1">
        <v>4</v>
      </c>
      <c r="C934" s="1">
        <v>50</v>
      </c>
      <c r="D934" s="1">
        <v>2.5000000000000001E-2</v>
      </c>
      <c r="E934" s="1">
        <v>0.06</v>
      </c>
      <c r="F934" s="1">
        <v>5</v>
      </c>
      <c r="G934" s="1">
        <v>0</v>
      </c>
      <c r="H934" s="1">
        <v>1.3256310992</v>
      </c>
      <c r="I934" s="1">
        <v>1.8872399022699999</v>
      </c>
      <c r="J934" s="1">
        <v>0.68642698392500001</v>
      </c>
      <c r="K934" s="1">
        <v>7379.5630815000004</v>
      </c>
      <c r="L934" s="1">
        <v>1576.6369787000001</v>
      </c>
      <c r="M934" s="1" t="s">
        <v>198</v>
      </c>
      <c r="N934" s="1" t="b">
        <v>1</v>
      </c>
    </row>
    <row r="935" spans="1:14" ht="19" customHeight="1" x14ac:dyDescent="0.3">
      <c r="A935">
        <v>930</v>
      </c>
      <c r="B935" s="1">
        <v>4</v>
      </c>
      <c r="C935" s="1">
        <v>50</v>
      </c>
      <c r="D935" s="1">
        <v>2.5000000000000001E-2</v>
      </c>
      <c r="E935" s="1">
        <v>0.06</v>
      </c>
      <c r="F935" s="1">
        <v>5</v>
      </c>
      <c r="G935" s="1">
        <v>1</v>
      </c>
      <c r="H935" s="1">
        <v>1.3256310992</v>
      </c>
      <c r="I935" s="1">
        <v>1.4154299266999999</v>
      </c>
      <c r="J935" s="1">
        <v>0.56287012681799997</v>
      </c>
      <c r="K935" s="1">
        <v>6295.8745438699998</v>
      </c>
      <c r="L935" s="1">
        <v>1292.8423225399999</v>
      </c>
      <c r="M935" s="1" t="s">
        <v>198</v>
      </c>
      <c r="N935" s="1" t="b">
        <v>1</v>
      </c>
    </row>
    <row r="936" spans="1:14" ht="19" customHeight="1" x14ac:dyDescent="0.3">
      <c r="A936">
        <v>931</v>
      </c>
      <c r="B936" s="1">
        <v>4</v>
      </c>
      <c r="C936" s="1">
        <v>50</v>
      </c>
      <c r="D936" s="1">
        <v>2.5000000000000001E-2</v>
      </c>
      <c r="E936" s="1">
        <v>8.5000000000000006E-2</v>
      </c>
      <c r="F936" s="1">
        <v>-5</v>
      </c>
      <c r="G936" s="1">
        <v>0</v>
      </c>
      <c r="H936" s="1">
        <v>1.2217995902600001</v>
      </c>
      <c r="I936" s="1">
        <v>1.73149263885</v>
      </c>
      <c r="J936" s="1">
        <v>0.67713499155800005</v>
      </c>
      <c r="K936" s="1">
        <v>6783.34308874</v>
      </c>
      <c r="L936" s="1">
        <v>1555.29443373</v>
      </c>
      <c r="M936" s="1" t="s">
        <v>198</v>
      </c>
      <c r="N936" s="1" t="b">
        <v>1</v>
      </c>
    </row>
    <row r="937" spans="1:14" ht="19" customHeight="1" x14ac:dyDescent="0.3">
      <c r="A937">
        <v>932</v>
      </c>
      <c r="B937" s="1">
        <v>4</v>
      </c>
      <c r="C937" s="1">
        <v>50</v>
      </c>
      <c r="D937" s="1">
        <v>2.5000000000000001E-2</v>
      </c>
      <c r="E937" s="1">
        <v>8.5000000000000006E-2</v>
      </c>
      <c r="F937" s="1">
        <v>-5</v>
      </c>
      <c r="G937" s="1">
        <v>1</v>
      </c>
      <c r="H937" s="1">
        <v>1.2217995902600001</v>
      </c>
      <c r="I937" s="1">
        <v>1.2986194791400001</v>
      </c>
      <c r="J937" s="1">
        <v>0.55525069307700003</v>
      </c>
      <c r="K937" s="1">
        <v>5789.08755002</v>
      </c>
      <c r="L937" s="1">
        <v>1275.3414356599999</v>
      </c>
      <c r="M937" s="1" t="s">
        <v>198</v>
      </c>
      <c r="N937" s="1" t="b">
        <v>1</v>
      </c>
    </row>
    <row r="938" spans="1:14" ht="19" customHeight="1" x14ac:dyDescent="0.3">
      <c r="A938">
        <v>933</v>
      </c>
      <c r="B938" s="1">
        <v>4</v>
      </c>
      <c r="C938" s="1">
        <v>50</v>
      </c>
      <c r="D938" s="1">
        <v>2.5000000000000001E-2</v>
      </c>
      <c r="E938" s="1">
        <v>8.5000000000000006E-2</v>
      </c>
      <c r="F938" s="1">
        <v>0</v>
      </c>
      <c r="G938" s="1">
        <v>0</v>
      </c>
      <c r="H938" s="1">
        <v>1.24960168168</v>
      </c>
      <c r="I938" s="1">
        <v>1.7708928130099999</v>
      </c>
      <c r="J938" s="1">
        <v>0.66963499155799999</v>
      </c>
      <c r="K938" s="1">
        <v>6937.6982924699996</v>
      </c>
      <c r="L938" s="1">
        <v>1538.06787123</v>
      </c>
      <c r="M938" s="1" t="s">
        <v>198</v>
      </c>
      <c r="N938" s="1" t="b">
        <v>1</v>
      </c>
    </row>
    <row r="939" spans="1:14" ht="19" customHeight="1" x14ac:dyDescent="0.3">
      <c r="A939">
        <v>934</v>
      </c>
      <c r="B939" s="1">
        <v>4</v>
      </c>
      <c r="C939" s="1">
        <v>50</v>
      </c>
      <c r="D939" s="1">
        <v>2.5000000000000001E-2</v>
      </c>
      <c r="E939" s="1">
        <v>8.5000000000000006E-2</v>
      </c>
      <c r="F939" s="1">
        <v>0</v>
      </c>
      <c r="G939" s="1">
        <v>1</v>
      </c>
      <c r="H939" s="1">
        <v>1.24960168168</v>
      </c>
      <c r="I939" s="1">
        <v>1.32816960975</v>
      </c>
      <c r="J939" s="1">
        <v>0.54910069307700005</v>
      </c>
      <c r="K939" s="1">
        <v>5920.8184350000001</v>
      </c>
      <c r="L939" s="1">
        <v>1261.2156544100001</v>
      </c>
      <c r="M939" s="1" t="s">
        <v>198</v>
      </c>
      <c r="N939" s="1" t="b">
        <v>1</v>
      </c>
    </row>
    <row r="940" spans="1:14" ht="19" customHeight="1" x14ac:dyDescent="0.3">
      <c r="A940">
        <v>935</v>
      </c>
      <c r="B940" s="1">
        <v>4</v>
      </c>
      <c r="C940" s="1">
        <v>50</v>
      </c>
      <c r="D940" s="1">
        <v>2.5000000000000001E-2</v>
      </c>
      <c r="E940" s="1">
        <v>8.5000000000000006E-2</v>
      </c>
      <c r="F940" s="1">
        <v>5</v>
      </c>
      <c r="G940" s="1">
        <v>0</v>
      </c>
      <c r="H940" s="1">
        <v>1.2217995902600001</v>
      </c>
      <c r="I940" s="1">
        <v>1.73149263885</v>
      </c>
      <c r="J940" s="1">
        <v>0.67713499155800005</v>
      </c>
      <c r="K940" s="1">
        <v>6783.34308874</v>
      </c>
      <c r="L940" s="1">
        <v>1555.29443373</v>
      </c>
      <c r="M940" s="1" t="s">
        <v>198</v>
      </c>
      <c r="N940" s="1" t="b">
        <v>1</v>
      </c>
    </row>
    <row r="941" spans="1:14" ht="19" customHeight="1" x14ac:dyDescent="0.3">
      <c r="A941">
        <v>936</v>
      </c>
      <c r="B941" s="1">
        <v>4</v>
      </c>
      <c r="C941" s="1">
        <v>50</v>
      </c>
      <c r="D941" s="1">
        <v>2.5000000000000001E-2</v>
      </c>
      <c r="E941" s="1">
        <v>8.5000000000000006E-2</v>
      </c>
      <c r="F941" s="1">
        <v>5</v>
      </c>
      <c r="G941" s="1">
        <v>1</v>
      </c>
      <c r="H941" s="1">
        <v>1.2217995902600001</v>
      </c>
      <c r="I941" s="1">
        <v>1.2986194791400001</v>
      </c>
      <c r="J941" s="1">
        <v>0.55525069307700003</v>
      </c>
      <c r="K941" s="1">
        <v>5789.08755002</v>
      </c>
      <c r="L941" s="1">
        <v>1275.3414356599999</v>
      </c>
      <c r="M941" s="1" t="s">
        <v>198</v>
      </c>
      <c r="N941" s="1" t="b">
        <v>1</v>
      </c>
    </row>
    <row r="942" spans="1:14" ht="19" customHeight="1" x14ac:dyDescent="0.3">
      <c r="A942">
        <v>937</v>
      </c>
      <c r="B942" s="1">
        <v>4</v>
      </c>
      <c r="C942" s="1">
        <v>50</v>
      </c>
      <c r="D942" s="1">
        <v>0.04</v>
      </c>
      <c r="E942" s="1">
        <v>0.04</v>
      </c>
      <c r="F942" s="1">
        <v>-5</v>
      </c>
      <c r="G942" s="1">
        <v>0</v>
      </c>
      <c r="H942" s="1">
        <v>1.29100489902</v>
      </c>
      <c r="I942" s="1">
        <v>1.835300602</v>
      </c>
      <c r="J942" s="1">
        <v>0.68332824837600004</v>
      </c>
      <c r="K942" s="1">
        <v>7180.73294764</v>
      </c>
      <c r="L942" s="1">
        <v>1569.51957049</v>
      </c>
      <c r="M942" s="1" t="s">
        <v>198</v>
      </c>
      <c r="N942" s="1" t="b">
        <v>1</v>
      </c>
    </row>
    <row r="943" spans="1:14" ht="19" customHeight="1" x14ac:dyDescent="0.3">
      <c r="A943">
        <v>938</v>
      </c>
      <c r="B943" s="1">
        <v>4</v>
      </c>
      <c r="C943" s="1">
        <v>50</v>
      </c>
      <c r="D943" s="1">
        <v>0.04</v>
      </c>
      <c r="E943" s="1">
        <v>0.04</v>
      </c>
      <c r="F943" s="1">
        <v>-5</v>
      </c>
      <c r="G943" s="1">
        <v>1</v>
      </c>
      <c r="H943" s="1">
        <v>1.29100489902</v>
      </c>
      <c r="I943" s="1">
        <v>1.3764754514999999</v>
      </c>
      <c r="J943" s="1">
        <v>0.56032916366899999</v>
      </c>
      <c r="K943" s="1">
        <v>6126.8689300899996</v>
      </c>
      <c r="L943" s="1">
        <v>1287.0060478</v>
      </c>
      <c r="M943" s="1" t="s">
        <v>198</v>
      </c>
      <c r="N943" s="1" t="b">
        <v>1</v>
      </c>
    </row>
    <row r="944" spans="1:14" ht="19" customHeight="1" x14ac:dyDescent="0.3">
      <c r="A944">
        <v>939</v>
      </c>
      <c r="B944" s="1">
        <v>4</v>
      </c>
      <c r="C944" s="1">
        <v>50</v>
      </c>
      <c r="D944" s="1">
        <v>0.04</v>
      </c>
      <c r="E944" s="1">
        <v>0.04</v>
      </c>
      <c r="F944" s="1">
        <v>0</v>
      </c>
      <c r="G944" s="1">
        <v>0</v>
      </c>
      <c r="H944" s="1">
        <v>1.3203817596</v>
      </c>
      <c r="I944" s="1">
        <v>1.8770629298999999</v>
      </c>
      <c r="J944" s="1">
        <v>0.67582824837599997</v>
      </c>
      <c r="K944" s="1">
        <v>7344.1307711899999</v>
      </c>
      <c r="L944" s="1">
        <v>1552.29300799</v>
      </c>
      <c r="M944" s="1" t="s">
        <v>198</v>
      </c>
      <c r="N944" s="1" t="b">
        <v>1</v>
      </c>
    </row>
    <row r="945" spans="1:14" ht="19" customHeight="1" x14ac:dyDescent="0.3">
      <c r="A945">
        <v>940</v>
      </c>
      <c r="B945" s="1">
        <v>4</v>
      </c>
      <c r="C945" s="1">
        <v>50</v>
      </c>
      <c r="D945" s="1">
        <v>0.04</v>
      </c>
      <c r="E945" s="1">
        <v>0.04</v>
      </c>
      <c r="F945" s="1">
        <v>0</v>
      </c>
      <c r="G945" s="1">
        <v>1</v>
      </c>
      <c r="H945" s="1">
        <v>1.3203817596</v>
      </c>
      <c r="I945" s="1">
        <v>1.4077971974200001</v>
      </c>
      <c r="J945" s="1">
        <v>0.554179163669</v>
      </c>
      <c r="K945" s="1">
        <v>6266.2860419199997</v>
      </c>
      <c r="L945" s="1">
        <v>1272.88026655</v>
      </c>
      <c r="M945" s="1" t="s">
        <v>198</v>
      </c>
      <c r="N945" s="1" t="b">
        <v>1</v>
      </c>
    </row>
    <row r="946" spans="1:14" ht="19" customHeight="1" x14ac:dyDescent="0.3">
      <c r="A946">
        <v>941</v>
      </c>
      <c r="B946" s="1">
        <v>4</v>
      </c>
      <c r="C946" s="1">
        <v>50</v>
      </c>
      <c r="D946" s="1">
        <v>0.04</v>
      </c>
      <c r="E946" s="1">
        <v>0.04</v>
      </c>
      <c r="F946" s="1">
        <v>5</v>
      </c>
      <c r="G946" s="1">
        <v>0</v>
      </c>
      <c r="H946" s="1">
        <v>1.29100489902</v>
      </c>
      <c r="I946" s="1">
        <v>1.835300602</v>
      </c>
      <c r="J946" s="1">
        <v>0.68332824837600004</v>
      </c>
      <c r="K946" s="1">
        <v>7180.73294764</v>
      </c>
      <c r="L946" s="1">
        <v>1569.51957049</v>
      </c>
      <c r="M946" s="1" t="s">
        <v>198</v>
      </c>
      <c r="N946" s="1" t="b">
        <v>1</v>
      </c>
    </row>
    <row r="947" spans="1:14" ht="19" customHeight="1" x14ac:dyDescent="0.3">
      <c r="A947">
        <v>942</v>
      </c>
      <c r="B947" s="1">
        <v>4</v>
      </c>
      <c r="C947" s="1">
        <v>50</v>
      </c>
      <c r="D947" s="1">
        <v>0.04</v>
      </c>
      <c r="E947" s="1">
        <v>0.04</v>
      </c>
      <c r="F947" s="1">
        <v>5</v>
      </c>
      <c r="G947" s="1">
        <v>1</v>
      </c>
      <c r="H947" s="1">
        <v>1.29100489902</v>
      </c>
      <c r="I947" s="1">
        <v>1.3764754514999999</v>
      </c>
      <c r="J947" s="1">
        <v>0.56032916366899999</v>
      </c>
      <c r="K947" s="1">
        <v>6126.8689300899996</v>
      </c>
      <c r="L947" s="1">
        <v>1287.0060478</v>
      </c>
      <c r="M947" s="1" t="s">
        <v>198</v>
      </c>
      <c r="N947" s="1" t="b">
        <v>1</v>
      </c>
    </row>
    <row r="948" spans="1:14" ht="19" customHeight="1" x14ac:dyDescent="0.3">
      <c r="A948">
        <v>943</v>
      </c>
      <c r="B948" s="1">
        <v>4</v>
      </c>
      <c r="C948" s="1">
        <v>50</v>
      </c>
      <c r="D948" s="1">
        <v>0.04</v>
      </c>
      <c r="E948" s="1">
        <v>0.06</v>
      </c>
      <c r="F948" s="1">
        <v>-5</v>
      </c>
      <c r="G948" s="1">
        <v>0</v>
      </c>
      <c r="H948" s="1">
        <v>1.3322007145799999</v>
      </c>
      <c r="I948" s="1">
        <v>1.8970943253300001</v>
      </c>
      <c r="J948" s="1">
        <v>0.68701490580400004</v>
      </c>
      <c r="K948" s="1">
        <v>7417.2870447799996</v>
      </c>
      <c r="L948" s="1">
        <v>1577.98736177</v>
      </c>
      <c r="M948" s="1" t="s">
        <v>198</v>
      </c>
      <c r="N948" s="1" t="b">
        <v>1</v>
      </c>
    </row>
    <row r="949" spans="1:14" ht="19" customHeight="1" x14ac:dyDescent="0.3">
      <c r="A949">
        <v>944</v>
      </c>
      <c r="B949" s="1">
        <v>4</v>
      </c>
      <c r="C949" s="1">
        <v>50</v>
      </c>
      <c r="D949" s="1">
        <v>0.04</v>
      </c>
      <c r="E949" s="1">
        <v>0.06</v>
      </c>
      <c r="F949" s="1">
        <v>-5</v>
      </c>
      <c r="G949" s="1">
        <v>1</v>
      </c>
      <c r="H949" s="1">
        <v>1.3322007145799999</v>
      </c>
      <c r="I949" s="1">
        <v>1.422820744</v>
      </c>
      <c r="J949" s="1">
        <v>0.56335222275999997</v>
      </c>
      <c r="K949" s="1">
        <v>6327.9399126600001</v>
      </c>
      <c r="L949" s="1">
        <v>1293.94963665</v>
      </c>
      <c r="M949" s="1" t="s">
        <v>198</v>
      </c>
      <c r="N949" s="1" t="b">
        <v>1</v>
      </c>
    </row>
    <row r="950" spans="1:14" ht="19" customHeight="1" x14ac:dyDescent="0.3">
      <c r="A950">
        <v>945</v>
      </c>
      <c r="B950" s="1">
        <v>4</v>
      </c>
      <c r="C950" s="1">
        <v>50</v>
      </c>
      <c r="D950" s="1">
        <v>0.04</v>
      </c>
      <c r="E950" s="1">
        <v>0.06</v>
      </c>
      <c r="F950" s="1">
        <v>0</v>
      </c>
      <c r="G950" s="1">
        <v>0</v>
      </c>
      <c r="H950" s="1">
        <v>1.36251498735</v>
      </c>
      <c r="I950" s="1">
        <v>1.94026277152</v>
      </c>
      <c r="J950" s="1">
        <v>0.67951490580399998</v>
      </c>
      <c r="K950" s="1">
        <v>7586.0676648899998</v>
      </c>
      <c r="L950" s="1">
        <v>1560.76079927</v>
      </c>
      <c r="M950" s="1" t="s">
        <v>198</v>
      </c>
      <c r="N950" s="1" t="b">
        <v>1</v>
      </c>
    </row>
    <row r="951" spans="1:14" ht="19" customHeight="1" x14ac:dyDescent="0.3">
      <c r="A951">
        <v>946</v>
      </c>
      <c r="B951" s="1">
        <v>4</v>
      </c>
      <c r="C951" s="1">
        <v>50</v>
      </c>
      <c r="D951" s="1">
        <v>0.04</v>
      </c>
      <c r="E951" s="1">
        <v>0.06</v>
      </c>
      <c r="F951" s="1">
        <v>0</v>
      </c>
      <c r="G951" s="1">
        <v>1</v>
      </c>
      <c r="H951" s="1">
        <v>1.36251498735</v>
      </c>
      <c r="I951" s="1">
        <v>1.4551970786399999</v>
      </c>
      <c r="J951" s="1">
        <v>0.55720222275999998</v>
      </c>
      <c r="K951" s="1">
        <v>6471.9324015599996</v>
      </c>
      <c r="L951" s="1">
        <v>1279.8238554</v>
      </c>
      <c r="M951" s="1" t="s">
        <v>198</v>
      </c>
      <c r="N951" s="1" t="b">
        <v>1</v>
      </c>
    </row>
    <row r="952" spans="1:14" ht="19" customHeight="1" x14ac:dyDescent="0.3">
      <c r="A952">
        <v>947</v>
      </c>
      <c r="B952" s="1">
        <v>4</v>
      </c>
      <c r="C952" s="1">
        <v>50</v>
      </c>
      <c r="D952" s="1">
        <v>0.04</v>
      </c>
      <c r="E952" s="1">
        <v>0.06</v>
      </c>
      <c r="F952" s="1">
        <v>5</v>
      </c>
      <c r="G952" s="1">
        <v>0</v>
      </c>
      <c r="H952" s="1">
        <v>1.3322007145799999</v>
      </c>
      <c r="I952" s="1">
        <v>1.8970943253300001</v>
      </c>
      <c r="J952" s="1">
        <v>0.68701490580400004</v>
      </c>
      <c r="K952" s="1">
        <v>7417.2870447799996</v>
      </c>
      <c r="L952" s="1">
        <v>1577.98736177</v>
      </c>
      <c r="M952" s="1" t="s">
        <v>198</v>
      </c>
      <c r="N952" s="1" t="b">
        <v>1</v>
      </c>
    </row>
    <row r="953" spans="1:14" ht="19" customHeight="1" x14ac:dyDescent="0.3">
      <c r="A953">
        <v>948</v>
      </c>
      <c r="B953" s="1">
        <v>4</v>
      </c>
      <c r="C953" s="1">
        <v>50</v>
      </c>
      <c r="D953" s="1">
        <v>0.04</v>
      </c>
      <c r="E953" s="1">
        <v>0.06</v>
      </c>
      <c r="F953" s="1">
        <v>5</v>
      </c>
      <c r="G953" s="1">
        <v>1</v>
      </c>
      <c r="H953" s="1">
        <v>1.3322007145799999</v>
      </c>
      <c r="I953" s="1">
        <v>1.422820744</v>
      </c>
      <c r="J953" s="1">
        <v>0.56335222275999997</v>
      </c>
      <c r="K953" s="1">
        <v>6327.9399126600001</v>
      </c>
      <c r="L953" s="1">
        <v>1293.94963665</v>
      </c>
      <c r="M953" s="1" t="s">
        <v>198</v>
      </c>
      <c r="N953" s="1" t="b">
        <v>1</v>
      </c>
    </row>
    <row r="954" spans="1:14" ht="19" customHeight="1" x14ac:dyDescent="0.3">
      <c r="A954">
        <v>949</v>
      </c>
      <c r="B954" s="1">
        <v>4</v>
      </c>
      <c r="C954" s="1">
        <v>50</v>
      </c>
      <c r="D954" s="1">
        <v>0.04</v>
      </c>
      <c r="E954" s="1">
        <v>8.5000000000000006E-2</v>
      </c>
      <c r="F954" s="1">
        <v>-5</v>
      </c>
      <c r="G954" s="1">
        <v>0</v>
      </c>
      <c r="H954" s="1">
        <v>1.22688439658</v>
      </c>
      <c r="I954" s="1">
        <v>1.7391198483400001</v>
      </c>
      <c r="J954" s="1">
        <v>0.67759003629400005</v>
      </c>
      <c r="K954" s="1">
        <v>6812.5410000499996</v>
      </c>
      <c r="L954" s="1">
        <v>1556.3396146099999</v>
      </c>
      <c r="M954" s="1" t="s">
        <v>198</v>
      </c>
      <c r="N954" s="1" t="b">
        <v>1</v>
      </c>
    </row>
    <row r="955" spans="1:14" ht="19" customHeight="1" x14ac:dyDescent="0.3">
      <c r="A955">
        <v>950</v>
      </c>
      <c r="B955" s="1">
        <v>4</v>
      </c>
      <c r="C955" s="1">
        <v>50</v>
      </c>
      <c r="D955" s="1">
        <v>0.04</v>
      </c>
      <c r="E955" s="1">
        <v>8.5000000000000006E-2</v>
      </c>
      <c r="F955" s="1">
        <v>-5</v>
      </c>
      <c r="G955" s="1">
        <v>1</v>
      </c>
      <c r="H955" s="1">
        <v>1.22688439658</v>
      </c>
      <c r="I955" s="1">
        <v>1.30433988625</v>
      </c>
      <c r="J955" s="1">
        <v>0.555623829761</v>
      </c>
      <c r="K955" s="1">
        <v>5813.9057746300005</v>
      </c>
      <c r="L955" s="1">
        <v>1276.19848398</v>
      </c>
      <c r="M955" s="1" t="s">
        <v>198</v>
      </c>
      <c r="N955" s="1" t="b">
        <v>1</v>
      </c>
    </row>
    <row r="956" spans="1:14" ht="19" customHeight="1" x14ac:dyDescent="0.3">
      <c r="A956">
        <v>951</v>
      </c>
      <c r="B956" s="1">
        <v>4</v>
      </c>
      <c r="C956" s="1">
        <v>50</v>
      </c>
      <c r="D956" s="1">
        <v>0.04</v>
      </c>
      <c r="E956" s="1">
        <v>8.5000000000000006E-2</v>
      </c>
      <c r="F956" s="1">
        <v>0</v>
      </c>
      <c r="G956" s="1">
        <v>0</v>
      </c>
      <c r="H956" s="1">
        <v>1.2548021929399999</v>
      </c>
      <c r="I956" s="1">
        <v>1.7786935799000001</v>
      </c>
      <c r="J956" s="1">
        <v>0.67009003629399999</v>
      </c>
      <c r="K956" s="1">
        <v>6967.56060325</v>
      </c>
      <c r="L956" s="1">
        <v>1539.1130521099999</v>
      </c>
      <c r="M956" s="1" t="s">
        <v>198</v>
      </c>
      <c r="N956" s="1" t="b">
        <v>1</v>
      </c>
    </row>
    <row r="957" spans="1:14" ht="19" customHeight="1" x14ac:dyDescent="0.3">
      <c r="A957">
        <v>952</v>
      </c>
      <c r="B957" s="1">
        <v>4</v>
      </c>
      <c r="C957" s="1">
        <v>50</v>
      </c>
      <c r="D957" s="1">
        <v>0.04</v>
      </c>
      <c r="E957" s="1">
        <v>8.5000000000000006E-2</v>
      </c>
      <c r="F957" s="1">
        <v>0</v>
      </c>
      <c r="G957" s="1">
        <v>1</v>
      </c>
      <c r="H957" s="1">
        <v>1.2548021929399999</v>
      </c>
      <c r="I957" s="1">
        <v>1.33402018493</v>
      </c>
      <c r="J957" s="1">
        <v>0.54947382976100001</v>
      </c>
      <c r="K957" s="1">
        <v>5946.2013991699996</v>
      </c>
      <c r="L957" s="1">
        <v>1262.0727027299999</v>
      </c>
      <c r="M957" s="1" t="s">
        <v>198</v>
      </c>
      <c r="N957" s="1" t="b">
        <v>1</v>
      </c>
    </row>
    <row r="958" spans="1:14" ht="19" customHeight="1" x14ac:dyDescent="0.3">
      <c r="A958">
        <v>953</v>
      </c>
      <c r="B958" s="1">
        <v>4</v>
      </c>
      <c r="C958" s="1">
        <v>50</v>
      </c>
      <c r="D958" s="1">
        <v>0.04</v>
      </c>
      <c r="E958" s="1">
        <v>8.5000000000000006E-2</v>
      </c>
      <c r="F958" s="1">
        <v>5</v>
      </c>
      <c r="G958" s="1">
        <v>0</v>
      </c>
      <c r="H958" s="1">
        <v>1.22688439658</v>
      </c>
      <c r="I958" s="1">
        <v>1.7391198483400001</v>
      </c>
      <c r="J958" s="1">
        <v>0.67759003629400005</v>
      </c>
      <c r="K958" s="1">
        <v>6812.5410000499996</v>
      </c>
      <c r="L958" s="1">
        <v>1556.3396146099999</v>
      </c>
      <c r="M958" s="1" t="s">
        <v>198</v>
      </c>
      <c r="N958" s="1" t="b">
        <v>1</v>
      </c>
    </row>
    <row r="959" spans="1:14" ht="19" customHeight="1" x14ac:dyDescent="0.3">
      <c r="A959">
        <v>954</v>
      </c>
      <c r="B959" s="1">
        <v>4</v>
      </c>
      <c r="C959" s="1">
        <v>50</v>
      </c>
      <c r="D959" s="1">
        <v>0.04</v>
      </c>
      <c r="E959" s="1">
        <v>8.5000000000000006E-2</v>
      </c>
      <c r="F959" s="1">
        <v>5</v>
      </c>
      <c r="G959" s="1">
        <v>1</v>
      </c>
      <c r="H959" s="1">
        <v>1.22688439658</v>
      </c>
      <c r="I959" s="1">
        <v>1.30433988625</v>
      </c>
      <c r="J959" s="1">
        <v>0.555623829761</v>
      </c>
      <c r="K959" s="1">
        <v>5813.9057746300005</v>
      </c>
      <c r="L959" s="1">
        <v>1276.19848398</v>
      </c>
      <c r="M959" s="1" t="s">
        <v>198</v>
      </c>
      <c r="N959" s="1" t="b">
        <v>1</v>
      </c>
    </row>
    <row r="960" spans="1:14" ht="19" customHeight="1" x14ac:dyDescent="0.3">
      <c r="A960">
        <v>955</v>
      </c>
      <c r="B960" s="1">
        <v>4</v>
      </c>
      <c r="C960" s="1">
        <v>50</v>
      </c>
      <c r="D960" s="1">
        <v>5.5E-2</v>
      </c>
      <c r="E960" s="1">
        <v>0.04</v>
      </c>
      <c r="F960" s="1">
        <v>-5</v>
      </c>
      <c r="G960" s="1">
        <v>0</v>
      </c>
      <c r="H960" s="1">
        <v>1.15111979696</v>
      </c>
      <c r="I960" s="1">
        <v>1.6254729488999999</v>
      </c>
      <c r="J960" s="1">
        <v>0.67080978154699999</v>
      </c>
      <c r="K960" s="1">
        <v>6377.4864631399996</v>
      </c>
      <c r="L960" s="1">
        <v>1540.76621699</v>
      </c>
      <c r="M960" s="1" t="s">
        <v>198</v>
      </c>
      <c r="N960" s="1" t="b">
        <v>1</v>
      </c>
    </row>
    <row r="961" spans="1:14" ht="19" customHeight="1" x14ac:dyDescent="0.3">
      <c r="A961">
        <v>956</v>
      </c>
      <c r="B961" s="1">
        <v>4</v>
      </c>
      <c r="C961" s="1">
        <v>50</v>
      </c>
      <c r="D961" s="1">
        <v>5.5E-2</v>
      </c>
      <c r="E961" s="1">
        <v>0.04</v>
      </c>
      <c r="F961" s="1">
        <v>-5</v>
      </c>
      <c r="G961" s="1">
        <v>1</v>
      </c>
      <c r="H961" s="1">
        <v>1.15111979696</v>
      </c>
      <c r="I961" s="1">
        <v>1.21910471168</v>
      </c>
      <c r="J961" s="1">
        <v>0.55006402086799999</v>
      </c>
      <c r="K961" s="1">
        <v>5444.10941826</v>
      </c>
      <c r="L961" s="1">
        <v>1263.4282979300001</v>
      </c>
      <c r="M961" s="1" t="s">
        <v>198</v>
      </c>
      <c r="N961" s="1" t="b">
        <v>1</v>
      </c>
    </row>
    <row r="962" spans="1:14" ht="19" customHeight="1" x14ac:dyDescent="0.3">
      <c r="A962">
        <v>957</v>
      </c>
      <c r="B962" s="1">
        <v>4</v>
      </c>
      <c r="C962" s="1">
        <v>50</v>
      </c>
      <c r="D962" s="1">
        <v>5.5E-2</v>
      </c>
      <c r="E962" s="1">
        <v>0.04</v>
      </c>
      <c r="F962" s="1">
        <v>0</v>
      </c>
      <c r="G962" s="1">
        <v>0</v>
      </c>
      <c r="H962" s="1">
        <v>1.1773135672599999</v>
      </c>
      <c r="I962" s="1">
        <v>1.66246064139</v>
      </c>
      <c r="J962" s="1">
        <v>0.66330978154700004</v>
      </c>
      <c r="K962" s="1">
        <v>6522.6063854900003</v>
      </c>
      <c r="L962" s="1">
        <v>1523.53965449</v>
      </c>
      <c r="M962" s="1" t="s">
        <v>198</v>
      </c>
      <c r="N962" s="1" t="b">
        <v>1</v>
      </c>
    </row>
    <row r="963" spans="1:14" ht="19" customHeight="1" x14ac:dyDescent="0.3">
      <c r="A963">
        <v>958</v>
      </c>
      <c r="B963" s="1">
        <v>4</v>
      </c>
      <c r="C963" s="1">
        <v>50</v>
      </c>
      <c r="D963" s="1">
        <v>5.5E-2</v>
      </c>
      <c r="E963" s="1">
        <v>0.04</v>
      </c>
      <c r="F963" s="1">
        <v>0</v>
      </c>
      <c r="G963" s="1">
        <v>1</v>
      </c>
      <c r="H963" s="1">
        <v>1.1773135672599999</v>
      </c>
      <c r="I963" s="1">
        <v>1.24684548104</v>
      </c>
      <c r="J963" s="1">
        <v>0.543914020868</v>
      </c>
      <c r="K963" s="1">
        <v>5567.9903140699998</v>
      </c>
      <c r="L963" s="1">
        <v>1249.3025166800001</v>
      </c>
      <c r="M963" s="1" t="s">
        <v>198</v>
      </c>
      <c r="N963" s="1" t="b">
        <v>1</v>
      </c>
    </row>
    <row r="964" spans="1:14" ht="19" customHeight="1" x14ac:dyDescent="0.3">
      <c r="A964">
        <v>959</v>
      </c>
      <c r="B964" s="1">
        <v>4</v>
      </c>
      <c r="C964" s="1">
        <v>50</v>
      </c>
      <c r="D964" s="1">
        <v>5.5E-2</v>
      </c>
      <c r="E964" s="1">
        <v>0.04</v>
      </c>
      <c r="F964" s="1">
        <v>5</v>
      </c>
      <c r="G964" s="1">
        <v>0</v>
      </c>
      <c r="H964" s="1">
        <v>1.15111979696</v>
      </c>
      <c r="I964" s="1">
        <v>1.6254729488999999</v>
      </c>
      <c r="J964" s="1">
        <v>0.67080978154699999</v>
      </c>
      <c r="K964" s="1">
        <v>6377.4864631399996</v>
      </c>
      <c r="L964" s="1">
        <v>1540.76621699</v>
      </c>
      <c r="M964" s="1" t="s">
        <v>198</v>
      </c>
      <c r="N964" s="1" t="b">
        <v>1</v>
      </c>
    </row>
    <row r="965" spans="1:14" ht="19" customHeight="1" x14ac:dyDescent="0.3">
      <c r="A965">
        <v>960</v>
      </c>
      <c r="B965" s="1">
        <v>4</v>
      </c>
      <c r="C965" s="1">
        <v>50</v>
      </c>
      <c r="D965" s="1">
        <v>5.5E-2</v>
      </c>
      <c r="E965" s="1">
        <v>0.04</v>
      </c>
      <c r="F965" s="1">
        <v>5</v>
      </c>
      <c r="G965" s="1">
        <v>1</v>
      </c>
      <c r="H965" s="1">
        <v>1.15111979696</v>
      </c>
      <c r="I965" s="1">
        <v>1.21910471168</v>
      </c>
      <c r="J965" s="1">
        <v>0.55006402086799999</v>
      </c>
      <c r="K965" s="1">
        <v>5444.10941826</v>
      </c>
      <c r="L965" s="1">
        <v>1263.4282979300001</v>
      </c>
      <c r="M965" s="1" t="s">
        <v>198</v>
      </c>
      <c r="N965" s="1" t="b">
        <v>1</v>
      </c>
    </row>
    <row r="966" spans="1:14" ht="19" customHeight="1" x14ac:dyDescent="0.3">
      <c r="A966">
        <v>961</v>
      </c>
      <c r="B966" s="1">
        <v>4</v>
      </c>
      <c r="C966" s="1">
        <v>50</v>
      </c>
      <c r="D966" s="1">
        <v>5.5E-2</v>
      </c>
      <c r="E966" s="1">
        <v>0.06</v>
      </c>
      <c r="F966" s="1">
        <v>-5</v>
      </c>
      <c r="G966" s="1">
        <v>0</v>
      </c>
      <c r="H966" s="1">
        <v>1.17874939666</v>
      </c>
      <c r="I966" s="1">
        <v>1.6669173484599999</v>
      </c>
      <c r="J966" s="1">
        <v>0.67328238386399997</v>
      </c>
      <c r="K966" s="1">
        <v>6536.1408052099996</v>
      </c>
      <c r="L966" s="1">
        <v>1546.4454754400001</v>
      </c>
      <c r="M966" s="1" t="s">
        <v>198</v>
      </c>
      <c r="N966" s="1" t="b">
        <v>1</v>
      </c>
    </row>
    <row r="967" spans="1:14" ht="19" customHeight="1" x14ac:dyDescent="0.3">
      <c r="A967">
        <v>962</v>
      </c>
      <c r="B967" s="1">
        <v>4</v>
      </c>
      <c r="C967" s="1">
        <v>50</v>
      </c>
      <c r="D967" s="1">
        <v>5.5E-2</v>
      </c>
      <c r="E967" s="1">
        <v>0.06</v>
      </c>
      <c r="F967" s="1">
        <v>-5</v>
      </c>
      <c r="G967" s="1">
        <v>1</v>
      </c>
      <c r="H967" s="1">
        <v>1.17874939666</v>
      </c>
      <c r="I967" s="1">
        <v>1.2501880113499999</v>
      </c>
      <c r="J967" s="1">
        <v>0.55209155476799998</v>
      </c>
      <c r="K967" s="1">
        <v>5578.9656090199996</v>
      </c>
      <c r="L967" s="1">
        <v>1268.0852898600001</v>
      </c>
      <c r="M967" s="1" t="s">
        <v>198</v>
      </c>
      <c r="N967" s="1" t="b">
        <v>1</v>
      </c>
    </row>
    <row r="968" spans="1:14" ht="19" customHeight="1" x14ac:dyDescent="0.3">
      <c r="A968">
        <v>963</v>
      </c>
      <c r="B968" s="1">
        <v>4</v>
      </c>
      <c r="C968" s="1">
        <v>50</v>
      </c>
      <c r="D968" s="1">
        <v>5.5E-2</v>
      </c>
      <c r="E968" s="1">
        <v>0.06</v>
      </c>
      <c r="F968" s="1">
        <v>0</v>
      </c>
      <c r="G968" s="1">
        <v>0</v>
      </c>
      <c r="H968" s="1">
        <v>1.2055718794500001</v>
      </c>
      <c r="I968" s="1">
        <v>1.7048481096699999</v>
      </c>
      <c r="J968" s="1">
        <v>0.66578238386400002</v>
      </c>
      <c r="K968" s="1">
        <v>6684.8709125300002</v>
      </c>
      <c r="L968" s="1">
        <v>1529.2189129400001</v>
      </c>
      <c r="M968" s="1" t="s">
        <v>198</v>
      </c>
      <c r="N968" s="1" t="b">
        <v>1</v>
      </c>
    </row>
    <row r="969" spans="1:14" ht="19" customHeight="1" x14ac:dyDescent="0.3">
      <c r="A969">
        <v>964</v>
      </c>
      <c r="B969" s="1">
        <v>4</v>
      </c>
      <c r="C969" s="1">
        <v>50</v>
      </c>
      <c r="D969" s="1">
        <v>5.5E-2</v>
      </c>
      <c r="E969" s="1">
        <v>0.06</v>
      </c>
      <c r="F969" s="1">
        <v>0</v>
      </c>
      <c r="G969" s="1">
        <v>1</v>
      </c>
      <c r="H969" s="1">
        <v>1.2055718794500001</v>
      </c>
      <c r="I969" s="1">
        <v>1.27863608226</v>
      </c>
      <c r="J969" s="1">
        <v>0.54594155476799999</v>
      </c>
      <c r="K969" s="1">
        <v>5705.9151620499997</v>
      </c>
      <c r="L969" s="1">
        <v>1253.9595086100001</v>
      </c>
      <c r="M969" s="1" t="s">
        <v>198</v>
      </c>
      <c r="N969" s="1" t="b">
        <v>1</v>
      </c>
    </row>
    <row r="970" spans="1:14" ht="19" customHeight="1" x14ac:dyDescent="0.3">
      <c r="A970">
        <v>965</v>
      </c>
      <c r="B970" s="1">
        <v>4</v>
      </c>
      <c r="C970" s="1">
        <v>50</v>
      </c>
      <c r="D970" s="1">
        <v>5.5E-2</v>
      </c>
      <c r="E970" s="1">
        <v>0.06</v>
      </c>
      <c r="F970" s="1">
        <v>5</v>
      </c>
      <c r="G970" s="1">
        <v>0</v>
      </c>
      <c r="H970" s="1">
        <v>1.17874939666</v>
      </c>
      <c r="I970" s="1">
        <v>1.6669173484599999</v>
      </c>
      <c r="J970" s="1">
        <v>0.67328238386399997</v>
      </c>
      <c r="K970" s="1">
        <v>6536.1408052099996</v>
      </c>
      <c r="L970" s="1">
        <v>1546.4454754400001</v>
      </c>
      <c r="M970" s="1" t="s">
        <v>198</v>
      </c>
      <c r="N970" s="1" t="b">
        <v>1</v>
      </c>
    </row>
    <row r="971" spans="1:14" ht="19" customHeight="1" x14ac:dyDescent="0.3">
      <c r="A971">
        <v>966</v>
      </c>
      <c r="B971" s="1">
        <v>4</v>
      </c>
      <c r="C971" s="1">
        <v>50</v>
      </c>
      <c r="D971" s="1">
        <v>5.5E-2</v>
      </c>
      <c r="E971" s="1">
        <v>0.06</v>
      </c>
      <c r="F971" s="1">
        <v>5</v>
      </c>
      <c r="G971" s="1">
        <v>1</v>
      </c>
      <c r="H971" s="1">
        <v>1.17874939666</v>
      </c>
      <c r="I971" s="1">
        <v>1.2501880113499999</v>
      </c>
      <c r="J971" s="1">
        <v>0.55209155476799998</v>
      </c>
      <c r="K971" s="1">
        <v>5578.9656090199996</v>
      </c>
      <c r="L971" s="1">
        <v>1268.0852898600001</v>
      </c>
      <c r="M971" s="1" t="s">
        <v>198</v>
      </c>
      <c r="N971" s="1" t="b">
        <v>1</v>
      </c>
    </row>
    <row r="972" spans="1:14" ht="19" customHeight="1" x14ac:dyDescent="0.3">
      <c r="A972">
        <v>967</v>
      </c>
      <c r="B972" s="1">
        <v>4</v>
      </c>
      <c r="C972" s="1">
        <v>50</v>
      </c>
      <c r="D972" s="1">
        <v>5.5E-2</v>
      </c>
      <c r="E972" s="1">
        <v>8.5000000000000006E-2</v>
      </c>
      <c r="F972" s="1">
        <v>-5</v>
      </c>
      <c r="G972" s="1">
        <v>0</v>
      </c>
      <c r="H972" s="1">
        <v>1.1081148511500001</v>
      </c>
      <c r="I972" s="1">
        <v>1.5609655301900001</v>
      </c>
      <c r="J972" s="1">
        <v>0.66696122312499995</v>
      </c>
      <c r="K972" s="1">
        <v>6130.5440009000004</v>
      </c>
      <c r="L972" s="1">
        <v>1531.9265593699999</v>
      </c>
      <c r="M972" s="1" t="s">
        <v>198</v>
      </c>
      <c r="N972" s="1" t="b">
        <v>1</v>
      </c>
    </row>
    <row r="973" spans="1:14" ht="19" customHeight="1" x14ac:dyDescent="0.3">
      <c r="A973">
        <v>968</v>
      </c>
      <c r="B973" s="1">
        <v>4</v>
      </c>
      <c r="C973" s="1">
        <v>50</v>
      </c>
      <c r="D973" s="1">
        <v>5.5E-2</v>
      </c>
      <c r="E973" s="1">
        <v>8.5000000000000006E-2</v>
      </c>
      <c r="F973" s="1">
        <v>-5</v>
      </c>
      <c r="G973" s="1">
        <v>1</v>
      </c>
      <c r="H973" s="1">
        <v>1.1081148511500001</v>
      </c>
      <c r="I973" s="1">
        <v>1.1707241476400001</v>
      </c>
      <c r="J973" s="1">
        <v>0.54690820296300002</v>
      </c>
      <c r="K973" s="1">
        <v>5234.2083253600003</v>
      </c>
      <c r="L973" s="1">
        <v>1256.17977868</v>
      </c>
      <c r="M973" s="1" t="s">
        <v>198</v>
      </c>
      <c r="N973" s="1" t="b">
        <v>1</v>
      </c>
    </row>
    <row r="974" spans="1:14" ht="19" customHeight="1" x14ac:dyDescent="0.3">
      <c r="A974">
        <v>969</v>
      </c>
      <c r="B974" s="1">
        <v>4</v>
      </c>
      <c r="C974" s="1">
        <v>50</v>
      </c>
      <c r="D974" s="1">
        <v>5.5E-2</v>
      </c>
      <c r="E974" s="1">
        <v>8.5000000000000006E-2</v>
      </c>
      <c r="F974" s="1">
        <v>0</v>
      </c>
      <c r="G974" s="1">
        <v>0</v>
      </c>
      <c r="H974" s="1">
        <v>1.1333300424499999</v>
      </c>
      <c r="I974" s="1">
        <v>1.5964853541599999</v>
      </c>
      <c r="J974" s="1">
        <v>0.659461223125</v>
      </c>
      <c r="K974" s="1">
        <v>6270.04473908</v>
      </c>
      <c r="L974" s="1">
        <v>1514.6999968699999</v>
      </c>
      <c r="M974" s="1" t="s">
        <v>198</v>
      </c>
      <c r="N974" s="1" t="b">
        <v>1</v>
      </c>
    </row>
    <row r="975" spans="1:14" ht="19" customHeight="1" x14ac:dyDescent="0.3">
      <c r="A975">
        <v>970</v>
      </c>
      <c r="B975" s="1">
        <v>4</v>
      </c>
      <c r="C975" s="1">
        <v>50</v>
      </c>
      <c r="D975" s="1">
        <v>5.5E-2</v>
      </c>
      <c r="E975" s="1">
        <v>8.5000000000000006E-2</v>
      </c>
      <c r="F975" s="1">
        <v>0</v>
      </c>
      <c r="G975" s="1">
        <v>1</v>
      </c>
      <c r="H975" s="1">
        <v>1.1333300424499999</v>
      </c>
      <c r="I975" s="1">
        <v>1.1973640156200001</v>
      </c>
      <c r="J975" s="1">
        <v>0.54075820296300003</v>
      </c>
      <c r="K975" s="1">
        <v>5353.3129146199999</v>
      </c>
      <c r="L975" s="1">
        <v>1242.05399743</v>
      </c>
      <c r="M975" s="1" t="s">
        <v>198</v>
      </c>
      <c r="N975" s="1" t="b">
        <v>1</v>
      </c>
    </row>
    <row r="976" spans="1:14" ht="19" customHeight="1" x14ac:dyDescent="0.3">
      <c r="A976">
        <v>971</v>
      </c>
      <c r="B976" s="1">
        <v>4</v>
      </c>
      <c r="C976" s="1">
        <v>50</v>
      </c>
      <c r="D976" s="1">
        <v>5.5E-2</v>
      </c>
      <c r="E976" s="1">
        <v>8.5000000000000006E-2</v>
      </c>
      <c r="F976" s="1">
        <v>5</v>
      </c>
      <c r="G976" s="1">
        <v>0</v>
      </c>
      <c r="H976" s="1">
        <v>1.1081148511500001</v>
      </c>
      <c r="I976" s="1">
        <v>1.5609655301900001</v>
      </c>
      <c r="J976" s="1">
        <v>0.66696122312499995</v>
      </c>
      <c r="K976" s="1">
        <v>6130.5440009000004</v>
      </c>
      <c r="L976" s="1">
        <v>1531.9265593699999</v>
      </c>
      <c r="M976" s="1" t="s">
        <v>198</v>
      </c>
      <c r="N976" s="1" t="b">
        <v>1</v>
      </c>
    </row>
    <row r="977" spans="1:14" ht="19" customHeight="1" x14ac:dyDescent="0.3">
      <c r="A977">
        <v>972</v>
      </c>
      <c r="B977" s="1">
        <v>4</v>
      </c>
      <c r="C977" s="1">
        <v>50</v>
      </c>
      <c r="D977" s="1">
        <v>5.5E-2</v>
      </c>
      <c r="E977" s="1">
        <v>8.5000000000000006E-2</v>
      </c>
      <c r="F977" s="1">
        <v>5</v>
      </c>
      <c r="G977" s="1">
        <v>1</v>
      </c>
      <c r="H977" s="1">
        <v>1.1081148511500001</v>
      </c>
      <c r="I977" s="1">
        <v>1.1707241476400001</v>
      </c>
      <c r="J977" s="1">
        <v>0.54690820296300002</v>
      </c>
      <c r="K977" s="1">
        <v>5234.2083253600003</v>
      </c>
      <c r="L977" s="1">
        <v>1256.17977868</v>
      </c>
      <c r="M977" s="1" t="s">
        <v>198</v>
      </c>
      <c r="N977" s="1" t="b">
        <v>1</v>
      </c>
    </row>
    <row r="978" spans="1:14" ht="19" customHeight="1" x14ac:dyDescent="0.3">
      <c r="A978">
        <v>973</v>
      </c>
      <c r="B978" s="1">
        <v>4</v>
      </c>
      <c r="C978" s="1">
        <v>70</v>
      </c>
      <c r="D978" s="1">
        <v>2.5000000000000001E-2</v>
      </c>
      <c r="E978" s="1">
        <v>0.04</v>
      </c>
      <c r="F978" s="1">
        <v>-5</v>
      </c>
      <c r="G978" s="1">
        <v>0</v>
      </c>
      <c r="H978" s="1">
        <v>1.2850160855699999</v>
      </c>
      <c r="I978" s="1">
        <v>1.82631738182</v>
      </c>
      <c r="J978" s="1">
        <v>0.68279230308000005</v>
      </c>
      <c r="K978" s="1">
        <v>14006.8343535</v>
      </c>
      <c r="L978" s="1">
        <v>3073.8455994300002</v>
      </c>
      <c r="M978" s="1" t="s">
        <v>198</v>
      </c>
      <c r="N978" s="1" t="b">
        <v>1</v>
      </c>
    </row>
    <row r="979" spans="1:14" ht="19" customHeight="1" x14ac:dyDescent="0.3">
      <c r="A979">
        <v>974</v>
      </c>
      <c r="B979" s="1">
        <v>4</v>
      </c>
      <c r="C979" s="1">
        <v>70</v>
      </c>
      <c r="D979" s="1">
        <v>2.5000000000000001E-2</v>
      </c>
      <c r="E979" s="1">
        <v>0.04</v>
      </c>
      <c r="F979" s="1">
        <v>-5</v>
      </c>
      <c r="G979" s="1">
        <v>1</v>
      </c>
      <c r="H979" s="1">
        <v>1.2850160855699999</v>
      </c>
      <c r="I979" s="1">
        <v>1.36973803636</v>
      </c>
      <c r="J979" s="1">
        <v>0.55988968852499998</v>
      </c>
      <c r="K979" s="1">
        <v>11951.3712127</v>
      </c>
      <c r="L979" s="1">
        <v>2520.5533915300002</v>
      </c>
      <c r="M979" s="1" t="s">
        <v>198</v>
      </c>
      <c r="N979" s="1" t="b">
        <v>1</v>
      </c>
    </row>
    <row r="980" spans="1:14" ht="19" customHeight="1" x14ac:dyDescent="0.3">
      <c r="A980">
        <v>975</v>
      </c>
      <c r="B980" s="1">
        <v>4</v>
      </c>
      <c r="C980" s="1">
        <v>70</v>
      </c>
      <c r="D980" s="1">
        <v>2.5000000000000001E-2</v>
      </c>
      <c r="E980" s="1">
        <v>0.04</v>
      </c>
      <c r="F980" s="1">
        <v>0</v>
      </c>
      <c r="G980" s="1">
        <v>0</v>
      </c>
      <c r="H980" s="1">
        <v>1.3142566704900001</v>
      </c>
      <c r="I980" s="1">
        <v>1.86787529623</v>
      </c>
      <c r="J980" s="1">
        <v>0.67529230307999999</v>
      </c>
      <c r="K980" s="1">
        <v>14325.5603477</v>
      </c>
      <c r="L980" s="1">
        <v>3040.0815369299999</v>
      </c>
      <c r="M980" s="1" t="s">
        <v>198</v>
      </c>
      <c r="N980" s="1" t="b">
        <v>1</v>
      </c>
    </row>
    <row r="981" spans="1:14" ht="19" customHeight="1" x14ac:dyDescent="0.3">
      <c r="A981">
        <v>976</v>
      </c>
      <c r="B981" s="1">
        <v>4</v>
      </c>
      <c r="C981" s="1">
        <v>70</v>
      </c>
      <c r="D981" s="1">
        <v>2.5000000000000001E-2</v>
      </c>
      <c r="E981" s="1">
        <v>0.04</v>
      </c>
      <c r="F981" s="1">
        <v>0</v>
      </c>
      <c r="G981" s="1">
        <v>1</v>
      </c>
      <c r="H981" s="1">
        <v>1.3142566704900001</v>
      </c>
      <c r="I981" s="1">
        <v>1.40090647218</v>
      </c>
      <c r="J981" s="1">
        <v>0.553739688525</v>
      </c>
      <c r="K981" s="1">
        <v>12223.325072899999</v>
      </c>
      <c r="L981" s="1">
        <v>2492.8668602799999</v>
      </c>
      <c r="M981" s="1" t="s">
        <v>198</v>
      </c>
      <c r="N981" s="1" t="b">
        <v>1</v>
      </c>
    </row>
    <row r="982" spans="1:14" ht="19" customHeight="1" x14ac:dyDescent="0.3">
      <c r="A982">
        <v>977</v>
      </c>
      <c r="B982" s="1">
        <v>4</v>
      </c>
      <c r="C982" s="1">
        <v>70</v>
      </c>
      <c r="D982" s="1">
        <v>2.5000000000000001E-2</v>
      </c>
      <c r="E982" s="1">
        <v>0.04</v>
      </c>
      <c r="F982" s="1">
        <v>5</v>
      </c>
      <c r="G982" s="1">
        <v>0</v>
      </c>
      <c r="H982" s="1">
        <v>1.2850160855699999</v>
      </c>
      <c r="I982" s="1">
        <v>1.82631738182</v>
      </c>
      <c r="J982" s="1">
        <v>0.68279230308000005</v>
      </c>
      <c r="K982" s="1">
        <v>14006.8343535</v>
      </c>
      <c r="L982" s="1">
        <v>3073.8455994300002</v>
      </c>
      <c r="M982" s="1" t="s">
        <v>198</v>
      </c>
      <c r="N982" s="1" t="b">
        <v>1</v>
      </c>
    </row>
    <row r="983" spans="1:14" ht="19" customHeight="1" x14ac:dyDescent="0.3">
      <c r="A983">
        <v>978</v>
      </c>
      <c r="B983" s="1">
        <v>4</v>
      </c>
      <c r="C983" s="1">
        <v>70</v>
      </c>
      <c r="D983" s="1">
        <v>2.5000000000000001E-2</v>
      </c>
      <c r="E983" s="1">
        <v>0.04</v>
      </c>
      <c r="F983" s="1">
        <v>5</v>
      </c>
      <c r="G983" s="1">
        <v>1</v>
      </c>
      <c r="H983" s="1">
        <v>1.2850160855699999</v>
      </c>
      <c r="I983" s="1">
        <v>1.36973803636</v>
      </c>
      <c r="J983" s="1">
        <v>0.55988968852499998</v>
      </c>
      <c r="K983" s="1">
        <v>11951.3712127</v>
      </c>
      <c r="L983" s="1">
        <v>2520.5533915300002</v>
      </c>
      <c r="M983" s="1" t="s">
        <v>198</v>
      </c>
      <c r="N983" s="1" t="b">
        <v>1</v>
      </c>
    </row>
    <row r="984" spans="1:14" ht="19" customHeight="1" x14ac:dyDescent="0.3">
      <c r="A984">
        <v>979</v>
      </c>
      <c r="B984" s="1">
        <v>4</v>
      </c>
      <c r="C984" s="1">
        <v>70</v>
      </c>
      <c r="D984" s="1">
        <v>2.5000000000000001E-2</v>
      </c>
      <c r="E984" s="1">
        <v>0.06</v>
      </c>
      <c r="F984" s="1">
        <v>-5</v>
      </c>
      <c r="G984" s="1">
        <v>0</v>
      </c>
      <c r="H984" s="1">
        <v>1.3256310992</v>
      </c>
      <c r="I984" s="1">
        <v>1.8872399022699999</v>
      </c>
      <c r="J984" s="1">
        <v>0.68642698392500001</v>
      </c>
      <c r="K984" s="1">
        <v>14463.943639700001</v>
      </c>
      <c r="L984" s="1">
        <v>3090.20847826</v>
      </c>
      <c r="M984" s="1" t="s">
        <v>198</v>
      </c>
      <c r="N984" s="1" t="b">
        <v>1</v>
      </c>
    </row>
    <row r="985" spans="1:14" ht="19" customHeight="1" x14ac:dyDescent="0.3">
      <c r="A985">
        <v>980</v>
      </c>
      <c r="B985" s="1">
        <v>4</v>
      </c>
      <c r="C985" s="1">
        <v>70</v>
      </c>
      <c r="D985" s="1">
        <v>2.5000000000000001E-2</v>
      </c>
      <c r="E985" s="1">
        <v>0.06</v>
      </c>
      <c r="F985" s="1">
        <v>-5</v>
      </c>
      <c r="G985" s="1">
        <v>1</v>
      </c>
      <c r="H985" s="1">
        <v>1.3256310992</v>
      </c>
      <c r="I985" s="1">
        <v>1.4154299266999999</v>
      </c>
      <c r="J985" s="1">
        <v>0.56287012681799997</v>
      </c>
      <c r="K985" s="1">
        <v>12339.914106</v>
      </c>
      <c r="L985" s="1">
        <v>2533.9709521700001</v>
      </c>
      <c r="M985" s="1" t="s">
        <v>198</v>
      </c>
      <c r="N985" s="1" t="b">
        <v>1</v>
      </c>
    </row>
    <row r="986" spans="1:14" ht="19" customHeight="1" x14ac:dyDescent="0.3">
      <c r="A986">
        <v>981</v>
      </c>
      <c r="B986" s="1">
        <v>4</v>
      </c>
      <c r="C986" s="1">
        <v>70</v>
      </c>
      <c r="D986" s="1">
        <v>2.5000000000000001E-2</v>
      </c>
      <c r="E986" s="1">
        <v>0.06</v>
      </c>
      <c r="F986" s="1">
        <v>0</v>
      </c>
      <c r="G986" s="1">
        <v>0</v>
      </c>
      <c r="H986" s="1">
        <v>1.3557958801500001</v>
      </c>
      <c r="I986" s="1">
        <v>1.93018411072</v>
      </c>
      <c r="J986" s="1">
        <v>0.67892698392499995</v>
      </c>
      <c r="K986" s="1">
        <v>14793.071171400001</v>
      </c>
      <c r="L986" s="1">
        <v>3056.4444157600001</v>
      </c>
      <c r="M986" s="1" t="s">
        <v>198</v>
      </c>
      <c r="N986" s="1" t="b">
        <v>1</v>
      </c>
    </row>
    <row r="987" spans="1:14" ht="19" customHeight="1" x14ac:dyDescent="0.3">
      <c r="A987">
        <v>982</v>
      </c>
      <c r="B987" s="1">
        <v>4</v>
      </c>
      <c r="C987" s="1">
        <v>70</v>
      </c>
      <c r="D987" s="1">
        <v>2.5000000000000001E-2</v>
      </c>
      <c r="E987" s="1">
        <v>0.06</v>
      </c>
      <c r="F987" s="1">
        <v>0</v>
      </c>
      <c r="G987" s="1">
        <v>1</v>
      </c>
      <c r="H987" s="1">
        <v>1.3557958801500001</v>
      </c>
      <c r="I987" s="1">
        <v>1.44763808304</v>
      </c>
      <c r="J987" s="1">
        <v>0.55672012681799998</v>
      </c>
      <c r="K987" s="1">
        <v>12620.709273099999</v>
      </c>
      <c r="L987" s="1">
        <v>2506.2844209199998</v>
      </c>
      <c r="M987" s="1" t="s">
        <v>198</v>
      </c>
      <c r="N987" s="1" t="b">
        <v>1</v>
      </c>
    </row>
    <row r="988" spans="1:14" ht="19" customHeight="1" x14ac:dyDescent="0.3">
      <c r="A988">
        <v>983</v>
      </c>
      <c r="B988" s="1">
        <v>4</v>
      </c>
      <c r="C988" s="1">
        <v>70</v>
      </c>
      <c r="D988" s="1">
        <v>2.5000000000000001E-2</v>
      </c>
      <c r="E988" s="1">
        <v>0.06</v>
      </c>
      <c r="F988" s="1">
        <v>5</v>
      </c>
      <c r="G988" s="1">
        <v>0</v>
      </c>
      <c r="H988" s="1">
        <v>1.3256310992</v>
      </c>
      <c r="I988" s="1">
        <v>1.8872399022699999</v>
      </c>
      <c r="J988" s="1">
        <v>0.68642698392500001</v>
      </c>
      <c r="K988" s="1">
        <v>14463.943639700001</v>
      </c>
      <c r="L988" s="1">
        <v>3090.20847826</v>
      </c>
      <c r="M988" s="1" t="s">
        <v>198</v>
      </c>
      <c r="N988" s="1" t="b">
        <v>1</v>
      </c>
    </row>
    <row r="989" spans="1:14" ht="19" customHeight="1" x14ac:dyDescent="0.3">
      <c r="A989">
        <v>984</v>
      </c>
      <c r="B989" s="1">
        <v>4</v>
      </c>
      <c r="C989" s="1">
        <v>70</v>
      </c>
      <c r="D989" s="1">
        <v>2.5000000000000001E-2</v>
      </c>
      <c r="E989" s="1">
        <v>0.06</v>
      </c>
      <c r="F989" s="1">
        <v>5</v>
      </c>
      <c r="G989" s="1">
        <v>1</v>
      </c>
      <c r="H989" s="1">
        <v>1.3256310992</v>
      </c>
      <c r="I989" s="1">
        <v>1.4154299266999999</v>
      </c>
      <c r="J989" s="1">
        <v>0.56287012681799997</v>
      </c>
      <c r="K989" s="1">
        <v>12339.914106</v>
      </c>
      <c r="L989" s="1">
        <v>2533.9709521700001</v>
      </c>
      <c r="M989" s="1" t="s">
        <v>198</v>
      </c>
      <c r="N989" s="1" t="b">
        <v>1</v>
      </c>
    </row>
    <row r="990" spans="1:14" ht="19" customHeight="1" x14ac:dyDescent="0.3">
      <c r="A990">
        <v>985</v>
      </c>
      <c r="B990" s="1">
        <v>4</v>
      </c>
      <c r="C990" s="1">
        <v>70</v>
      </c>
      <c r="D990" s="1">
        <v>2.5000000000000001E-2</v>
      </c>
      <c r="E990" s="1">
        <v>8.5000000000000006E-2</v>
      </c>
      <c r="F990" s="1">
        <v>-5</v>
      </c>
      <c r="G990" s="1">
        <v>0</v>
      </c>
      <c r="H990" s="1">
        <v>1.2217995902600001</v>
      </c>
      <c r="I990" s="1">
        <v>1.73149263885</v>
      </c>
      <c r="J990" s="1">
        <v>0.67713499155800005</v>
      </c>
      <c r="K990" s="1">
        <v>13295.352453899999</v>
      </c>
      <c r="L990" s="1">
        <v>3048.37709012</v>
      </c>
      <c r="M990" s="1" t="s">
        <v>198</v>
      </c>
      <c r="N990" s="1" t="b">
        <v>1</v>
      </c>
    </row>
    <row r="991" spans="1:14" ht="19" customHeight="1" x14ac:dyDescent="0.3">
      <c r="A991">
        <v>986</v>
      </c>
      <c r="B991" s="1">
        <v>4</v>
      </c>
      <c r="C991" s="1">
        <v>70</v>
      </c>
      <c r="D991" s="1">
        <v>2.5000000000000001E-2</v>
      </c>
      <c r="E991" s="1">
        <v>8.5000000000000006E-2</v>
      </c>
      <c r="F991" s="1">
        <v>-5</v>
      </c>
      <c r="G991" s="1">
        <v>1</v>
      </c>
      <c r="H991" s="1">
        <v>1.2217995902600001</v>
      </c>
      <c r="I991" s="1">
        <v>1.2986194791400001</v>
      </c>
      <c r="J991" s="1">
        <v>0.55525069307700003</v>
      </c>
      <c r="K991" s="1">
        <v>11346.611598</v>
      </c>
      <c r="L991" s="1">
        <v>2499.6692139000002</v>
      </c>
      <c r="M991" s="1" t="s">
        <v>198</v>
      </c>
      <c r="N991" s="1" t="b">
        <v>1</v>
      </c>
    </row>
    <row r="992" spans="1:14" ht="19" customHeight="1" x14ac:dyDescent="0.3">
      <c r="A992">
        <v>987</v>
      </c>
      <c r="B992" s="1">
        <v>4</v>
      </c>
      <c r="C992" s="1">
        <v>70</v>
      </c>
      <c r="D992" s="1">
        <v>2.5000000000000001E-2</v>
      </c>
      <c r="E992" s="1">
        <v>8.5000000000000006E-2</v>
      </c>
      <c r="F992" s="1">
        <v>0</v>
      </c>
      <c r="G992" s="1">
        <v>0</v>
      </c>
      <c r="H992" s="1">
        <v>1.24960168168</v>
      </c>
      <c r="I992" s="1">
        <v>1.7708928130099999</v>
      </c>
      <c r="J992" s="1">
        <v>0.66963499155799999</v>
      </c>
      <c r="K992" s="1">
        <v>13597.8886532</v>
      </c>
      <c r="L992" s="1">
        <v>3014.6130276200001</v>
      </c>
      <c r="M992" s="1" t="s">
        <v>198</v>
      </c>
      <c r="N992" s="1" t="b">
        <v>1</v>
      </c>
    </row>
    <row r="993" spans="1:14" ht="19" customHeight="1" x14ac:dyDescent="0.3">
      <c r="A993">
        <v>988</v>
      </c>
      <c r="B993" s="1">
        <v>4</v>
      </c>
      <c r="C993" s="1">
        <v>70</v>
      </c>
      <c r="D993" s="1">
        <v>2.5000000000000001E-2</v>
      </c>
      <c r="E993" s="1">
        <v>8.5000000000000006E-2</v>
      </c>
      <c r="F993" s="1">
        <v>0</v>
      </c>
      <c r="G993" s="1">
        <v>1</v>
      </c>
      <c r="H993" s="1">
        <v>1.24960168168</v>
      </c>
      <c r="I993" s="1">
        <v>1.32816960975</v>
      </c>
      <c r="J993" s="1">
        <v>0.54910069307700005</v>
      </c>
      <c r="K993" s="1">
        <v>11604.8041326</v>
      </c>
      <c r="L993" s="1">
        <v>2471.9826826499998</v>
      </c>
      <c r="M993" s="1" t="s">
        <v>198</v>
      </c>
      <c r="N993" s="1" t="b">
        <v>1</v>
      </c>
    </row>
    <row r="994" spans="1:14" ht="19" customHeight="1" x14ac:dyDescent="0.3">
      <c r="A994">
        <v>989</v>
      </c>
      <c r="B994" s="1">
        <v>4</v>
      </c>
      <c r="C994" s="1">
        <v>70</v>
      </c>
      <c r="D994" s="1">
        <v>2.5000000000000001E-2</v>
      </c>
      <c r="E994" s="1">
        <v>8.5000000000000006E-2</v>
      </c>
      <c r="F994" s="1">
        <v>5</v>
      </c>
      <c r="G994" s="1">
        <v>0</v>
      </c>
      <c r="H994" s="1">
        <v>1.2217995902600001</v>
      </c>
      <c r="I994" s="1">
        <v>1.73149263885</v>
      </c>
      <c r="J994" s="1">
        <v>0.67713499155800005</v>
      </c>
      <c r="K994" s="1">
        <v>13295.352453899999</v>
      </c>
      <c r="L994" s="1">
        <v>3048.37709012</v>
      </c>
      <c r="M994" s="1" t="s">
        <v>198</v>
      </c>
      <c r="N994" s="1" t="b">
        <v>1</v>
      </c>
    </row>
    <row r="995" spans="1:14" ht="19" customHeight="1" x14ac:dyDescent="0.3">
      <c r="A995">
        <v>990</v>
      </c>
      <c r="B995" s="1">
        <v>4</v>
      </c>
      <c r="C995" s="1">
        <v>70</v>
      </c>
      <c r="D995" s="1">
        <v>2.5000000000000001E-2</v>
      </c>
      <c r="E995" s="1">
        <v>8.5000000000000006E-2</v>
      </c>
      <c r="F995" s="1">
        <v>5</v>
      </c>
      <c r="G995" s="1">
        <v>1</v>
      </c>
      <c r="H995" s="1">
        <v>1.2217995902600001</v>
      </c>
      <c r="I995" s="1">
        <v>1.2986194791400001</v>
      </c>
      <c r="J995" s="1">
        <v>0.55525069307700003</v>
      </c>
      <c r="K995" s="1">
        <v>11346.611598</v>
      </c>
      <c r="L995" s="1">
        <v>2499.6692139000002</v>
      </c>
      <c r="M995" s="1" t="s">
        <v>198</v>
      </c>
      <c r="N995" s="1" t="b">
        <v>1</v>
      </c>
    </row>
    <row r="996" spans="1:14" ht="19" customHeight="1" x14ac:dyDescent="0.3">
      <c r="A996">
        <v>991</v>
      </c>
      <c r="B996" s="1">
        <v>4</v>
      </c>
      <c r="C996" s="1">
        <v>70</v>
      </c>
      <c r="D996" s="1">
        <v>0.04</v>
      </c>
      <c r="E996" s="1">
        <v>0.04</v>
      </c>
      <c r="F996" s="1">
        <v>-5</v>
      </c>
      <c r="G996" s="1">
        <v>0</v>
      </c>
      <c r="H996" s="1">
        <v>1.29100489902</v>
      </c>
      <c r="I996" s="1">
        <v>1.835300602</v>
      </c>
      <c r="J996" s="1">
        <v>0.68332824837600004</v>
      </c>
      <c r="K996" s="1">
        <v>14074.236577400001</v>
      </c>
      <c r="L996" s="1">
        <v>3076.2583581600002</v>
      </c>
      <c r="M996" s="1" t="s">
        <v>198</v>
      </c>
      <c r="N996" s="1" t="b">
        <v>1</v>
      </c>
    </row>
    <row r="997" spans="1:14" ht="19" customHeight="1" x14ac:dyDescent="0.3">
      <c r="A997">
        <v>992</v>
      </c>
      <c r="B997" s="1">
        <v>4</v>
      </c>
      <c r="C997" s="1">
        <v>70</v>
      </c>
      <c r="D997" s="1">
        <v>0.04</v>
      </c>
      <c r="E997" s="1">
        <v>0.04</v>
      </c>
      <c r="F997" s="1">
        <v>-5</v>
      </c>
      <c r="G997" s="1">
        <v>1</v>
      </c>
      <c r="H997" s="1">
        <v>1.29100489902</v>
      </c>
      <c r="I997" s="1">
        <v>1.3764754514999999</v>
      </c>
      <c r="J997" s="1">
        <v>0.56032916366899999</v>
      </c>
      <c r="K997" s="1">
        <v>12008.663103000001</v>
      </c>
      <c r="L997" s="1">
        <v>2522.5318536899999</v>
      </c>
      <c r="M997" s="1" t="s">
        <v>198</v>
      </c>
      <c r="N997" s="1" t="b">
        <v>1</v>
      </c>
    </row>
    <row r="998" spans="1:14" ht="19" customHeight="1" x14ac:dyDescent="0.3">
      <c r="A998">
        <v>993</v>
      </c>
      <c r="B998" s="1">
        <v>4</v>
      </c>
      <c r="C998" s="1">
        <v>70</v>
      </c>
      <c r="D998" s="1">
        <v>0.04</v>
      </c>
      <c r="E998" s="1">
        <v>0.04</v>
      </c>
      <c r="F998" s="1">
        <v>0</v>
      </c>
      <c r="G998" s="1">
        <v>0</v>
      </c>
      <c r="H998" s="1">
        <v>1.3203817596</v>
      </c>
      <c r="I998" s="1">
        <v>1.8770629298999999</v>
      </c>
      <c r="J998" s="1">
        <v>0.67582824837599997</v>
      </c>
      <c r="K998" s="1">
        <v>14394.496311499999</v>
      </c>
      <c r="L998" s="1">
        <v>3042.4942956599998</v>
      </c>
      <c r="M998" s="1" t="s">
        <v>198</v>
      </c>
      <c r="N998" s="1" t="b">
        <v>1</v>
      </c>
    </row>
    <row r="999" spans="1:14" ht="19" customHeight="1" x14ac:dyDescent="0.3">
      <c r="A999">
        <v>994</v>
      </c>
      <c r="B999" s="1">
        <v>4</v>
      </c>
      <c r="C999" s="1">
        <v>70</v>
      </c>
      <c r="D999" s="1">
        <v>0.04</v>
      </c>
      <c r="E999" s="1">
        <v>0.04</v>
      </c>
      <c r="F999" s="1">
        <v>0</v>
      </c>
      <c r="G999" s="1">
        <v>1</v>
      </c>
      <c r="H999" s="1">
        <v>1.3203817596</v>
      </c>
      <c r="I999" s="1">
        <v>1.4077971974200001</v>
      </c>
      <c r="J999" s="1">
        <v>0.554179163669</v>
      </c>
      <c r="K999" s="1">
        <v>12281.920642200001</v>
      </c>
      <c r="L999" s="1">
        <v>2494.84532244</v>
      </c>
      <c r="M999" s="1" t="s">
        <v>198</v>
      </c>
      <c r="N999" s="1" t="b">
        <v>1</v>
      </c>
    </row>
    <row r="1000" spans="1:14" ht="19" customHeight="1" x14ac:dyDescent="0.3">
      <c r="A1000">
        <v>995</v>
      </c>
      <c r="B1000" s="1">
        <v>4</v>
      </c>
      <c r="C1000" s="1">
        <v>70</v>
      </c>
      <c r="D1000" s="1">
        <v>0.04</v>
      </c>
      <c r="E1000" s="1">
        <v>0.04</v>
      </c>
      <c r="F1000" s="1">
        <v>5</v>
      </c>
      <c r="G1000" s="1">
        <v>0</v>
      </c>
      <c r="H1000" s="1">
        <v>1.29100489902</v>
      </c>
      <c r="I1000" s="1">
        <v>1.835300602</v>
      </c>
      <c r="J1000" s="1">
        <v>0.68332824837600004</v>
      </c>
      <c r="K1000" s="1">
        <v>14074.236577400001</v>
      </c>
      <c r="L1000" s="1">
        <v>3076.2583581600002</v>
      </c>
      <c r="M1000" s="1" t="s">
        <v>198</v>
      </c>
      <c r="N1000" s="1" t="b">
        <v>1</v>
      </c>
    </row>
    <row r="1001" spans="1:14" ht="19" customHeight="1" x14ac:dyDescent="0.3">
      <c r="A1001">
        <v>996</v>
      </c>
      <c r="B1001" s="1">
        <v>4</v>
      </c>
      <c r="C1001" s="1">
        <v>70</v>
      </c>
      <c r="D1001" s="1">
        <v>0.04</v>
      </c>
      <c r="E1001" s="1">
        <v>0.04</v>
      </c>
      <c r="F1001" s="1">
        <v>5</v>
      </c>
      <c r="G1001" s="1">
        <v>1</v>
      </c>
      <c r="H1001" s="1">
        <v>1.29100489902</v>
      </c>
      <c r="I1001" s="1">
        <v>1.3764754514999999</v>
      </c>
      <c r="J1001" s="1">
        <v>0.56032916366899999</v>
      </c>
      <c r="K1001" s="1">
        <v>12008.663103000001</v>
      </c>
      <c r="L1001" s="1">
        <v>2522.5318536899999</v>
      </c>
      <c r="M1001" s="1" t="s">
        <v>198</v>
      </c>
      <c r="N1001" s="1" t="b">
        <v>1</v>
      </c>
    </row>
    <row r="1002" spans="1:14" ht="19" customHeight="1" x14ac:dyDescent="0.3">
      <c r="A1002">
        <v>997</v>
      </c>
      <c r="B1002" s="1">
        <v>4</v>
      </c>
      <c r="C1002" s="1">
        <v>70</v>
      </c>
      <c r="D1002" s="1">
        <v>0.04</v>
      </c>
      <c r="E1002" s="1">
        <v>0.06</v>
      </c>
      <c r="F1002" s="1">
        <v>-5</v>
      </c>
      <c r="G1002" s="1">
        <v>0</v>
      </c>
      <c r="H1002" s="1">
        <v>1.3322007145799999</v>
      </c>
      <c r="I1002" s="1">
        <v>1.8970943253300001</v>
      </c>
      <c r="J1002" s="1">
        <v>0.68701490580400004</v>
      </c>
      <c r="K1002" s="1">
        <v>14537.8826078</v>
      </c>
      <c r="L1002" s="1">
        <v>3092.85522907</v>
      </c>
      <c r="M1002" s="1" t="s">
        <v>198</v>
      </c>
      <c r="N1002" s="1" t="b">
        <v>1</v>
      </c>
    </row>
    <row r="1003" spans="1:14" ht="19" customHeight="1" x14ac:dyDescent="0.3">
      <c r="A1003">
        <v>998</v>
      </c>
      <c r="B1003" s="1">
        <v>4</v>
      </c>
      <c r="C1003" s="1">
        <v>70</v>
      </c>
      <c r="D1003" s="1">
        <v>0.04</v>
      </c>
      <c r="E1003" s="1">
        <v>0.06</v>
      </c>
      <c r="F1003" s="1">
        <v>-5</v>
      </c>
      <c r="G1003" s="1">
        <v>1</v>
      </c>
      <c r="H1003" s="1">
        <v>1.3322007145799999</v>
      </c>
      <c r="I1003" s="1">
        <v>1.422820744</v>
      </c>
      <c r="J1003" s="1">
        <v>0.56335222275999997</v>
      </c>
      <c r="K1003" s="1">
        <v>12402.7622288</v>
      </c>
      <c r="L1003" s="1">
        <v>2536.1412878400001</v>
      </c>
      <c r="M1003" s="1" t="s">
        <v>198</v>
      </c>
      <c r="N1003" s="1" t="b">
        <v>1</v>
      </c>
    </row>
    <row r="1004" spans="1:14" ht="19" customHeight="1" x14ac:dyDescent="0.3">
      <c r="A1004">
        <v>999</v>
      </c>
      <c r="B1004" s="1">
        <v>4</v>
      </c>
      <c r="C1004" s="1">
        <v>70</v>
      </c>
      <c r="D1004" s="1">
        <v>0.04</v>
      </c>
      <c r="E1004" s="1">
        <v>0.06</v>
      </c>
      <c r="F1004" s="1">
        <v>0</v>
      </c>
      <c r="G1004" s="1">
        <v>0</v>
      </c>
      <c r="H1004" s="1">
        <v>1.36251498735</v>
      </c>
      <c r="I1004" s="1">
        <v>1.94026277152</v>
      </c>
      <c r="J1004" s="1">
        <v>0.67951490580399998</v>
      </c>
      <c r="K1004" s="1">
        <v>14868.692623200001</v>
      </c>
      <c r="L1004" s="1">
        <v>3059.09116657</v>
      </c>
      <c r="M1004" s="1" t="s">
        <v>198</v>
      </c>
      <c r="N1004" s="1" t="b">
        <v>1</v>
      </c>
    </row>
    <row r="1005" spans="1:14" ht="19" customHeight="1" x14ac:dyDescent="0.3">
      <c r="A1005">
        <v>1000</v>
      </c>
      <c r="B1005" s="1">
        <v>4</v>
      </c>
      <c r="C1005" s="1">
        <v>70</v>
      </c>
      <c r="D1005" s="1">
        <v>0.04</v>
      </c>
      <c r="E1005" s="1">
        <v>0.06</v>
      </c>
      <c r="F1005" s="1">
        <v>0</v>
      </c>
      <c r="G1005" s="1">
        <v>1</v>
      </c>
      <c r="H1005" s="1">
        <v>1.36251498735</v>
      </c>
      <c r="I1005" s="1">
        <v>1.4551970786399999</v>
      </c>
      <c r="J1005" s="1">
        <v>0.55720222275999998</v>
      </c>
      <c r="K1005" s="1">
        <v>12684.987507100001</v>
      </c>
      <c r="L1005" s="1">
        <v>2508.4547565900002</v>
      </c>
      <c r="M1005" s="1" t="s">
        <v>198</v>
      </c>
      <c r="N1005" s="1" t="b">
        <v>1</v>
      </c>
    </row>
    <row r="1006" spans="1:14" ht="19" customHeight="1" x14ac:dyDescent="0.3">
      <c r="A1006">
        <v>1001</v>
      </c>
      <c r="B1006" s="1">
        <v>4</v>
      </c>
      <c r="C1006" s="1">
        <v>70</v>
      </c>
      <c r="D1006" s="1">
        <v>0.04</v>
      </c>
      <c r="E1006" s="1">
        <v>0.06</v>
      </c>
      <c r="F1006" s="1">
        <v>5</v>
      </c>
      <c r="G1006" s="1">
        <v>0</v>
      </c>
      <c r="H1006" s="1">
        <v>1.3322007145799999</v>
      </c>
      <c r="I1006" s="1">
        <v>1.8970943253300001</v>
      </c>
      <c r="J1006" s="1">
        <v>0.68701490580400004</v>
      </c>
      <c r="K1006" s="1">
        <v>14537.8826078</v>
      </c>
      <c r="L1006" s="1">
        <v>3092.85522907</v>
      </c>
      <c r="M1006" s="1" t="s">
        <v>198</v>
      </c>
      <c r="N1006" s="1" t="b">
        <v>1</v>
      </c>
    </row>
    <row r="1007" spans="1:14" ht="19" customHeight="1" x14ac:dyDescent="0.3">
      <c r="A1007">
        <v>1002</v>
      </c>
      <c r="B1007" s="1">
        <v>4</v>
      </c>
      <c r="C1007" s="1">
        <v>70</v>
      </c>
      <c r="D1007" s="1">
        <v>0.04</v>
      </c>
      <c r="E1007" s="1">
        <v>0.06</v>
      </c>
      <c r="F1007" s="1">
        <v>5</v>
      </c>
      <c r="G1007" s="1">
        <v>1</v>
      </c>
      <c r="H1007" s="1">
        <v>1.3322007145799999</v>
      </c>
      <c r="I1007" s="1">
        <v>1.422820744</v>
      </c>
      <c r="J1007" s="1">
        <v>0.56335222275999997</v>
      </c>
      <c r="K1007" s="1">
        <v>12402.7622288</v>
      </c>
      <c r="L1007" s="1">
        <v>2536.1412878400001</v>
      </c>
      <c r="M1007" s="1" t="s">
        <v>198</v>
      </c>
      <c r="N1007" s="1" t="b">
        <v>1</v>
      </c>
    </row>
    <row r="1008" spans="1:14" ht="19" customHeight="1" x14ac:dyDescent="0.3">
      <c r="A1008">
        <v>1003</v>
      </c>
      <c r="B1008" s="1">
        <v>4</v>
      </c>
      <c r="C1008" s="1">
        <v>70</v>
      </c>
      <c r="D1008" s="1">
        <v>0.04</v>
      </c>
      <c r="E1008" s="1">
        <v>8.5000000000000006E-2</v>
      </c>
      <c r="F1008" s="1">
        <v>-5</v>
      </c>
      <c r="G1008" s="1">
        <v>0</v>
      </c>
      <c r="H1008" s="1">
        <v>1.22688439658</v>
      </c>
      <c r="I1008" s="1">
        <v>1.7391198483400001</v>
      </c>
      <c r="J1008" s="1">
        <v>0.67759003629400005</v>
      </c>
      <c r="K1008" s="1">
        <v>13352.580360100001</v>
      </c>
      <c r="L1008" s="1">
        <v>3050.42564464</v>
      </c>
      <c r="M1008" s="1" t="s">
        <v>198</v>
      </c>
      <c r="N1008" s="1" t="b">
        <v>1</v>
      </c>
    </row>
    <row r="1009" spans="1:14" ht="19" customHeight="1" x14ac:dyDescent="0.3">
      <c r="A1009">
        <v>1004</v>
      </c>
      <c r="B1009" s="1">
        <v>4</v>
      </c>
      <c r="C1009" s="1">
        <v>70</v>
      </c>
      <c r="D1009" s="1">
        <v>0.04</v>
      </c>
      <c r="E1009" s="1">
        <v>8.5000000000000006E-2</v>
      </c>
      <c r="F1009" s="1">
        <v>-5</v>
      </c>
      <c r="G1009" s="1">
        <v>1</v>
      </c>
      <c r="H1009" s="1">
        <v>1.22688439658</v>
      </c>
      <c r="I1009" s="1">
        <v>1.30433988625</v>
      </c>
      <c r="J1009" s="1">
        <v>0.555623829761</v>
      </c>
      <c r="K1009" s="1">
        <v>11395.2553183</v>
      </c>
      <c r="L1009" s="1">
        <v>2501.3490286000001</v>
      </c>
      <c r="M1009" s="1" t="s">
        <v>198</v>
      </c>
      <c r="N1009" s="1" t="b">
        <v>1</v>
      </c>
    </row>
    <row r="1010" spans="1:14" ht="19" customHeight="1" x14ac:dyDescent="0.3">
      <c r="A1010">
        <v>1005</v>
      </c>
      <c r="B1010" s="1">
        <v>4</v>
      </c>
      <c r="C1010" s="1">
        <v>70</v>
      </c>
      <c r="D1010" s="1">
        <v>0.04</v>
      </c>
      <c r="E1010" s="1">
        <v>8.5000000000000006E-2</v>
      </c>
      <c r="F1010" s="1">
        <v>0</v>
      </c>
      <c r="G1010" s="1">
        <v>0</v>
      </c>
      <c r="H1010" s="1">
        <v>1.2548021929399999</v>
      </c>
      <c r="I1010" s="1">
        <v>1.7786935799000001</v>
      </c>
      <c r="J1010" s="1">
        <v>0.67009003629399999</v>
      </c>
      <c r="K1010" s="1">
        <v>13656.4187824</v>
      </c>
      <c r="L1010" s="1">
        <v>3016.6615821400001</v>
      </c>
      <c r="M1010" s="1" t="s">
        <v>198</v>
      </c>
      <c r="N1010" s="1" t="b">
        <v>1</v>
      </c>
    </row>
    <row r="1011" spans="1:14" ht="19" customHeight="1" x14ac:dyDescent="0.3">
      <c r="A1011">
        <v>1006</v>
      </c>
      <c r="B1011" s="1">
        <v>4</v>
      </c>
      <c r="C1011" s="1">
        <v>70</v>
      </c>
      <c r="D1011" s="1">
        <v>0.04</v>
      </c>
      <c r="E1011" s="1">
        <v>8.5000000000000006E-2</v>
      </c>
      <c r="F1011" s="1">
        <v>0</v>
      </c>
      <c r="G1011" s="1">
        <v>1</v>
      </c>
      <c r="H1011" s="1">
        <v>1.2548021929399999</v>
      </c>
      <c r="I1011" s="1">
        <v>1.33402018493</v>
      </c>
      <c r="J1011" s="1">
        <v>0.54947382976100001</v>
      </c>
      <c r="K1011" s="1">
        <v>11654.5547424</v>
      </c>
      <c r="L1011" s="1">
        <v>2473.6624973500002</v>
      </c>
      <c r="M1011" s="1" t="s">
        <v>198</v>
      </c>
      <c r="N1011" s="1" t="b">
        <v>1</v>
      </c>
    </row>
    <row r="1012" spans="1:14" ht="19" customHeight="1" x14ac:dyDescent="0.3">
      <c r="A1012">
        <v>1007</v>
      </c>
      <c r="B1012" s="1">
        <v>4</v>
      </c>
      <c r="C1012" s="1">
        <v>70</v>
      </c>
      <c r="D1012" s="1">
        <v>0.04</v>
      </c>
      <c r="E1012" s="1">
        <v>8.5000000000000006E-2</v>
      </c>
      <c r="F1012" s="1">
        <v>5</v>
      </c>
      <c r="G1012" s="1">
        <v>0</v>
      </c>
      <c r="H1012" s="1">
        <v>1.22688439658</v>
      </c>
      <c r="I1012" s="1">
        <v>1.7391198483400001</v>
      </c>
      <c r="J1012" s="1">
        <v>0.67759003629400005</v>
      </c>
      <c r="K1012" s="1">
        <v>13352.580360100001</v>
      </c>
      <c r="L1012" s="1">
        <v>3050.42564464</v>
      </c>
      <c r="M1012" s="1" t="s">
        <v>198</v>
      </c>
      <c r="N1012" s="1" t="b">
        <v>1</v>
      </c>
    </row>
    <row r="1013" spans="1:14" ht="19" customHeight="1" x14ac:dyDescent="0.3">
      <c r="A1013">
        <v>1008</v>
      </c>
      <c r="B1013" s="1">
        <v>4</v>
      </c>
      <c r="C1013" s="1">
        <v>70</v>
      </c>
      <c r="D1013" s="1">
        <v>0.04</v>
      </c>
      <c r="E1013" s="1">
        <v>8.5000000000000006E-2</v>
      </c>
      <c r="F1013" s="1">
        <v>5</v>
      </c>
      <c r="G1013" s="1">
        <v>1</v>
      </c>
      <c r="H1013" s="1">
        <v>1.22688439658</v>
      </c>
      <c r="I1013" s="1">
        <v>1.30433988625</v>
      </c>
      <c r="J1013" s="1">
        <v>0.555623829761</v>
      </c>
      <c r="K1013" s="1">
        <v>11395.2553183</v>
      </c>
      <c r="L1013" s="1">
        <v>2501.3490286000001</v>
      </c>
      <c r="M1013" s="1" t="s">
        <v>198</v>
      </c>
      <c r="N1013" s="1" t="b">
        <v>1</v>
      </c>
    </row>
    <row r="1014" spans="1:14" ht="19" customHeight="1" x14ac:dyDescent="0.3">
      <c r="A1014">
        <v>1009</v>
      </c>
      <c r="B1014" s="1">
        <v>4</v>
      </c>
      <c r="C1014" s="1">
        <v>70</v>
      </c>
      <c r="D1014" s="1">
        <v>5.5E-2</v>
      </c>
      <c r="E1014" s="1">
        <v>0.04</v>
      </c>
      <c r="F1014" s="1">
        <v>-5</v>
      </c>
      <c r="G1014" s="1">
        <v>0</v>
      </c>
      <c r="H1014" s="1">
        <v>1.15111979696</v>
      </c>
      <c r="I1014" s="1">
        <v>1.6254729488999999</v>
      </c>
      <c r="J1014" s="1">
        <v>0.67080978154699999</v>
      </c>
      <c r="K1014" s="1">
        <v>12499.873467699999</v>
      </c>
      <c r="L1014" s="1">
        <v>3019.9017853</v>
      </c>
      <c r="M1014" s="1" t="s">
        <v>198</v>
      </c>
      <c r="N1014" s="1" t="b">
        <v>1</v>
      </c>
    </row>
    <row r="1015" spans="1:14" ht="19" customHeight="1" x14ac:dyDescent="0.3">
      <c r="A1015">
        <v>1010</v>
      </c>
      <c r="B1015" s="1">
        <v>4</v>
      </c>
      <c r="C1015" s="1">
        <v>70</v>
      </c>
      <c r="D1015" s="1">
        <v>5.5E-2</v>
      </c>
      <c r="E1015" s="1">
        <v>0.04</v>
      </c>
      <c r="F1015" s="1">
        <v>-5</v>
      </c>
      <c r="G1015" s="1">
        <v>1</v>
      </c>
      <c r="H1015" s="1">
        <v>1.15111979696</v>
      </c>
      <c r="I1015" s="1">
        <v>1.21910471168</v>
      </c>
      <c r="J1015" s="1">
        <v>0.55006402086799999</v>
      </c>
      <c r="K1015" s="1">
        <v>10670.454459799999</v>
      </c>
      <c r="L1015" s="1">
        <v>2476.3194639500002</v>
      </c>
      <c r="M1015" s="1" t="s">
        <v>198</v>
      </c>
      <c r="N1015" s="1" t="b">
        <v>1</v>
      </c>
    </row>
    <row r="1016" spans="1:14" ht="19" customHeight="1" x14ac:dyDescent="0.3">
      <c r="A1016">
        <v>1011</v>
      </c>
      <c r="B1016" s="1">
        <v>4</v>
      </c>
      <c r="C1016" s="1">
        <v>70</v>
      </c>
      <c r="D1016" s="1">
        <v>5.5E-2</v>
      </c>
      <c r="E1016" s="1">
        <v>0.04</v>
      </c>
      <c r="F1016" s="1">
        <v>0</v>
      </c>
      <c r="G1016" s="1">
        <v>0</v>
      </c>
      <c r="H1016" s="1">
        <v>1.1773135672599999</v>
      </c>
      <c r="I1016" s="1">
        <v>1.66246064139</v>
      </c>
      <c r="J1016" s="1">
        <v>0.66330978154700004</v>
      </c>
      <c r="K1016" s="1">
        <v>12784.3085156</v>
      </c>
      <c r="L1016" s="1">
        <v>2986.1377228000001</v>
      </c>
      <c r="M1016" s="1" t="s">
        <v>198</v>
      </c>
      <c r="N1016" s="1" t="b">
        <v>1</v>
      </c>
    </row>
    <row r="1017" spans="1:14" ht="19" customHeight="1" x14ac:dyDescent="0.3">
      <c r="A1017">
        <v>1012</v>
      </c>
      <c r="B1017" s="1">
        <v>4</v>
      </c>
      <c r="C1017" s="1">
        <v>70</v>
      </c>
      <c r="D1017" s="1">
        <v>5.5E-2</v>
      </c>
      <c r="E1017" s="1">
        <v>0.04</v>
      </c>
      <c r="F1017" s="1">
        <v>0</v>
      </c>
      <c r="G1017" s="1">
        <v>1</v>
      </c>
      <c r="H1017" s="1">
        <v>1.1773135672599999</v>
      </c>
      <c r="I1017" s="1">
        <v>1.24684548104</v>
      </c>
      <c r="J1017" s="1">
        <v>0.543914020868</v>
      </c>
      <c r="K1017" s="1">
        <v>10913.261015599999</v>
      </c>
      <c r="L1017" s="1">
        <v>2448.6329326999999</v>
      </c>
      <c r="M1017" s="1" t="s">
        <v>198</v>
      </c>
      <c r="N1017" s="1" t="b">
        <v>1</v>
      </c>
    </row>
    <row r="1018" spans="1:14" ht="19" customHeight="1" x14ac:dyDescent="0.3">
      <c r="A1018">
        <v>1013</v>
      </c>
      <c r="B1018" s="1">
        <v>4</v>
      </c>
      <c r="C1018" s="1">
        <v>70</v>
      </c>
      <c r="D1018" s="1">
        <v>5.5E-2</v>
      </c>
      <c r="E1018" s="1">
        <v>0.04</v>
      </c>
      <c r="F1018" s="1">
        <v>5</v>
      </c>
      <c r="G1018" s="1">
        <v>0</v>
      </c>
      <c r="H1018" s="1">
        <v>1.15111979696</v>
      </c>
      <c r="I1018" s="1">
        <v>1.6254729488999999</v>
      </c>
      <c r="J1018" s="1">
        <v>0.67080978154699999</v>
      </c>
      <c r="K1018" s="1">
        <v>12499.873467699999</v>
      </c>
      <c r="L1018" s="1">
        <v>3019.9017853</v>
      </c>
      <c r="M1018" s="1" t="s">
        <v>198</v>
      </c>
      <c r="N1018" s="1" t="b">
        <v>1</v>
      </c>
    </row>
    <row r="1019" spans="1:14" ht="19" customHeight="1" x14ac:dyDescent="0.3">
      <c r="A1019">
        <v>1014</v>
      </c>
      <c r="B1019" s="1">
        <v>4</v>
      </c>
      <c r="C1019" s="1">
        <v>70</v>
      </c>
      <c r="D1019" s="1">
        <v>5.5E-2</v>
      </c>
      <c r="E1019" s="1">
        <v>0.04</v>
      </c>
      <c r="F1019" s="1">
        <v>5</v>
      </c>
      <c r="G1019" s="1">
        <v>1</v>
      </c>
      <c r="H1019" s="1">
        <v>1.15111979696</v>
      </c>
      <c r="I1019" s="1">
        <v>1.21910471168</v>
      </c>
      <c r="J1019" s="1">
        <v>0.55006402086799999</v>
      </c>
      <c r="K1019" s="1">
        <v>10670.454459799999</v>
      </c>
      <c r="L1019" s="1">
        <v>2476.3194639500002</v>
      </c>
      <c r="M1019" s="1" t="s">
        <v>198</v>
      </c>
      <c r="N1019" s="1" t="b">
        <v>1</v>
      </c>
    </row>
    <row r="1020" spans="1:14" ht="19" customHeight="1" x14ac:dyDescent="0.3">
      <c r="A1020">
        <v>1015</v>
      </c>
      <c r="B1020" s="1">
        <v>4</v>
      </c>
      <c r="C1020" s="1">
        <v>70</v>
      </c>
      <c r="D1020" s="1">
        <v>5.5E-2</v>
      </c>
      <c r="E1020" s="1">
        <v>0.06</v>
      </c>
      <c r="F1020" s="1">
        <v>-5</v>
      </c>
      <c r="G1020" s="1">
        <v>0</v>
      </c>
      <c r="H1020" s="1">
        <v>1.17874939666</v>
      </c>
      <c r="I1020" s="1">
        <v>1.6669173484599999</v>
      </c>
      <c r="J1020" s="1">
        <v>0.67328238386399997</v>
      </c>
      <c r="K1020" s="1">
        <v>12810.835978200001</v>
      </c>
      <c r="L1020" s="1">
        <v>3031.0331318600001</v>
      </c>
      <c r="M1020" s="1" t="s">
        <v>198</v>
      </c>
      <c r="N1020" s="1" t="b">
        <v>1</v>
      </c>
    </row>
    <row r="1021" spans="1:14" ht="19" customHeight="1" x14ac:dyDescent="0.3">
      <c r="A1021">
        <v>1016</v>
      </c>
      <c r="B1021" s="1">
        <v>4</v>
      </c>
      <c r="C1021" s="1">
        <v>70</v>
      </c>
      <c r="D1021" s="1">
        <v>5.5E-2</v>
      </c>
      <c r="E1021" s="1">
        <v>0.06</v>
      </c>
      <c r="F1021" s="1">
        <v>-5</v>
      </c>
      <c r="G1021" s="1">
        <v>1</v>
      </c>
      <c r="H1021" s="1">
        <v>1.17874939666</v>
      </c>
      <c r="I1021" s="1">
        <v>1.2501880113499999</v>
      </c>
      <c r="J1021" s="1">
        <v>0.55209155476799998</v>
      </c>
      <c r="K1021" s="1">
        <v>10934.7725937</v>
      </c>
      <c r="L1021" s="1">
        <v>2485.4471681199998</v>
      </c>
      <c r="M1021" s="1" t="s">
        <v>198</v>
      </c>
      <c r="N1021" s="1" t="b">
        <v>1</v>
      </c>
    </row>
    <row r="1022" spans="1:14" ht="19" customHeight="1" x14ac:dyDescent="0.3">
      <c r="A1022">
        <v>1017</v>
      </c>
      <c r="B1022" s="1">
        <v>4</v>
      </c>
      <c r="C1022" s="1">
        <v>70</v>
      </c>
      <c r="D1022" s="1">
        <v>5.5E-2</v>
      </c>
      <c r="E1022" s="1">
        <v>0.06</v>
      </c>
      <c r="F1022" s="1">
        <v>0</v>
      </c>
      <c r="G1022" s="1">
        <v>0</v>
      </c>
      <c r="H1022" s="1">
        <v>1.2055718794500001</v>
      </c>
      <c r="I1022" s="1">
        <v>1.7048481096699999</v>
      </c>
      <c r="J1022" s="1">
        <v>0.66578238386400002</v>
      </c>
      <c r="K1022" s="1">
        <v>13102.3469886</v>
      </c>
      <c r="L1022" s="1">
        <v>2997.2690693599998</v>
      </c>
      <c r="M1022" s="1" t="s">
        <v>198</v>
      </c>
      <c r="N1022" s="1" t="b">
        <v>1</v>
      </c>
    </row>
    <row r="1023" spans="1:14" ht="19" customHeight="1" x14ac:dyDescent="0.3">
      <c r="A1023">
        <v>1018</v>
      </c>
      <c r="B1023" s="1">
        <v>4</v>
      </c>
      <c r="C1023" s="1">
        <v>70</v>
      </c>
      <c r="D1023" s="1">
        <v>5.5E-2</v>
      </c>
      <c r="E1023" s="1">
        <v>0.06</v>
      </c>
      <c r="F1023" s="1">
        <v>0</v>
      </c>
      <c r="G1023" s="1">
        <v>1</v>
      </c>
      <c r="H1023" s="1">
        <v>1.2055718794500001</v>
      </c>
      <c r="I1023" s="1">
        <v>1.27863608226</v>
      </c>
      <c r="J1023" s="1">
        <v>0.54594155476799999</v>
      </c>
      <c r="K1023" s="1">
        <v>11183.593717600001</v>
      </c>
      <c r="L1023" s="1">
        <v>2457.7606368699999</v>
      </c>
      <c r="M1023" s="1" t="s">
        <v>198</v>
      </c>
      <c r="N1023" s="1" t="b">
        <v>1</v>
      </c>
    </row>
    <row r="1024" spans="1:14" ht="19" customHeight="1" x14ac:dyDescent="0.3">
      <c r="A1024">
        <v>1019</v>
      </c>
      <c r="B1024" s="1">
        <v>4</v>
      </c>
      <c r="C1024" s="1">
        <v>70</v>
      </c>
      <c r="D1024" s="1">
        <v>5.5E-2</v>
      </c>
      <c r="E1024" s="1">
        <v>0.06</v>
      </c>
      <c r="F1024" s="1">
        <v>5</v>
      </c>
      <c r="G1024" s="1">
        <v>0</v>
      </c>
      <c r="H1024" s="1">
        <v>1.17874939666</v>
      </c>
      <c r="I1024" s="1">
        <v>1.6669173484599999</v>
      </c>
      <c r="J1024" s="1">
        <v>0.67328238386399997</v>
      </c>
      <c r="K1024" s="1">
        <v>12810.835978200001</v>
      </c>
      <c r="L1024" s="1">
        <v>3031.0331318600001</v>
      </c>
      <c r="M1024" s="1" t="s">
        <v>198</v>
      </c>
      <c r="N1024" s="1" t="b">
        <v>1</v>
      </c>
    </row>
    <row r="1025" spans="1:14" ht="19" customHeight="1" x14ac:dyDescent="0.3">
      <c r="A1025">
        <v>1020</v>
      </c>
      <c r="B1025" s="1">
        <v>4</v>
      </c>
      <c r="C1025" s="1">
        <v>70</v>
      </c>
      <c r="D1025" s="1">
        <v>5.5E-2</v>
      </c>
      <c r="E1025" s="1">
        <v>0.06</v>
      </c>
      <c r="F1025" s="1">
        <v>5</v>
      </c>
      <c r="G1025" s="1">
        <v>1</v>
      </c>
      <c r="H1025" s="1">
        <v>1.17874939666</v>
      </c>
      <c r="I1025" s="1">
        <v>1.2501880113499999</v>
      </c>
      <c r="J1025" s="1">
        <v>0.55209155476799998</v>
      </c>
      <c r="K1025" s="1">
        <v>10934.7725937</v>
      </c>
      <c r="L1025" s="1">
        <v>2485.4471681199998</v>
      </c>
      <c r="M1025" s="1" t="s">
        <v>198</v>
      </c>
      <c r="N1025" s="1" t="b">
        <v>1</v>
      </c>
    </row>
    <row r="1026" spans="1:14" ht="19" customHeight="1" x14ac:dyDescent="0.3">
      <c r="A1026">
        <v>1021</v>
      </c>
      <c r="B1026" s="1">
        <v>4</v>
      </c>
      <c r="C1026" s="1">
        <v>70</v>
      </c>
      <c r="D1026" s="1">
        <v>5.5E-2</v>
      </c>
      <c r="E1026" s="1">
        <v>8.5000000000000006E-2</v>
      </c>
      <c r="F1026" s="1">
        <v>-5</v>
      </c>
      <c r="G1026" s="1">
        <v>0</v>
      </c>
      <c r="H1026" s="1">
        <v>1.1081148511500001</v>
      </c>
      <c r="I1026" s="1">
        <v>1.5609655301900001</v>
      </c>
      <c r="J1026" s="1">
        <v>0.66696122312499995</v>
      </c>
      <c r="K1026" s="1">
        <v>12015.8662418</v>
      </c>
      <c r="L1026" s="1">
        <v>3002.5760563600002</v>
      </c>
      <c r="M1026" s="1" t="s">
        <v>198</v>
      </c>
      <c r="N1026" s="1" t="b">
        <v>1</v>
      </c>
    </row>
    <row r="1027" spans="1:14" ht="19" customHeight="1" x14ac:dyDescent="0.3">
      <c r="A1027">
        <v>1022</v>
      </c>
      <c r="B1027" s="1">
        <v>4</v>
      </c>
      <c r="C1027" s="1">
        <v>70</v>
      </c>
      <c r="D1027" s="1">
        <v>5.5E-2</v>
      </c>
      <c r="E1027" s="1">
        <v>8.5000000000000006E-2</v>
      </c>
      <c r="F1027" s="1">
        <v>-5</v>
      </c>
      <c r="G1027" s="1">
        <v>1</v>
      </c>
      <c r="H1027" s="1">
        <v>1.1081148511500001</v>
      </c>
      <c r="I1027" s="1">
        <v>1.1707241476400001</v>
      </c>
      <c r="J1027" s="1">
        <v>0.54690820296300002</v>
      </c>
      <c r="K1027" s="1">
        <v>10259.048317700001</v>
      </c>
      <c r="L1027" s="1">
        <v>2462.1123662099999</v>
      </c>
      <c r="M1027" s="1" t="s">
        <v>198</v>
      </c>
      <c r="N1027" s="1" t="b">
        <v>1</v>
      </c>
    </row>
    <row r="1028" spans="1:14" ht="19" customHeight="1" x14ac:dyDescent="0.3">
      <c r="A1028">
        <v>1023</v>
      </c>
      <c r="B1028" s="1">
        <v>4</v>
      </c>
      <c r="C1028" s="1">
        <v>70</v>
      </c>
      <c r="D1028" s="1">
        <v>5.5E-2</v>
      </c>
      <c r="E1028" s="1">
        <v>8.5000000000000006E-2</v>
      </c>
      <c r="F1028" s="1">
        <v>0</v>
      </c>
      <c r="G1028" s="1">
        <v>0</v>
      </c>
      <c r="H1028" s="1">
        <v>1.1333300424499999</v>
      </c>
      <c r="I1028" s="1">
        <v>1.5964853541599999</v>
      </c>
      <c r="J1028" s="1">
        <v>0.659461223125</v>
      </c>
      <c r="K1028" s="1">
        <v>12289.287688599999</v>
      </c>
      <c r="L1028" s="1">
        <v>2968.8119938599998</v>
      </c>
      <c r="M1028" s="1" t="s">
        <v>198</v>
      </c>
      <c r="N1028" s="1" t="b">
        <v>1</v>
      </c>
    </row>
    <row r="1029" spans="1:14" ht="19" customHeight="1" x14ac:dyDescent="0.3">
      <c r="A1029">
        <v>1024</v>
      </c>
      <c r="B1029" s="1">
        <v>4</v>
      </c>
      <c r="C1029" s="1">
        <v>70</v>
      </c>
      <c r="D1029" s="1">
        <v>5.5E-2</v>
      </c>
      <c r="E1029" s="1">
        <v>8.5000000000000006E-2</v>
      </c>
      <c r="F1029" s="1">
        <v>0</v>
      </c>
      <c r="G1029" s="1">
        <v>1</v>
      </c>
      <c r="H1029" s="1">
        <v>1.1333300424499999</v>
      </c>
      <c r="I1029" s="1">
        <v>1.1973640156200001</v>
      </c>
      <c r="J1029" s="1">
        <v>0.54075820296300003</v>
      </c>
      <c r="K1029" s="1">
        <v>10492.4933127</v>
      </c>
      <c r="L1029" s="1">
        <v>2434.42583496</v>
      </c>
      <c r="M1029" s="1" t="s">
        <v>198</v>
      </c>
      <c r="N1029" s="1" t="b">
        <v>1</v>
      </c>
    </row>
    <row r="1030" spans="1:14" ht="19" customHeight="1" x14ac:dyDescent="0.3">
      <c r="A1030">
        <v>1025</v>
      </c>
      <c r="B1030" s="1">
        <v>4</v>
      </c>
      <c r="C1030" s="1">
        <v>70</v>
      </c>
      <c r="D1030" s="1">
        <v>5.5E-2</v>
      </c>
      <c r="E1030" s="1">
        <v>8.5000000000000006E-2</v>
      </c>
      <c r="F1030" s="1">
        <v>5</v>
      </c>
      <c r="G1030" s="1">
        <v>0</v>
      </c>
      <c r="H1030" s="1">
        <v>1.1081148511500001</v>
      </c>
      <c r="I1030" s="1">
        <v>1.5609655301900001</v>
      </c>
      <c r="J1030" s="1">
        <v>0.66696122312499995</v>
      </c>
      <c r="K1030" s="1">
        <v>12015.8662418</v>
      </c>
      <c r="L1030" s="1">
        <v>3002.5760563600002</v>
      </c>
      <c r="M1030" s="1" t="s">
        <v>198</v>
      </c>
      <c r="N1030" s="1" t="b">
        <v>1</v>
      </c>
    </row>
    <row r="1031" spans="1:14" ht="19" customHeight="1" x14ac:dyDescent="0.3">
      <c r="A1031">
        <v>1026</v>
      </c>
      <c r="B1031" s="1">
        <v>4</v>
      </c>
      <c r="C1031" s="1">
        <v>70</v>
      </c>
      <c r="D1031" s="1">
        <v>5.5E-2</v>
      </c>
      <c r="E1031" s="1">
        <v>8.5000000000000006E-2</v>
      </c>
      <c r="F1031" s="1">
        <v>5</v>
      </c>
      <c r="G1031" s="1">
        <v>1</v>
      </c>
      <c r="H1031" s="1">
        <v>1.1081148511500001</v>
      </c>
      <c r="I1031" s="1">
        <v>1.1707241476400001</v>
      </c>
      <c r="J1031" s="1">
        <v>0.54690820296300002</v>
      </c>
      <c r="K1031" s="1">
        <v>10259.048317700001</v>
      </c>
      <c r="L1031" s="1">
        <v>2462.1123662099999</v>
      </c>
      <c r="M1031" s="1" t="s">
        <v>198</v>
      </c>
      <c r="N1031" s="1" t="b">
        <v>1</v>
      </c>
    </row>
    <row r="1032" spans="1:14" ht="19" customHeight="1" x14ac:dyDescent="0.3">
      <c r="A1032">
        <v>1027</v>
      </c>
      <c r="B1032" s="1">
        <v>4</v>
      </c>
      <c r="C1032" s="1">
        <v>90</v>
      </c>
      <c r="D1032" s="1">
        <v>2.5000000000000001E-2</v>
      </c>
      <c r="E1032" s="1">
        <v>0.04</v>
      </c>
      <c r="F1032" s="1">
        <v>-5</v>
      </c>
      <c r="G1032" s="1">
        <v>0</v>
      </c>
      <c r="H1032" s="1">
        <v>1.2850160855699999</v>
      </c>
      <c r="I1032" s="1">
        <v>1.82631738182</v>
      </c>
      <c r="J1032" s="1">
        <v>0.68279230308000005</v>
      </c>
      <c r="K1032" s="1">
        <v>23154.154747600001</v>
      </c>
      <c r="L1032" s="1">
        <v>5081.2549704800003</v>
      </c>
      <c r="M1032" s="1" t="s">
        <v>198</v>
      </c>
      <c r="N1032" s="1" t="b">
        <v>1</v>
      </c>
    </row>
    <row r="1033" spans="1:14" ht="19" customHeight="1" x14ac:dyDescent="0.3">
      <c r="A1033">
        <v>1028</v>
      </c>
      <c r="B1033" s="1">
        <v>4</v>
      </c>
      <c r="C1033" s="1">
        <v>90</v>
      </c>
      <c r="D1033" s="1">
        <v>2.5000000000000001E-2</v>
      </c>
      <c r="E1033" s="1">
        <v>0.04</v>
      </c>
      <c r="F1033" s="1">
        <v>-5</v>
      </c>
      <c r="G1033" s="1">
        <v>1</v>
      </c>
      <c r="H1033" s="1">
        <v>1.2850160855699999</v>
      </c>
      <c r="I1033" s="1">
        <v>1.36973803636</v>
      </c>
      <c r="J1033" s="1">
        <v>0.55988968852499998</v>
      </c>
      <c r="K1033" s="1">
        <v>19756.348331100002</v>
      </c>
      <c r="L1033" s="1">
        <v>4166.6290757899997</v>
      </c>
      <c r="M1033" s="1" t="s">
        <v>198</v>
      </c>
      <c r="N1033" s="1" t="b">
        <v>1</v>
      </c>
    </row>
    <row r="1034" spans="1:14" ht="19" customHeight="1" x14ac:dyDescent="0.3">
      <c r="A1034">
        <v>1029</v>
      </c>
      <c r="B1034" s="1">
        <v>4</v>
      </c>
      <c r="C1034" s="1">
        <v>90</v>
      </c>
      <c r="D1034" s="1">
        <v>2.5000000000000001E-2</v>
      </c>
      <c r="E1034" s="1">
        <v>0.04</v>
      </c>
      <c r="F1034" s="1">
        <v>0</v>
      </c>
      <c r="G1034" s="1">
        <v>0</v>
      </c>
      <c r="H1034" s="1">
        <v>1.3142566704900001</v>
      </c>
      <c r="I1034" s="1">
        <v>1.86787529623</v>
      </c>
      <c r="J1034" s="1">
        <v>0.67529230307999999</v>
      </c>
      <c r="K1034" s="1">
        <v>23681.0283299</v>
      </c>
      <c r="L1034" s="1">
        <v>5025.4409079799998</v>
      </c>
      <c r="M1034" s="1" t="s">
        <v>198</v>
      </c>
      <c r="N1034" s="1" t="b">
        <v>1</v>
      </c>
    </row>
    <row r="1035" spans="1:14" ht="19" customHeight="1" x14ac:dyDescent="0.3">
      <c r="A1035">
        <v>1030</v>
      </c>
      <c r="B1035" s="1">
        <v>4</v>
      </c>
      <c r="C1035" s="1">
        <v>90</v>
      </c>
      <c r="D1035" s="1">
        <v>2.5000000000000001E-2</v>
      </c>
      <c r="E1035" s="1">
        <v>0.04</v>
      </c>
      <c r="F1035" s="1">
        <v>0</v>
      </c>
      <c r="G1035" s="1">
        <v>1</v>
      </c>
      <c r="H1035" s="1">
        <v>1.3142566704900001</v>
      </c>
      <c r="I1035" s="1">
        <v>1.40090647218</v>
      </c>
      <c r="J1035" s="1">
        <v>0.553739688525</v>
      </c>
      <c r="K1035" s="1">
        <v>20205.904712399999</v>
      </c>
      <c r="L1035" s="1">
        <v>4120.8615445400001</v>
      </c>
      <c r="M1035" s="1" t="s">
        <v>198</v>
      </c>
      <c r="N1035" s="1" t="b">
        <v>1</v>
      </c>
    </row>
    <row r="1036" spans="1:14" ht="19" customHeight="1" x14ac:dyDescent="0.3">
      <c r="A1036">
        <v>1031</v>
      </c>
      <c r="B1036" s="1">
        <v>4</v>
      </c>
      <c r="C1036" s="1">
        <v>90</v>
      </c>
      <c r="D1036" s="1">
        <v>2.5000000000000001E-2</v>
      </c>
      <c r="E1036" s="1">
        <v>0.04</v>
      </c>
      <c r="F1036" s="1">
        <v>5</v>
      </c>
      <c r="G1036" s="1">
        <v>0</v>
      </c>
      <c r="H1036" s="1">
        <v>1.2850160855699999</v>
      </c>
      <c r="I1036" s="1">
        <v>1.82631738182</v>
      </c>
      <c r="J1036" s="1">
        <v>0.68279230308000005</v>
      </c>
      <c r="K1036" s="1">
        <v>23154.154747600001</v>
      </c>
      <c r="L1036" s="1">
        <v>5081.2549704800003</v>
      </c>
      <c r="M1036" s="1" t="s">
        <v>198</v>
      </c>
      <c r="N1036" s="1" t="b">
        <v>1</v>
      </c>
    </row>
    <row r="1037" spans="1:14" ht="19" customHeight="1" x14ac:dyDescent="0.3">
      <c r="A1037">
        <v>1032</v>
      </c>
      <c r="B1037" s="1">
        <v>4</v>
      </c>
      <c r="C1037" s="1">
        <v>90</v>
      </c>
      <c r="D1037" s="1">
        <v>2.5000000000000001E-2</v>
      </c>
      <c r="E1037" s="1">
        <v>0.04</v>
      </c>
      <c r="F1037" s="1">
        <v>5</v>
      </c>
      <c r="G1037" s="1">
        <v>1</v>
      </c>
      <c r="H1037" s="1">
        <v>1.2850160855699999</v>
      </c>
      <c r="I1037" s="1">
        <v>1.36973803636</v>
      </c>
      <c r="J1037" s="1">
        <v>0.55988968852499998</v>
      </c>
      <c r="K1037" s="1">
        <v>19756.348331100002</v>
      </c>
      <c r="L1037" s="1">
        <v>4166.6290757899997</v>
      </c>
      <c r="M1037" s="1" t="s">
        <v>198</v>
      </c>
      <c r="N1037" s="1" t="b">
        <v>1</v>
      </c>
    </row>
    <row r="1038" spans="1:14" ht="19" customHeight="1" x14ac:dyDescent="0.3">
      <c r="A1038">
        <v>1033</v>
      </c>
      <c r="B1038" s="1">
        <v>4</v>
      </c>
      <c r="C1038" s="1">
        <v>90</v>
      </c>
      <c r="D1038" s="1">
        <v>2.5000000000000001E-2</v>
      </c>
      <c r="E1038" s="1">
        <v>0.06</v>
      </c>
      <c r="F1038" s="1">
        <v>-5</v>
      </c>
      <c r="G1038" s="1">
        <v>0</v>
      </c>
      <c r="H1038" s="1">
        <v>1.3256310992</v>
      </c>
      <c r="I1038" s="1">
        <v>1.8872399022699999</v>
      </c>
      <c r="J1038" s="1">
        <v>0.68642698392500001</v>
      </c>
      <c r="K1038" s="1">
        <v>23909.784384099999</v>
      </c>
      <c r="L1038" s="1">
        <v>5108.3038109899999</v>
      </c>
      <c r="M1038" s="1" t="s">
        <v>198</v>
      </c>
      <c r="N1038" s="1" t="b">
        <v>1</v>
      </c>
    </row>
    <row r="1039" spans="1:14" ht="19" customHeight="1" x14ac:dyDescent="0.3">
      <c r="A1039">
        <v>1034</v>
      </c>
      <c r="B1039" s="1">
        <v>4</v>
      </c>
      <c r="C1039" s="1">
        <v>90</v>
      </c>
      <c r="D1039" s="1">
        <v>2.5000000000000001E-2</v>
      </c>
      <c r="E1039" s="1">
        <v>0.06</v>
      </c>
      <c r="F1039" s="1">
        <v>-5</v>
      </c>
      <c r="G1039" s="1">
        <v>1</v>
      </c>
      <c r="H1039" s="1">
        <v>1.3256310992</v>
      </c>
      <c r="I1039" s="1">
        <v>1.4154299266999999</v>
      </c>
      <c r="J1039" s="1">
        <v>0.56287012681799997</v>
      </c>
      <c r="K1039" s="1">
        <v>20398.633522100001</v>
      </c>
      <c r="L1039" s="1">
        <v>4188.8091250199996</v>
      </c>
      <c r="M1039" s="1" t="s">
        <v>198</v>
      </c>
      <c r="N1039" s="1" t="b">
        <v>1</v>
      </c>
    </row>
    <row r="1040" spans="1:14" ht="19" customHeight="1" x14ac:dyDescent="0.3">
      <c r="A1040">
        <v>1035</v>
      </c>
      <c r="B1040" s="1">
        <v>4</v>
      </c>
      <c r="C1040" s="1">
        <v>90</v>
      </c>
      <c r="D1040" s="1">
        <v>2.5000000000000001E-2</v>
      </c>
      <c r="E1040" s="1">
        <v>0.06</v>
      </c>
      <c r="F1040" s="1">
        <v>0</v>
      </c>
      <c r="G1040" s="1">
        <v>0</v>
      </c>
      <c r="H1040" s="1">
        <v>1.3557958801500001</v>
      </c>
      <c r="I1040" s="1">
        <v>1.93018411072</v>
      </c>
      <c r="J1040" s="1">
        <v>0.67892698392499995</v>
      </c>
      <c r="K1040" s="1">
        <v>24453.8523446</v>
      </c>
      <c r="L1040" s="1">
        <v>5052.4897484900002</v>
      </c>
      <c r="M1040" s="1" t="s">
        <v>198</v>
      </c>
      <c r="N1040" s="1" t="b">
        <v>1</v>
      </c>
    </row>
    <row r="1041" spans="1:14" ht="19" customHeight="1" x14ac:dyDescent="0.3">
      <c r="A1041">
        <v>1036</v>
      </c>
      <c r="B1041" s="1">
        <v>4</v>
      </c>
      <c r="C1041" s="1">
        <v>90</v>
      </c>
      <c r="D1041" s="1">
        <v>2.5000000000000001E-2</v>
      </c>
      <c r="E1041" s="1">
        <v>0.06</v>
      </c>
      <c r="F1041" s="1">
        <v>0</v>
      </c>
      <c r="G1041" s="1">
        <v>1</v>
      </c>
      <c r="H1041" s="1">
        <v>1.3557958801500001</v>
      </c>
      <c r="I1041" s="1">
        <v>1.44763808304</v>
      </c>
      <c r="J1041" s="1">
        <v>0.55672012681799998</v>
      </c>
      <c r="K1041" s="1">
        <v>20862.805124800001</v>
      </c>
      <c r="L1041" s="1">
        <v>4143.04159377</v>
      </c>
      <c r="M1041" s="1" t="s">
        <v>198</v>
      </c>
      <c r="N1041" s="1" t="b">
        <v>1</v>
      </c>
    </row>
    <row r="1042" spans="1:14" ht="19" customHeight="1" x14ac:dyDescent="0.3">
      <c r="A1042">
        <v>1037</v>
      </c>
      <c r="B1042" s="1">
        <v>4</v>
      </c>
      <c r="C1042" s="1">
        <v>90</v>
      </c>
      <c r="D1042" s="1">
        <v>2.5000000000000001E-2</v>
      </c>
      <c r="E1042" s="1">
        <v>0.06</v>
      </c>
      <c r="F1042" s="1">
        <v>5</v>
      </c>
      <c r="G1042" s="1">
        <v>0</v>
      </c>
      <c r="H1042" s="1">
        <v>1.3256310992</v>
      </c>
      <c r="I1042" s="1">
        <v>1.8872399022699999</v>
      </c>
      <c r="J1042" s="1">
        <v>0.68642698392500001</v>
      </c>
      <c r="K1042" s="1">
        <v>23909.784384099999</v>
      </c>
      <c r="L1042" s="1">
        <v>5108.3038109899999</v>
      </c>
      <c r="M1042" s="1" t="s">
        <v>198</v>
      </c>
      <c r="N1042" s="1" t="b">
        <v>1</v>
      </c>
    </row>
    <row r="1043" spans="1:14" ht="19" customHeight="1" x14ac:dyDescent="0.3">
      <c r="A1043">
        <v>1038</v>
      </c>
      <c r="B1043" s="1">
        <v>4</v>
      </c>
      <c r="C1043" s="1">
        <v>90</v>
      </c>
      <c r="D1043" s="1">
        <v>2.5000000000000001E-2</v>
      </c>
      <c r="E1043" s="1">
        <v>0.06</v>
      </c>
      <c r="F1043" s="1">
        <v>5</v>
      </c>
      <c r="G1043" s="1">
        <v>1</v>
      </c>
      <c r="H1043" s="1">
        <v>1.3256310992</v>
      </c>
      <c r="I1043" s="1">
        <v>1.4154299266999999</v>
      </c>
      <c r="J1043" s="1">
        <v>0.56287012681799997</v>
      </c>
      <c r="K1043" s="1">
        <v>20398.633522100001</v>
      </c>
      <c r="L1043" s="1">
        <v>4188.8091250199996</v>
      </c>
      <c r="M1043" s="1" t="s">
        <v>198</v>
      </c>
      <c r="N1043" s="1" t="b">
        <v>1</v>
      </c>
    </row>
    <row r="1044" spans="1:14" ht="19" customHeight="1" x14ac:dyDescent="0.3">
      <c r="A1044">
        <v>1039</v>
      </c>
      <c r="B1044" s="1">
        <v>4</v>
      </c>
      <c r="C1044" s="1">
        <v>90</v>
      </c>
      <c r="D1044" s="1">
        <v>2.5000000000000001E-2</v>
      </c>
      <c r="E1044" s="1">
        <v>8.5000000000000006E-2</v>
      </c>
      <c r="F1044" s="1">
        <v>-5</v>
      </c>
      <c r="G1044" s="1">
        <v>0</v>
      </c>
      <c r="H1044" s="1">
        <v>1.2217995902600001</v>
      </c>
      <c r="I1044" s="1">
        <v>1.73149263885</v>
      </c>
      <c r="J1044" s="1">
        <v>0.67713499155800005</v>
      </c>
      <c r="K1044" s="1">
        <v>21978.031607500001</v>
      </c>
      <c r="L1044" s="1">
        <v>5039.1539653</v>
      </c>
      <c r="M1044" s="1" t="s">
        <v>198</v>
      </c>
      <c r="N1044" s="1" t="b">
        <v>1</v>
      </c>
    </row>
    <row r="1045" spans="1:14" ht="19" customHeight="1" x14ac:dyDescent="0.3">
      <c r="A1045">
        <v>1040</v>
      </c>
      <c r="B1045" s="1">
        <v>4</v>
      </c>
      <c r="C1045" s="1">
        <v>90</v>
      </c>
      <c r="D1045" s="1">
        <v>2.5000000000000001E-2</v>
      </c>
      <c r="E1045" s="1">
        <v>8.5000000000000006E-2</v>
      </c>
      <c r="F1045" s="1">
        <v>-5</v>
      </c>
      <c r="G1045" s="1">
        <v>1</v>
      </c>
      <c r="H1045" s="1">
        <v>1.2217995902600001</v>
      </c>
      <c r="I1045" s="1">
        <v>1.2986194791400001</v>
      </c>
      <c r="J1045" s="1">
        <v>0.55525069307700003</v>
      </c>
      <c r="K1045" s="1">
        <v>18756.643662099999</v>
      </c>
      <c r="L1045" s="1">
        <v>4132.1062515499998</v>
      </c>
      <c r="M1045" s="1" t="s">
        <v>198</v>
      </c>
      <c r="N1045" s="1" t="b">
        <v>1</v>
      </c>
    </row>
    <row r="1046" spans="1:14" ht="19" customHeight="1" x14ac:dyDescent="0.3">
      <c r="A1046">
        <v>1041</v>
      </c>
      <c r="B1046" s="1">
        <v>4</v>
      </c>
      <c r="C1046" s="1">
        <v>90</v>
      </c>
      <c r="D1046" s="1">
        <v>2.5000000000000001E-2</v>
      </c>
      <c r="E1046" s="1">
        <v>8.5000000000000006E-2</v>
      </c>
      <c r="F1046" s="1">
        <v>0</v>
      </c>
      <c r="G1046" s="1">
        <v>0</v>
      </c>
      <c r="H1046" s="1">
        <v>1.24960168168</v>
      </c>
      <c r="I1046" s="1">
        <v>1.7708928130099999</v>
      </c>
      <c r="J1046" s="1">
        <v>0.66963499155799999</v>
      </c>
      <c r="K1046" s="1">
        <v>22478.142467599999</v>
      </c>
      <c r="L1046" s="1">
        <v>4983.3399028000003</v>
      </c>
      <c r="M1046" s="1" t="s">
        <v>198</v>
      </c>
      <c r="N1046" s="1" t="b">
        <v>1</v>
      </c>
    </row>
    <row r="1047" spans="1:14" ht="19" customHeight="1" x14ac:dyDescent="0.3">
      <c r="A1047">
        <v>1042</v>
      </c>
      <c r="B1047" s="1">
        <v>4</v>
      </c>
      <c r="C1047" s="1">
        <v>90</v>
      </c>
      <c r="D1047" s="1">
        <v>2.5000000000000001E-2</v>
      </c>
      <c r="E1047" s="1">
        <v>8.5000000000000006E-2</v>
      </c>
      <c r="F1047" s="1">
        <v>0</v>
      </c>
      <c r="G1047" s="1">
        <v>1</v>
      </c>
      <c r="H1047" s="1">
        <v>1.24960168168</v>
      </c>
      <c r="I1047" s="1">
        <v>1.32816960975</v>
      </c>
      <c r="J1047" s="1">
        <v>0.54910069307700005</v>
      </c>
      <c r="K1047" s="1">
        <v>19183.4517294</v>
      </c>
      <c r="L1047" s="1">
        <v>4086.3387203000002</v>
      </c>
      <c r="M1047" s="1" t="s">
        <v>198</v>
      </c>
      <c r="N1047" s="1" t="b">
        <v>1</v>
      </c>
    </row>
    <row r="1048" spans="1:14" ht="19" customHeight="1" x14ac:dyDescent="0.3">
      <c r="A1048">
        <v>1043</v>
      </c>
      <c r="B1048" s="1">
        <v>4</v>
      </c>
      <c r="C1048" s="1">
        <v>90</v>
      </c>
      <c r="D1048" s="1">
        <v>2.5000000000000001E-2</v>
      </c>
      <c r="E1048" s="1">
        <v>8.5000000000000006E-2</v>
      </c>
      <c r="F1048" s="1">
        <v>5</v>
      </c>
      <c r="G1048" s="1">
        <v>0</v>
      </c>
      <c r="H1048" s="1">
        <v>1.2217995902600001</v>
      </c>
      <c r="I1048" s="1">
        <v>1.73149263885</v>
      </c>
      <c r="J1048" s="1">
        <v>0.67713499155800005</v>
      </c>
      <c r="K1048" s="1">
        <v>21978.031607500001</v>
      </c>
      <c r="L1048" s="1">
        <v>5039.1539653</v>
      </c>
      <c r="M1048" s="1" t="s">
        <v>198</v>
      </c>
      <c r="N1048" s="1" t="b">
        <v>1</v>
      </c>
    </row>
    <row r="1049" spans="1:14" ht="19" customHeight="1" x14ac:dyDescent="0.3">
      <c r="A1049">
        <v>1044</v>
      </c>
      <c r="B1049" s="1">
        <v>4</v>
      </c>
      <c r="C1049" s="1">
        <v>90</v>
      </c>
      <c r="D1049" s="1">
        <v>2.5000000000000001E-2</v>
      </c>
      <c r="E1049" s="1">
        <v>8.5000000000000006E-2</v>
      </c>
      <c r="F1049" s="1">
        <v>5</v>
      </c>
      <c r="G1049" s="1">
        <v>1</v>
      </c>
      <c r="H1049" s="1">
        <v>1.2217995902600001</v>
      </c>
      <c r="I1049" s="1">
        <v>1.2986194791400001</v>
      </c>
      <c r="J1049" s="1">
        <v>0.55525069307700003</v>
      </c>
      <c r="K1049" s="1">
        <v>18756.643662099999</v>
      </c>
      <c r="L1049" s="1">
        <v>4132.1062515499998</v>
      </c>
      <c r="M1049" s="1" t="s">
        <v>198</v>
      </c>
      <c r="N1049" s="1" t="b">
        <v>1</v>
      </c>
    </row>
    <row r="1050" spans="1:14" ht="19" customHeight="1" x14ac:dyDescent="0.3">
      <c r="A1050">
        <v>1045</v>
      </c>
      <c r="B1050" s="1">
        <v>4</v>
      </c>
      <c r="C1050" s="1">
        <v>90</v>
      </c>
      <c r="D1050" s="1">
        <v>0.04</v>
      </c>
      <c r="E1050" s="1">
        <v>0.04</v>
      </c>
      <c r="F1050" s="1">
        <v>-5</v>
      </c>
      <c r="G1050" s="1">
        <v>0</v>
      </c>
      <c r="H1050" s="1">
        <v>1.29100489902</v>
      </c>
      <c r="I1050" s="1">
        <v>1.835300602</v>
      </c>
      <c r="J1050" s="1">
        <v>0.68332824837600004</v>
      </c>
      <c r="K1050" s="1">
        <v>23265.574750399999</v>
      </c>
      <c r="L1050" s="1">
        <v>5085.2434083899998</v>
      </c>
      <c r="M1050" s="1" t="s">
        <v>198</v>
      </c>
      <c r="N1050" s="1" t="b">
        <v>1</v>
      </c>
    </row>
    <row r="1051" spans="1:14" ht="19" customHeight="1" x14ac:dyDescent="0.3">
      <c r="A1051">
        <v>1046</v>
      </c>
      <c r="B1051" s="1">
        <v>4</v>
      </c>
      <c r="C1051" s="1">
        <v>90</v>
      </c>
      <c r="D1051" s="1">
        <v>0.04</v>
      </c>
      <c r="E1051" s="1">
        <v>0.04</v>
      </c>
      <c r="F1051" s="1">
        <v>-5</v>
      </c>
      <c r="G1051" s="1">
        <v>1</v>
      </c>
      <c r="H1051" s="1">
        <v>1.29100489902</v>
      </c>
      <c r="I1051" s="1">
        <v>1.3764754514999999</v>
      </c>
      <c r="J1051" s="1">
        <v>0.56032916366899999</v>
      </c>
      <c r="K1051" s="1">
        <v>19851.0553335</v>
      </c>
      <c r="L1051" s="1">
        <v>4169.8995948800002</v>
      </c>
      <c r="M1051" s="1" t="s">
        <v>198</v>
      </c>
      <c r="N1051" s="1" t="b">
        <v>1</v>
      </c>
    </row>
    <row r="1052" spans="1:14" ht="19" customHeight="1" x14ac:dyDescent="0.3">
      <c r="A1052">
        <v>1047</v>
      </c>
      <c r="B1052" s="1">
        <v>4</v>
      </c>
      <c r="C1052" s="1">
        <v>90</v>
      </c>
      <c r="D1052" s="1">
        <v>0.04</v>
      </c>
      <c r="E1052" s="1">
        <v>0.04</v>
      </c>
      <c r="F1052" s="1">
        <v>0</v>
      </c>
      <c r="G1052" s="1">
        <v>0</v>
      </c>
      <c r="H1052" s="1">
        <v>1.3203817596</v>
      </c>
      <c r="I1052" s="1">
        <v>1.8770629298999999</v>
      </c>
      <c r="J1052" s="1">
        <v>0.67582824837599997</v>
      </c>
      <c r="K1052" s="1">
        <v>23794.983698700002</v>
      </c>
      <c r="L1052" s="1">
        <v>5029.4293458900001</v>
      </c>
      <c r="M1052" s="1" t="s">
        <v>198</v>
      </c>
      <c r="N1052" s="1" t="b">
        <v>1</v>
      </c>
    </row>
    <row r="1053" spans="1:14" ht="19" customHeight="1" x14ac:dyDescent="0.3">
      <c r="A1053">
        <v>1048</v>
      </c>
      <c r="B1053" s="1">
        <v>4</v>
      </c>
      <c r="C1053" s="1">
        <v>90</v>
      </c>
      <c r="D1053" s="1">
        <v>0.04</v>
      </c>
      <c r="E1053" s="1">
        <v>0.04</v>
      </c>
      <c r="F1053" s="1">
        <v>0</v>
      </c>
      <c r="G1053" s="1">
        <v>1</v>
      </c>
      <c r="H1053" s="1">
        <v>1.3203817596</v>
      </c>
      <c r="I1053" s="1">
        <v>1.4077971974200001</v>
      </c>
      <c r="J1053" s="1">
        <v>0.554179163669</v>
      </c>
      <c r="K1053" s="1">
        <v>20302.766775799999</v>
      </c>
      <c r="L1053" s="1">
        <v>4124.1320636299997</v>
      </c>
      <c r="M1053" s="1" t="s">
        <v>198</v>
      </c>
      <c r="N1053" s="1" t="b">
        <v>1</v>
      </c>
    </row>
    <row r="1054" spans="1:14" ht="19" customHeight="1" x14ac:dyDescent="0.3">
      <c r="A1054">
        <v>1049</v>
      </c>
      <c r="B1054" s="1">
        <v>4</v>
      </c>
      <c r="C1054" s="1">
        <v>90</v>
      </c>
      <c r="D1054" s="1">
        <v>0.04</v>
      </c>
      <c r="E1054" s="1">
        <v>0.04</v>
      </c>
      <c r="F1054" s="1">
        <v>5</v>
      </c>
      <c r="G1054" s="1">
        <v>0</v>
      </c>
      <c r="H1054" s="1">
        <v>1.29100489902</v>
      </c>
      <c r="I1054" s="1">
        <v>1.835300602</v>
      </c>
      <c r="J1054" s="1">
        <v>0.68332824837600004</v>
      </c>
      <c r="K1054" s="1">
        <v>23265.574750399999</v>
      </c>
      <c r="L1054" s="1">
        <v>5085.2434083899998</v>
      </c>
      <c r="M1054" s="1" t="s">
        <v>198</v>
      </c>
      <c r="N1054" s="1" t="b">
        <v>1</v>
      </c>
    </row>
    <row r="1055" spans="1:14" ht="19" customHeight="1" x14ac:dyDescent="0.3">
      <c r="A1055">
        <v>1050</v>
      </c>
      <c r="B1055" s="1">
        <v>4</v>
      </c>
      <c r="C1055" s="1">
        <v>90</v>
      </c>
      <c r="D1055" s="1">
        <v>0.04</v>
      </c>
      <c r="E1055" s="1">
        <v>0.04</v>
      </c>
      <c r="F1055" s="1">
        <v>5</v>
      </c>
      <c r="G1055" s="1">
        <v>1</v>
      </c>
      <c r="H1055" s="1">
        <v>1.29100489902</v>
      </c>
      <c r="I1055" s="1">
        <v>1.3764754514999999</v>
      </c>
      <c r="J1055" s="1">
        <v>0.56032916366899999</v>
      </c>
      <c r="K1055" s="1">
        <v>19851.0553335</v>
      </c>
      <c r="L1055" s="1">
        <v>4169.8995948800002</v>
      </c>
      <c r="M1055" s="1" t="s">
        <v>198</v>
      </c>
      <c r="N1055" s="1" t="b">
        <v>1</v>
      </c>
    </row>
    <row r="1056" spans="1:14" ht="19" customHeight="1" x14ac:dyDescent="0.3">
      <c r="A1056">
        <v>1051</v>
      </c>
      <c r="B1056" s="1">
        <v>4</v>
      </c>
      <c r="C1056" s="1">
        <v>90</v>
      </c>
      <c r="D1056" s="1">
        <v>0.04</v>
      </c>
      <c r="E1056" s="1">
        <v>0.06</v>
      </c>
      <c r="F1056" s="1">
        <v>-5</v>
      </c>
      <c r="G1056" s="1">
        <v>0</v>
      </c>
      <c r="H1056" s="1">
        <v>1.3322007145799999</v>
      </c>
      <c r="I1056" s="1">
        <v>1.8970943253300001</v>
      </c>
      <c r="J1056" s="1">
        <v>0.68701490580400004</v>
      </c>
      <c r="K1056" s="1">
        <v>24032.0100251</v>
      </c>
      <c r="L1056" s="1">
        <v>5112.6790521299999</v>
      </c>
      <c r="M1056" s="1" t="s">
        <v>198</v>
      </c>
      <c r="N1056" s="1" t="b">
        <v>1</v>
      </c>
    </row>
    <row r="1057" spans="1:14" ht="19" customHeight="1" x14ac:dyDescent="0.3">
      <c r="A1057">
        <v>1052</v>
      </c>
      <c r="B1057" s="1">
        <v>4</v>
      </c>
      <c r="C1057" s="1">
        <v>90</v>
      </c>
      <c r="D1057" s="1">
        <v>0.04</v>
      </c>
      <c r="E1057" s="1">
        <v>0.06</v>
      </c>
      <c r="F1057" s="1">
        <v>-5</v>
      </c>
      <c r="G1057" s="1">
        <v>1</v>
      </c>
      <c r="H1057" s="1">
        <v>1.3322007145799999</v>
      </c>
      <c r="I1057" s="1">
        <v>1.422820744</v>
      </c>
      <c r="J1057" s="1">
        <v>0.56335222275999997</v>
      </c>
      <c r="K1057" s="1">
        <v>20502.525317</v>
      </c>
      <c r="L1057" s="1">
        <v>4192.39682275</v>
      </c>
      <c r="M1057" s="1" t="s">
        <v>198</v>
      </c>
      <c r="N1057" s="1" t="b">
        <v>1</v>
      </c>
    </row>
    <row r="1058" spans="1:14" ht="19" customHeight="1" x14ac:dyDescent="0.3">
      <c r="A1058">
        <v>1053</v>
      </c>
      <c r="B1058" s="1">
        <v>4</v>
      </c>
      <c r="C1058" s="1">
        <v>90</v>
      </c>
      <c r="D1058" s="1">
        <v>0.04</v>
      </c>
      <c r="E1058" s="1">
        <v>0.06</v>
      </c>
      <c r="F1058" s="1">
        <v>0</v>
      </c>
      <c r="G1058" s="1">
        <v>0</v>
      </c>
      <c r="H1058" s="1">
        <v>1.36251498735</v>
      </c>
      <c r="I1058" s="1">
        <v>1.94026277152</v>
      </c>
      <c r="J1058" s="1">
        <v>0.67951490580399998</v>
      </c>
      <c r="K1058" s="1">
        <v>24578.859234299998</v>
      </c>
      <c r="L1058" s="1">
        <v>5056.8649896300003</v>
      </c>
      <c r="M1058" s="1" t="s">
        <v>198</v>
      </c>
      <c r="N1058" s="1" t="b">
        <v>1</v>
      </c>
    </row>
    <row r="1059" spans="1:14" ht="19" customHeight="1" x14ac:dyDescent="0.3">
      <c r="A1059">
        <v>1054</v>
      </c>
      <c r="B1059" s="1">
        <v>4</v>
      </c>
      <c r="C1059" s="1">
        <v>90</v>
      </c>
      <c r="D1059" s="1">
        <v>0.04</v>
      </c>
      <c r="E1059" s="1">
        <v>0.06</v>
      </c>
      <c r="F1059" s="1">
        <v>0</v>
      </c>
      <c r="G1059" s="1">
        <v>1</v>
      </c>
      <c r="H1059" s="1">
        <v>1.36251498735</v>
      </c>
      <c r="I1059" s="1">
        <v>1.4551970786399999</v>
      </c>
      <c r="J1059" s="1">
        <v>0.55720222275999998</v>
      </c>
      <c r="K1059" s="1">
        <v>20969.060981099999</v>
      </c>
      <c r="L1059" s="1">
        <v>4146.6292915000004</v>
      </c>
      <c r="M1059" s="1" t="s">
        <v>198</v>
      </c>
      <c r="N1059" s="1" t="b">
        <v>1</v>
      </c>
    </row>
    <row r="1060" spans="1:14" ht="19" customHeight="1" x14ac:dyDescent="0.3">
      <c r="A1060">
        <v>1055</v>
      </c>
      <c r="B1060" s="1">
        <v>4</v>
      </c>
      <c r="C1060" s="1">
        <v>90</v>
      </c>
      <c r="D1060" s="1">
        <v>0.04</v>
      </c>
      <c r="E1060" s="1">
        <v>0.06</v>
      </c>
      <c r="F1060" s="1">
        <v>5</v>
      </c>
      <c r="G1060" s="1">
        <v>0</v>
      </c>
      <c r="H1060" s="1">
        <v>1.3322007145799999</v>
      </c>
      <c r="I1060" s="1">
        <v>1.8970943253300001</v>
      </c>
      <c r="J1060" s="1">
        <v>0.68701490580400004</v>
      </c>
      <c r="K1060" s="1">
        <v>24032.0100251</v>
      </c>
      <c r="L1060" s="1">
        <v>5112.6790521299999</v>
      </c>
      <c r="M1060" s="1" t="s">
        <v>198</v>
      </c>
      <c r="N1060" s="1" t="b">
        <v>1</v>
      </c>
    </row>
    <row r="1061" spans="1:14" ht="19" customHeight="1" x14ac:dyDescent="0.3">
      <c r="A1061">
        <v>1056</v>
      </c>
      <c r="B1061" s="1">
        <v>4</v>
      </c>
      <c r="C1061" s="1">
        <v>90</v>
      </c>
      <c r="D1061" s="1">
        <v>0.04</v>
      </c>
      <c r="E1061" s="1">
        <v>0.06</v>
      </c>
      <c r="F1061" s="1">
        <v>5</v>
      </c>
      <c r="G1061" s="1">
        <v>1</v>
      </c>
      <c r="H1061" s="1">
        <v>1.3322007145799999</v>
      </c>
      <c r="I1061" s="1">
        <v>1.422820744</v>
      </c>
      <c r="J1061" s="1">
        <v>0.56335222275999997</v>
      </c>
      <c r="K1061" s="1">
        <v>20502.525317</v>
      </c>
      <c r="L1061" s="1">
        <v>4192.39682275</v>
      </c>
      <c r="M1061" s="1" t="s">
        <v>198</v>
      </c>
      <c r="N1061" s="1" t="b">
        <v>1</v>
      </c>
    </row>
    <row r="1062" spans="1:14" ht="19" customHeight="1" x14ac:dyDescent="0.3">
      <c r="A1062">
        <v>1057</v>
      </c>
      <c r="B1062" s="1">
        <v>4</v>
      </c>
      <c r="C1062" s="1">
        <v>90</v>
      </c>
      <c r="D1062" s="1">
        <v>0.04</v>
      </c>
      <c r="E1062" s="1">
        <v>8.5000000000000006E-2</v>
      </c>
      <c r="F1062" s="1">
        <v>-5</v>
      </c>
      <c r="G1062" s="1">
        <v>0</v>
      </c>
      <c r="H1062" s="1">
        <v>1.22688439658</v>
      </c>
      <c r="I1062" s="1">
        <v>1.7391198483400001</v>
      </c>
      <c r="J1062" s="1">
        <v>0.67759003629400005</v>
      </c>
      <c r="K1062" s="1">
        <v>22072.6328402</v>
      </c>
      <c r="L1062" s="1">
        <v>5042.5403513399997</v>
      </c>
      <c r="M1062" s="1" t="s">
        <v>198</v>
      </c>
      <c r="N1062" s="1" t="b">
        <v>1</v>
      </c>
    </row>
    <row r="1063" spans="1:14" ht="19" customHeight="1" x14ac:dyDescent="0.3">
      <c r="A1063">
        <v>1058</v>
      </c>
      <c r="B1063" s="1">
        <v>4</v>
      </c>
      <c r="C1063" s="1">
        <v>90</v>
      </c>
      <c r="D1063" s="1">
        <v>0.04</v>
      </c>
      <c r="E1063" s="1">
        <v>8.5000000000000006E-2</v>
      </c>
      <c r="F1063" s="1">
        <v>-5</v>
      </c>
      <c r="G1063" s="1">
        <v>1</v>
      </c>
      <c r="H1063" s="1">
        <v>1.22688439658</v>
      </c>
      <c r="I1063" s="1">
        <v>1.30433988625</v>
      </c>
      <c r="J1063" s="1">
        <v>0.555623829761</v>
      </c>
      <c r="K1063" s="1">
        <v>18837.054709799999</v>
      </c>
      <c r="L1063" s="1">
        <v>4134.8830881000004</v>
      </c>
      <c r="M1063" s="1" t="s">
        <v>198</v>
      </c>
      <c r="N1063" s="1" t="b">
        <v>1</v>
      </c>
    </row>
    <row r="1064" spans="1:14" ht="19" customHeight="1" x14ac:dyDescent="0.3">
      <c r="A1064">
        <v>1059</v>
      </c>
      <c r="B1064" s="1">
        <v>4</v>
      </c>
      <c r="C1064" s="1">
        <v>90</v>
      </c>
      <c r="D1064" s="1">
        <v>0.04</v>
      </c>
      <c r="E1064" s="1">
        <v>8.5000000000000006E-2</v>
      </c>
      <c r="F1064" s="1">
        <v>0</v>
      </c>
      <c r="G1064" s="1">
        <v>0</v>
      </c>
      <c r="H1064" s="1">
        <v>1.2548021929399999</v>
      </c>
      <c r="I1064" s="1">
        <v>1.7786935799000001</v>
      </c>
      <c r="J1064" s="1">
        <v>0.67009003629399999</v>
      </c>
      <c r="K1064" s="1">
        <v>22574.896354500001</v>
      </c>
      <c r="L1064" s="1">
        <v>4986.7262888400001</v>
      </c>
      <c r="M1064" s="1" t="s">
        <v>198</v>
      </c>
      <c r="N1064" s="1" t="b">
        <v>1</v>
      </c>
    </row>
    <row r="1065" spans="1:14" ht="19" customHeight="1" x14ac:dyDescent="0.3">
      <c r="A1065">
        <v>1060</v>
      </c>
      <c r="B1065" s="1">
        <v>4</v>
      </c>
      <c r="C1065" s="1">
        <v>90</v>
      </c>
      <c r="D1065" s="1">
        <v>0.04</v>
      </c>
      <c r="E1065" s="1">
        <v>8.5000000000000006E-2</v>
      </c>
      <c r="F1065" s="1">
        <v>0</v>
      </c>
      <c r="G1065" s="1">
        <v>1</v>
      </c>
      <c r="H1065" s="1">
        <v>1.2548021929399999</v>
      </c>
      <c r="I1065" s="1">
        <v>1.33402018493</v>
      </c>
      <c r="J1065" s="1">
        <v>0.54947382976100001</v>
      </c>
      <c r="K1065" s="1">
        <v>19265.6925333</v>
      </c>
      <c r="L1065" s="1">
        <v>4089.1155568499998</v>
      </c>
      <c r="M1065" s="1" t="s">
        <v>198</v>
      </c>
      <c r="N1065" s="1" t="b">
        <v>1</v>
      </c>
    </row>
    <row r="1066" spans="1:14" ht="19" customHeight="1" x14ac:dyDescent="0.3">
      <c r="A1066">
        <v>1061</v>
      </c>
      <c r="B1066" s="1">
        <v>4</v>
      </c>
      <c r="C1066" s="1">
        <v>90</v>
      </c>
      <c r="D1066" s="1">
        <v>0.04</v>
      </c>
      <c r="E1066" s="1">
        <v>8.5000000000000006E-2</v>
      </c>
      <c r="F1066" s="1">
        <v>5</v>
      </c>
      <c r="G1066" s="1">
        <v>0</v>
      </c>
      <c r="H1066" s="1">
        <v>1.22688439658</v>
      </c>
      <c r="I1066" s="1">
        <v>1.7391198483400001</v>
      </c>
      <c r="J1066" s="1">
        <v>0.67759003629400005</v>
      </c>
      <c r="K1066" s="1">
        <v>22072.6328402</v>
      </c>
      <c r="L1066" s="1">
        <v>5042.5403513399997</v>
      </c>
      <c r="M1066" s="1" t="s">
        <v>198</v>
      </c>
      <c r="N1066" s="1" t="b">
        <v>1</v>
      </c>
    </row>
    <row r="1067" spans="1:14" ht="19" customHeight="1" x14ac:dyDescent="0.3">
      <c r="A1067">
        <v>1062</v>
      </c>
      <c r="B1067" s="1">
        <v>4</v>
      </c>
      <c r="C1067" s="1">
        <v>90</v>
      </c>
      <c r="D1067" s="1">
        <v>0.04</v>
      </c>
      <c r="E1067" s="1">
        <v>8.5000000000000006E-2</v>
      </c>
      <c r="F1067" s="1">
        <v>5</v>
      </c>
      <c r="G1067" s="1">
        <v>1</v>
      </c>
      <c r="H1067" s="1">
        <v>1.22688439658</v>
      </c>
      <c r="I1067" s="1">
        <v>1.30433988625</v>
      </c>
      <c r="J1067" s="1">
        <v>0.555623829761</v>
      </c>
      <c r="K1067" s="1">
        <v>18837.054709799999</v>
      </c>
      <c r="L1067" s="1">
        <v>4134.8830881000004</v>
      </c>
      <c r="M1067" s="1" t="s">
        <v>198</v>
      </c>
      <c r="N1067" s="1" t="b">
        <v>1</v>
      </c>
    </row>
    <row r="1068" spans="1:14" ht="19" customHeight="1" x14ac:dyDescent="0.3">
      <c r="A1068">
        <v>1063</v>
      </c>
      <c r="B1068" s="1">
        <v>4</v>
      </c>
      <c r="C1068" s="1">
        <v>90</v>
      </c>
      <c r="D1068" s="1">
        <v>5.5E-2</v>
      </c>
      <c r="E1068" s="1">
        <v>0.04</v>
      </c>
      <c r="F1068" s="1">
        <v>-5</v>
      </c>
      <c r="G1068" s="1">
        <v>0</v>
      </c>
      <c r="H1068" s="1">
        <v>1.15111979696</v>
      </c>
      <c r="I1068" s="1">
        <v>1.6254729488999999</v>
      </c>
      <c r="J1068" s="1">
        <v>0.67080978154699999</v>
      </c>
      <c r="K1068" s="1">
        <v>20663.056140600002</v>
      </c>
      <c r="L1068" s="1">
        <v>4992.0825430499999</v>
      </c>
      <c r="M1068" s="1" t="s">
        <v>198</v>
      </c>
      <c r="N1068" s="1" t="b">
        <v>1</v>
      </c>
    </row>
    <row r="1069" spans="1:14" ht="19" customHeight="1" x14ac:dyDescent="0.3">
      <c r="A1069">
        <v>1064</v>
      </c>
      <c r="B1069" s="1">
        <v>4</v>
      </c>
      <c r="C1069" s="1">
        <v>90</v>
      </c>
      <c r="D1069" s="1">
        <v>5.5E-2</v>
      </c>
      <c r="E1069" s="1">
        <v>0.04</v>
      </c>
      <c r="F1069" s="1">
        <v>-5</v>
      </c>
      <c r="G1069" s="1">
        <v>1</v>
      </c>
      <c r="H1069" s="1">
        <v>1.15111979696</v>
      </c>
      <c r="I1069" s="1">
        <v>1.21910471168</v>
      </c>
      <c r="J1069" s="1">
        <v>0.55006402086799999</v>
      </c>
      <c r="K1069" s="1">
        <v>17638.914515199998</v>
      </c>
      <c r="L1069" s="1">
        <v>4093.5076853</v>
      </c>
      <c r="M1069" s="1" t="s">
        <v>198</v>
      </c>
      <c r="N1069" s="1" t="b">
        <v>1</v>
      </c>
    </row>
    <row r="1070" spans="1:14" ht="19" customHeight="1" x14ac:dyDescent="0.3">
      <c r="A1070">
        <v>1065</v>
      </c>
      <c r="B1070" s="1">
        <v>4</v>
      </c>
      <c r="C1070" s="1">
        <v>90</v>
      </c>
      <c r="D1070" s="1">
        <v>5.5E-2</v>
      </c>
      <c r="E1070" s="1">
        <v>0.04</v>
      </c>
      <c r="F1070" s="1">
        <v>0</v>
      </c>
      <c r="G1070" s="1">
        <v>0</v>
      </c>
      <c r="H1070" s="1">
        <v>1.1773135672599999</v>
      </c>
      <c r="I1070" s="1">
        <v>1.66246064139</v>
      </c>
      <c r="J1070" s="1">
        <v>0.66330978154700004</v>
      </c>
      <c r="K1070" s="1">
        <v>21133.244688999999</v>
      </c>
      <c r="L1070" s="1">
        <v>4936.2684805500003</v>
      </c>
      <c r="M1070" s="1" t="s">
        <v>198</v>
      </c>
      <c r="N1070" s="1" t="b">
        <v>1</v>
      </c>
    </row>
    <row r="1071" spans="1:14" ht="19" customHeight="1" x14ac:dyDescent="0.3">
      <c r="A1071">
        <v>1066</v>
      </c>
      <c r="B1071" s="1">
        <v>4</v>
      </c>
      <c r="C1071" s="1">
        <v>90</v>
      </c>
      <c r="D1071" s="1">
        <v>5.5E-2</v>
      </c>
      <c r="E1071" s="1">
        <v>0.04</v>
      </c>
      <c r="F1071" s="1">
        <v>0</v>
      </c>
      <c r="G1071" s="1">
        <v>1</v>
      </c>
      <c r="H1071" s="1">
        <v>1.1773135672599999</v>
      </c>
      <c r="I1071" s="1">
        <v>1.24684548104</v>
      </c>
      <c r="J1071" s="1">
        <v>0.543914020868</v>
      </c>
      <c r="K1071" s="1">
        <v>18040.288617599999</v>
      </c>
      <c r="L1071" s="1">
        <v>4047.74015405</v>
      </c>
      <c r="M1071" s="1" t="s">
        <v>198</v>
      </c>
      <c r="N1071" s="1" t="b">
        <v>1</v>
      </c>
    </row>
    <row r="1072" spans="1:14" ht="19" customHeight="1" x14ac:dyDescent="0.3">
      <c r="A1072">
        <v>1067</v>
      </c>
      <c r="B1072" s="1">
        <v>4</v>
      </c>
      <c r="C1072" s="1">
        <v>90</v>
      </c>
      <c r="D1072" s="1">
        <v>5.5E-2</v>
      </c>
      <c r="E1072" s="1">
        <v>0.04</v>
      </c>
      <c r="F1072" s="1">
        <v>5</v>
      </c>
      <c r="G1072" s="1">
        <v>0</v>
      </c>
      <c r="H1072" s="1">
        <v>1.15111979696</v>
      </c>
      <c r="I1072" s="1">
        <v>1.6254729488999999</v>
      </c>
      <c r="J1072" s="1">
        <v>0.67080978154699999</v>
      </c>
      <c r="K1072" s="1">
        <v>20663.056140600002</v>
      </c>
      <c r="L1072" s="1">
        <v>4992.0825430499999</v>
      </c>
      <c r="M1072" s="1" t="s">
        <v>198</v>
      </c>
      <c r="N1072" s="1" t="b">
        <v>1</v>
      </c>
    </row>
    <row r="1073" spans="1:14" ht="19" customHeight="1" x14ac:dyDescent="0.3">
      <c r="A1073">
        <v>1068</v>
      </c>
      <c r="B1073" s="1">
        <v>4</v>
      </c>
      <c r="C1073" s="1">
        <v>90</v>
      </c>
      <c r="D1073" s="1">
        <v>5.5E-2</v>
      </c>
      <c r="E1073" s="1">
        <v>0.04</v>
      </c>
      <c r="F1073" s="1">
        <v>5</v>
      </c>
      <c r="G1073" s="1">
        <v>1</v>
      </c>
      <c r="H1073" s="1">
        <v>1.15111979696</v>
      </c>
      <c r="I1073" s="1">
        <v>1.21910471168</v>
      </c>
      <c r="J1073" s="1">
        <v>0.55006402086799999</v>
      </c>
      <c r="K1073" s="1">
        <v>17638.914515199998</v>
      </c>
      <c r="L1073" s="1">
        <v>4093.5076853</v>
      </c>
      <c r="M1073" s="1" t="s">
        <v>198</v>
      </c>
      <c r="N1073" s="1" t="b">
        <v>1</v>
      </c>
    </row>
    <row r="1074" spans="1:14" ht="19" customHeight="1" x14ac:dyDescent="0.3">
      <c r="A1074">
        <v>1069</v>
      </c>
      <c r="B1074" s="1">
        <v>4</v>
      </c>
      <c r="C1074" s="1">
        <v>90</v>
      </c>
      <c r="D1074" s="1">
        <v>5.5E-2</v>
      </c>
      <c r="E1074" s="1">
        <v>0.06</v>
      </c>
      <c r="F1074" s="1">
        <v>-5</v>
      </c>
      <c r="G1074" s="1">
        <v>0</v>
      </c>
      <c r="H1074" s="1">
        <v>1.17874939666</v>
      </c>
      <c r="I1074" s="1">
        <v>1.6669173484599999</v>
      </c>
      <c r="J1074" s="1">
        <v>0.67328238386399997</v>
      </c>
      <c r="K1074" s="1">
        <v>21177.096208899999</v>
      </c>
      <c r="L1074" s="1">
        <v>5010.48334041</v>
      </c>
      <c r="M1074" s="1" t="s">
        <v>198</v>
      </c>
      <c r="N1074" s="1" t="b">
        <v>1</v>
      </c>
    </row>
    <row r="1075" spans="1:14" ht="19" customHeight="1" x14ac:dyDescent="0.3">
      <c r="A1075">
        <v>1070</v>
      </c>
      <c r="B1075" s="1">
        <v>4</v>
      </c>
      <c r="C1075" s="1">
        <v>90</v>
      </c>
      <c r="D1075" s="1">
        <v>5.5E-2</v>
      </c>
      <c r="E1075" s="1">
        <v>0.06</v>
      </c>
      <c r="F1075" s="1">
        <v>-5</v>
      </c>
      <c r="G1075" s="1">
        <v>1</v>
      </c>
      <c r="H1075" s="1">
        <v>1.17874939666</v>
      </c>
      <c r="I1075" s="1">
        <v>1.2501880113499999</v>
      </c>
      <c r="J1075" s="1">
        <v>0.55209155476799998</v>
      </c>
      <c r="K1075" s="1">
        <v>18075.848573200001</v>
      </c>
      <c r="L1075" s="1">
        <v>4108.5963391400001</v>
      </c>
      <c r="M1075" s="1" t="s">
        <v>198</v>
      </c>
      <c r="N1075" s="1" t="b">
        <v>1</v>
      </c>
    </row>
    <row r="1076" spans="1:14" ht="19" customHeight="1" x14ac:dyDescent="0.3">
      <c r="A1076">
        <v>1071</v>
      </c>
      <c r="B1076" s="1">
        <v>4</v>
      </c>
      <c r="C1076" s="1">
        <v>90</v>
      </c>
      <c r="D1076" s="1">
        <v>5.5E-2</v>
      </c>
      <c r="E1076" s="1">
        <v>0.06</v>
      </c>
      <c r="F1076" s="1">
        <v>0</v>
      </c>
      <c r="G1076" s="1">
        <v>0</v>
      </c>
      <c r="H1076" s="1">
        <v>1.2055718794500001</v>
      </c>
      <c r="I1076" s="1">
        <v>1.7048481096699999</v>
      </c>
      <c r="J1076" s="1">
        <v>0.66578238386400002</v>
      </c>
      <c r="K1076" s="1">
        <v>21658.981756599998</v>
      </c>
      <c r="L1076" s="1">
        <v>4954.6692779100003</v>
      </c>
      <c r="M1076" s="1" t="s">
        <v>198</v>
      </c>
      <c r="N1076" s="1" t="b">
        <v>1</v>
      </c>
    </row>
    <row r="1077" spans="1:14" ht="19" customHeight="1" x14ac:dyDescent="0.3">
      <c r="A1077">
        <v>1072</v>
      </c>
      <c r="B1077" s="1">
        <v>4</v>
      </c>
      <c r="C1077" s="1">
        <v>90</v>
      </c>
      <c r="D1077" s="1">
        <v>5.5E-2</v>
      </c>
      <c r="E1077" s="1">
        <v>0.06</v>
      </c>
      <c r="F1077" s="1">
        <v>0</v>
      </c>
      <c r="G1077" s="1">
        <v>1</v>
      </c>
      <c r="H1077" s="1">
        <v>1.2055718794500001</v>
      </c>
      <c r="I1077" s="1">
        <v>1.27863608226</v>
      </c>
      <c r="J1077" s="1">
        <v>0.54594155476799999</v>
      </c>
      <c r="K1077" s="1">
        <v>18487.1651251</v>
      </c>
      <c r="L1077" s="1">
        <v>4062.82880789</v>
      </c>
      <c r="M1077" s="1" t="s">
        <v>198</v>
      </c>
      <c r="N1077" s="1" t="b">
        <v>1</v>
      </c>
    </row>
    <row r="1078" spans="1:14" ht="19" customHeight="1" x14ac:dyDescent="0.3">
      <c r="A1078">
        <v>1073</v>
      </c>
      <c r="B1078" s="1">
        <v>4</v>
      </c>
      <c r="C1078" s="1">
        <v>90</v>
      </c>
      <c r="D1078" s="1">
        <v>5.5E-2</v>
      </c>
      <c r="E1078" s="1">
        <v>0.06</v>
      </c>
      <c r="F1078" s="1">
        <v>5</v>
      </c>
      <c r="G1078" s="1">
        <v>0</v>
      </c>
      <c r="H1078" s="1">
        <v>1.17874939666</v>
      </c>
      <c r="I1078" s="1">
        <v>1.6669173484599999</v>
      </c>
      <c r="J1078" s="1">
        <v>0.67328238386399997</v>
      </c>
      <c r="K1078" s="1">
        <v>21177.096208899999</v>
      </c>
      <c r="L1078" s="1">
        <v>5010.48334041</v>
      </c>
      <c r="M1078" s="1" t="s">
        <v>198</v>
      </c>
      <c r="N1078" s="1" t="b">
        <v>1</v>
      </c>
    </row>
    <row r="1079" spans="1:14" ht="19" customHeight="1" x14ac:dyDescent="0.3">
      <c r="A1079">
        <v>1074</v>
      </c>
      <c r="B1079" s="1">
        <v>4</v>
      </c>
      <c r="C1079" s="1">
        <v>90</v>
      </c>
      <c r="D1079" s="1">
        <v>5.5E-2</v>
      </c>
      <c r="E1079" s="1">
        <v>0.06</v>
      </c>
      <c r="F1079" s="1">
        <v>5</v>
      </c>
      <c r="G1079" s="1">
        <v>1</v>
      </c>
      <c r="H1079" s="1">
        <v>1.17874939666</v>
      </c>
      <c r="I1079" s="1">
        <v>1.2501880113499999</v>
      </c>
      <c r="J1079" s="1">
        <v>0.55209155476799998</v>
      </c>
      <c r="K1079" s="1">
        <v>18075.848573200001</v>
      </c>
      <c r="L1079" s="1">
        <v>4108.5963391400001</v>
      </c>
      <c r="M1079" s="1" t="s">
        <v>198</v>
      </c>
      <c r="N1079" s="1" t="b">
        <v>1</v>
      </c>
    </row>
    <row r="1080" spans="1:14" ht="19" customHeight="1" x14ac:dyDescent="0.3">
      <c r="A1080">
        <v>1075</v>
      </c>
      <c r="B1080" s="1">
        <v>4</v>
      </c>
      <c r="C1080" s="1">
        <v>90</v>
      </c>
      <c r="D1080" s="1">
        <v>5.5E-2</v>
      </c>
      <c r="E1080" s="1">
        <v>8.5000000000000006E-2</v>
      </c>
      <c r="F1080" s="1">
        <v>-5</v>
      </c>
      <c r="G1080" s="1">
        <v>0</v>
      </c>
      <c r="H1080" s="1">
        <v>1.1081148511500001</v>
      </c>
      <c r="I1080" s="1">
        <v>1.5609655301900001</v>
      </c>
      <c r="J1080" s="1">
        <v>0.66696122312499995</v>
      </c>
      <c r="K1080" s="1">
        <v>19862.9625629</v>
      </c>
      <c r="L1080" s="1">
        <v>4963.4420523500003</v>
      </c>
      <c r="M1080" s="1" t="s">
        <v>198</v>
      </c>
      <c r="N1080" s="1" t="b">
        <v>1</v>
      </c>
    </row>
    <row r="1081" spans="1:14" ht="19" customHeight="1" x14ac:dyDescent="0.3">
      <c r="A1081">
        <v>1076</v>
      </c>
      <c r="B1081" s="1">
        <v>4</v>
      </c>
      <c r="C1081" s="1">
        <v>90</v>
      </c>
      <c r="D1081" s="1">
        <v>5.5E-2</v>
      </c>
      <c r="E1081" s="1">
        <v>8.5000000000000006E-2</v>
      </c>
      <c r="F1081" s="1">
        <v>-5</v>
      </c>
      <c r="G1081" s="1">
        <v>1</v>
      </c>
      <c r="H1081" s="1">
        <v>1.1081148511500001</v>
      </c>
      <c r="I1081" s="1">
        <v>1.1707241476400001</v>
      </c>
      <c r="J1081" s="1">
        <v>0.54690820296300002</v>
      </c>
      <c r="K1081" s="1">
        <v>16958.834974199999</v>
      </c>
      <c r="L1081" s="1">
        <v>4070.0224829200001</v>
      </c>
      <c r="M1081" s="1" t="s">
        <v>198</v>
      </c>
      <c r="N1081" s="1" t="b">
        <v>1</v>
      </c>
    </row>
    <row r="1082" spans="1:14" ht="19" customHeight="1" x14ac:dyDescent="0.3">
      <c r="A1082">
        <v>1077</v>
      </c>
      <c r="B1082" s="1">
        <v>4</v>
      </c>
      <c r="C1082" s="1">
        <v>90</v>
      </c>
      <c r="D1082" s="1">
        <v>5.5E-2</v>
      </c>
      <c r="E1082" s="1">
        <v>8.5000000000000006E-2</v>
      </c>
      <c r="F1082" s="1">
        <v>0</v>
      </c>
      <c r="G1082" s="1">
        <v>0</v>
      </c>
      <c r="H1082" s="1">
        <v>1.1333300424499999</v>
      </c>
      <c r="I1082" s="1">
        <v>1.5964853541599999</v>
      </c>
      <c r="J1082" s="1">
        <v>0.659461223125</v>
      </c>
      <c r="K1082" s="1">
        <v>20314.9449546</v>
      </c>
      <c r="L1082" s="1">
        <v>4907.6279898499997</v>
      </c>
      <c r="M1082" s="1" t="s">
        <v>198</v>
      </c>
      <c r="N1082" s="1" t="b">
        <v>1</v>
      </c>
    </row>
    <row r="1083" spans="1:14" ht="19" customHeight="1" x14ac:dyDescent="0.3">
      <c r="A1083">
        <v>1078</v>
      </c>
      <c r="B1083" s="1">
        <v>4</v>
      </c>
      <c r="C1083" s="1">
        <v>90</v>
      </c>
      <c r="D1083" s="1">
        <v>5.5E-2</v>
      </c>
      <c r="E1083" s="1">
        <v>8.5000000000000006E-2</v>
      </c>
      <c r="F1083" s="1">
        <v>0</v>
      </c>
      <c r="G1083" s="1">
        <v>1</v>
      </c>
      <c r="H1083" s="1">
        <v>1.1333300424499999</v>
      </c>
      <c r="I1083" s="1">
        <v>1.1973640156200001</v>
      </c>
      <c r="J1083" s="1">
        <v>0.54075820296300003</v>
      </c>
      <c r="K1083" s="1">
        <v>17344.733843400001</v>
      </c>
      <c r="L1083" s="1">
        <v>4024.2549516700001</v>
      </c>
      <c r="M1083" s="1" t="s">
        <v>198</v>
      </c>
      <c r="N1083" s="1" t="b">
        <v>1</v>
      </c>
    </row>
    <row r="1084" spans="1:14" ht="19" customHeight="1" x14ac:dyDescent="0.3">
      <c r="A1084">
        <v>1079</v>
      </c>
      <c r="B1084" s="1">
        <v>4</v>
      </c>
      <c r="C1084" s="1">
        <v>90</v>
      </c>
      <c r="D1084" s="1">
        <v>5.5E-2</v>
      </c>
      <c r="E1084" s="1">
        <v>8.5000000000000006E-2</v>
      </c>
      <c r="F1084" s="1">
        <v>5</v>
      </c>
      <c r="G1084" s="1">
        <v>0</v>
      </c>
      <c r="H1084" s="1">
        <v>1.1081148511500001</v>
      </c>
      <c r="I1084" s="1">
        <v>1.5609655301900001</v>
      </c>
      <c r="J1084" s="1">
        <v>0.66696122312499995</v>
      </c>
      <c r="K1084" s="1">
        <v>19862.9625629</v>
      </c>
      <c r="L1084" s="1">
        <v>4963.4420523500003</v>
      </c>
      <c r="M1084" s="1" t="s">
        <v>198</v>
      </c>
      <c r="N1084" s="1" t="b">
        <v>1</v>
      </c>
    </row>
    <row r="1085" spans="1:14" ht="19" customHeight="1" x14ac:dyDescent="0.3">
      <c r="A1085">
        <v>1080</v>
      </c>
      <c r="B1085" s="1">
        <v>4</v>
      </c>
      <c r="C1085" s="1">
        <v>90</v>
      </c>
      <c r="D1085" s="1">
        <v>5.5E-2</v>
      </c>
      <c r="E1085" s="1">
        <v>8.5000000000000006E-2</v>
      </c>
      <c r="F1085" s="1">
        <v>5</v>
      </c>
      <c r="G1085" s="1">
        <v>1</v>
      </c>
      <c r="H1085" s="1">
        <v>1.1081148511500001</v>
      </c>
      <c r="I1085" s="1">
        <v>1.1707241476400001</v>
      </c>
      <c r="J1085" s="1">
        <v>0.54690820296300002</v>
      </c>
      <c r="K1085" s="1">
        <v>16958.834974199999</v>
      </c>
      <c r="L1085" s="1">
        <v>4070.0224829200001</v>
      </c>
      <c r="M1085" s="1" t="s">
        <v>198</v>
      </c>
      <c r="N1085" s="1" t="b">
        <v>1</v>
      </c>
    </row>
    <row r="1086" spans="1:14" ht="19" customHeight="1" x14ac:dyDescent="0.3">
      <c r="A1086">
        <v>1081</v>
      </c>
      <c r="B1086" s="1">
        <v>5</v>
      </c>
      <c r="C1086" s="1">
        <v>0</v>
      </c>
      <c r="D1086" s="1">
        <v>2.5000000000000001E-2</v>
      </c>
      <c r="E1086" s="1">
        <v>0.04</v>
      </c>
      <c r="F1086" s="1">
        <v>-5</v>
      </c>
      <c r="G1086" s="1">
        <v>0</v>
      </c>
      <c r="H1086" s="1">
        <v>1.4362990820299999</v>
      </c>
      <c r="I1086" s="1">
        <v>2.0069064073599998</v>
      </c>
      <c r="J1086" s="1">
        <v>0.93126415886000002</v>
      </c>
      <c r="K1086" s="1">
        <v>0</v>
      </c>
      <c r="L1086" s="1">
        <v>0</v>
      </c>
      <c r="M1086" s="1" t="s">
        <v>198</v>
      </c>
      <c r="N1086" s="1" t="b">
        <v>1</v>
      </c>
    </row>
    <row r="1087" spans="1:14" ht="19" customHeight="1" x14ac:dyDescent="0.3">
      <c r="A1087">
        <v>1082</v>
      </c>
      <c r="B1087" s="1">
        <v>5</v>
      </c>
      <c r="C1087" s="1">
        <v>0</v>
      </c>
      <c r="D1087" s="1">
        <v>2.5000000000000001E-2</v>
      </c>
      <c r="E1087" s="1">
        <v>0.04</v>
      </c>
      <c r="F1087" s="1">
        <v>-5</v>
      </c>
      <c r="G1087" s="1">
        <v>1</v>
      </c>
      <c r="H1087" s="1">
        <v>1.4362990820299999</v>
      </c>
      <c r="I1087" s="1">
        <v>1.5051798055200001</v>
      </c>
      <c r="J1087" s="1">
        <v>0.76363661026499996</v>
      </c>
      <c r="K1087" s="1">
        <v>0</v>
      </c>
      <c r="L1087" s="1">
        <v>0</v>
      </c>
      <c r="M1087" s="1" t="s">
        <v>198</v>
      </c>
      <c r="N1087" s="1" t="b">
        <v>1</v>
      </c>
    </row>
    <row r="1088" spans="1:14" ht="19" customHeight="1" x14ac:dyDescent="0.3">
      <c r="A1088">
        <v>1083</v>
      </c>
      <c r="B1088" s="1">
        <v>5</v>
      </c>
      <c r="C1088" s="1">
        <v>0</v>
      </c>
      <c r="D1088" s="1">
        <v>2.5000000000000001E-2</v>
      </c>
      <c r="E1088" s="1">
        <v>0.04</v>
      </c>
      <c r="F1088" s="1">
        <v>0</v>
      </c>
      <c r="G1088" s="1">
        <v>0</v>
      </c>
      <c r="H1088" s="1">
        <v>1.4689821167199999</v>
      </c>
      <c r="I1088" s="1">
        <v>2.05257363122</v>
      </c>
      <c r="J1088" s="1">
        <v>0.92376415885999996</v>
      </c>
      <c r="K1088" s="1">
        <v>0</v>
      </c>
      <c r="L1088" s="1">
        <v>0</v>
      </c>
      <c r="M1088" s="1" t="s">
        <v>198</v>
      </c>
      <c r="N1088" s="1" t="b">
        <v>1</v>
      </c>
    </row>
    <row r="1089" spans="1:14" ht="19" customHeight="1" x14ac:dyDescent="0.3">
      <c r="A1089">
        <v>1084</v>
      </c>
      <c r="B1089" s="1">
        <v>5</v>
      </c>
      <c r="C1089" s="1">
        <v>0</v>
      </c>
      <c r="D1089" s="1">
        <v>2.5000000000000001E-2</v>
      </c>
      <c r="E1089" s="1">
        <v>0.04</v>
      </c>
      <c r="F1089" s="1">
        <v>0</v>
      </c>
      <c r="G1089" s="1">
        <v>1</v>
      </c>
      <c r="H1089" s="1">
        <v>1.4689821167199999</v>
      </c>
      <c r="I1089" s="1">
        <v>1.5394302234199999</v>
      </c>
      <c r="J1089" s="1">
        <v>0.75748661026499997</v>
      </c>
      <c r="K1089" s="1">
        <v>0</v>
      </c>
      <c r="L1089" s="1">
        <v>0</v>
      </c>
      <c r="M1089" s="1" t="s">
        <v>198</v>
      </c>
      <c r="N1089" s="1" t="b">
        <v>1</v>
      </c>
    </row>
    <row r="1090" spans="1:14" ht="19" customHeight="1" x14ac:dyDescent="0.3">
      <c r="A1090">
        <v>1085</v>
      </c>
      <c r="B1090" s="1">
        <v>5</v>
      </c>
      <c r="C1090" s="1">
        <v>0</v>
      </c>
      <c r="D1090" s="1">
        <v>2.5000000000000001E-2</v>
      </c>
      <c r="E1090" s="1">
        <v>0.04</v>
      </c>
      <c r="F1090" s="1">
        <v>5</v>
      </c>
      <c r="G1090" s="1">
        <v>0</v>
      </c>
      <c r="H1090" s="1">
        <v>1.4362990820299999</v>
      </c>
      <c r="I1090" s="1">
        <v>2.0069064073599998</v>
      </c>
      <c r="J1090" s="1">
        <v>0.93126415886000002</v>
      </c>
      <c r="K1090" s="1">
        <v>0</v>
      </c>
      <c r="L1090" s="1">
        <v>0</v>
      </c>
      <c r="M1090" s="1" t="s">
        <v>198</v>
      </c>
      <c r="N1090" s="1" t="b">
        <v>1</v>
      </c>
    </row>
    <row r="1091" spans="1:14" ht="19" customHeight="1" x14ac:dyDescent="0.3">
      <c r="A1091">
        <v>1086</v>
      </c>
      <c r="B1091" s="1">
        <v>5</v>
      </c>
      <c r="C1091" s="1">
        <v>0</v>
      </c>
      <c r="D1091" s="1">
        <v>2.5000000000000001E-2</v>
      </c>
      <c r="E1091" s="1">
        <v>0.04</v>
      </c>
      <c r="F1091" s="1">
        <v>5</v>
      </c>
      <c r="G1091" s="1">
        <v>1</v>
      </c>
      <c r="H1091" s="1">
        <v>1.4362990820299999</v>
      </c>
      <c r="I1091" s="1">
        <v>1.5051798055200001</v>
      </c>
      <c r="J1091" s="1">
        <v>0.76363661026499996</v>
      </c>
      <c r="K1091" s="1">
        <v>0</v>
      </c>
      <c r="L1091" s="1">
        <v>0</v>
      </c>
      <c r="M1091" s="1" t="s">
        <v>198</v>
      </c>
      <c r="N1091" s="1" t="b">
        <v>1</v>
      </c>
    </row>
    <row r="1092" spans="1:14" ht="19" customHeight="1" x14ac:dyDescent="0.3">
      <c r="A1092">
        <v>1087</v>
      </c>
      <c r="B1092" s="1">
        <v>5</v>
      </c>
      <c r="C1092" s="1">
        <v>0</v>
      </c>
      <c r="D1092" s="1">
        <v>2.5000000000000001E-2</v>
      </c>
      <c r="E1092" s="1">
        <v>0.06</v>
      </c>
      <c r="F1092" s="1">
        <v>-5</v>
      </c>
      <c r="G1092" s="1">
        <v>0</v>
      </c>
      <c r="H1092" s="1">
        <v>1.47691409567</v>
      </c>
      <c r="I1092" s="1">
        <v>2.0678289278099999</v>
      </c>
      <c r="J1092" s="1">
        <v>0.93489883970499998</v>
      </c>
      <c r="K1092" s="1">
        <v>0</v>
      </c>
      <c r="L1092" s="1">
        <v>0</v>
      </c>
      <c r="M1092" s="1" t="s">
        <v>198</v>
      </c>
      <c r="N1092" s="1" t="b">
        <v>1</v>
      </c>
    </row>
    <row r="1093" spans="1:14" ht="19" customHeight="1" x14ac:dyDescent="0.3">
      <c r="A1093">
        <v>1088</v>
      </c>
      <c r="B1093" s="1">
        <v>5</v>
      </c>
      <c r="C1093" s="1">
        <v>0</v>
      </c>
      <c r="D1093" s="1">
        <v>2.5000000000000001E-2</v>
      </c>
      <c r="E1093" s="1">
        <v>0.06</v>
      </c>
      <c r="F1093" s="1">
        <v>-5</v>
      </c>
      <c r="G1093" s="1">
        <v>1</v>
      </c>
      <c r="H1093" s="1">
        <v>1.47691409567</v>
      </c>
      <c r="I1093" s="1">
        <v>1.55087169586</v>
      </c>
      <c r="J1093" s="1">
        <v>0.76661704855799995</v>
      </c>
      <c r="K1093" s="1">
        <v>0</v>
      </c>
      <c r="L1093" s="1">
        <v>0</v>
      </c>
      <c r="M1093" s="1" t="s">
        <v>198</v>
      </c>
      <c r="N1093" s="1" t="b">
        <v>1</v>
      </c>
    </row>
    <row r="1094" spans="1:14" ht="19" customHeight="1" x14ac:dyDescent="0.3">
      <c r="A1094">
        <v>1089</v>
      </c>
      <c r="B1094" s="1">
        <v>5</v>
      </c>
      <c r="C1094" s="1">
        <v>0</v>
      </c>
      <c r="D1094" s="1">
        <v>2.5000000000000001E-2</v>
      </c>
      <c r="E1094" s="1">
        <v>0.06</v>
      </c>
      <c r="F1094" s="1">
        <v>0</v>
      </c>
      <c r="G1094" s="1">
        <v>0</v>
      </c>
      <c r="H1094" s="1">
        <v>1.5105213263699999</v>
      </c>
      <c r="I1094" s="1">
        <v>2.1148824457100002</v>
      </c>
      <c r="J1094" s="1">
        <v>0.92739883970500003</v>
      </c>
      <c r="K1094" s="1">
        <v>0</v>
      </c>
      <c r="L1094" s="1">
        <v>0</v>
      </c>
      <c r="M1094" s="1" t="s">
        <v>198</v>
      </c>
      <c r="N1094" s="1" t="b">
        <v>1</v>
      </c>
    </row>
    <row r="1095" spans="1:14" ht="19" customHeight="1" x14ac:dyDescent="0.3">
      <c r="A1095">
        <v>1090</v>
      </c>
      <c r="B1095" s="1">
        <v>5</v>
      </c>
      <c r="C1095" s="1">
        <v>0</v>
      </c>
      <c r="D1095" s="1">
        <v>2.5000000000000001E-2</v>
      </c>
      <c r="E1095" s="1">
        <v>0.06</v>
      </c>
      <c r="F1095" s="1">
        <v>0</v>
      </c>
      <c r="G1095" s="1">
        <v>1</v>
      </c>
      <c r="H1095" s="1">
        <v>1.5105213263699999</v>
      </c>
      <c r="I1095" s="1">
        <v>1.5861618342799999</v>
      </c>
      <c r="J1095" s="1">
        <v>0.76046704855799996</v>
      </c>
      <c r="K1095" s="1">
        <v>0</v>
      </c>
      <c r="L1095" s="1">
        <v>0</v>
      </c>
      <c r="M1095" s="1" t="s">
        <v>198</v>
      </c>
      <c r="N1095" s="1" t="b">
        <v>1</v>
      </c>
    </row>
    <row r="1096" spans="1:14" ht="19" customHeight="1" x14ac:dyDescent="0.3">
      <c r="A1096">
        <v>1091</v>
      </c>
      <c r="B1096" s="1">
        <v>5</v>
      </c>
      <c r="C1096" s="1">
        <v>0</v>
      </c>
      <c r="D1096" s="1">
        <v>2.5000000000000001E-2</v>
      </c>
      <c r="E1096" s="1">
        <v>0.06</v>
      </c>
      <c r="F1096" s="1">
        <v>5</v>
      </c>
      <c r="G1096" s="1">
        <v>0</v>
      </c>
      <c r="H1096" s="1">
        <v>1.47691409567</v>
      </c>
      <c r="I1096" s="1">
        <v>2.0678289278099999</v>
      </c>
      <c r="J1096" s="1">
        <v>0.93489883970499998</v>
      </c>
      <c r="K1096" s="1">
        <v>0</v>
      </c>
      <c r="L1096" s="1">
        <v>0</v>
      </c>
      <c r="M1096" s="1" t="s">
        <v>198</v>
      </c>
      <c r="N1096" s="1" t="b">
        <v>1</v>
      </c>
    </row>
    <row r="1097" spans="1:14" ht="19" customHeight="1" x14ac:dyDescent="0.3">
      <c r="A1097">
        <v>1092</v>
      </c>
      <c r="B1097" s="1">
        <v>5</v>
      </c>
      <c r="C1097" s="1">
        <v>0</v>
      </c>
      <c r="D1097" s="1">
        <v>2.5000000000000001E-2</v>
      </c>
      <c r="E1097" s="1">
        <v>0.06</v>
      </c>
      <c r="F1097" s="1">
        <v>5</v>
      </c>
      <c r="G1097" s="1">
        <v>1</v>
      </c>
      <c r="H1097" s="1">
        <v>1.47691409567</v>
      </c>
      <c r="I1097" s="1">
        <v>1.55087169586</v>
      </c>
      <c r="J1097" s="1">
        <v>0.76661704855799995</v>
      </c>
      <c r="K1097" s="1">
        <v>0</v>
      </c>
      <c r="L1097" s="1">
        <v>0</v>
      </c>
      <c r="M1097" s="1" t="s">
        <v>198</v>
      </c>
      <c r="N1097" s="1" t="b">
        <v>1</v>
      </c>
    </row>
    <row r="1098" spans="1:14" ht="19" customHeight="1" x14ac:dyDescent="0.3">
      <c r="A1098">
        <v>1093</v>
      </c>
      <c r="B1098" s="1">
        <v>5</v>
      </c>
      <c r="C1098" s="1">
        <v>0</v>
      </c>
      <c r="D1098" s="1">
        <v>2.5000000000000001E-2</v>
      </c>
      <c r="E1098" s="1">
        <v>8.5000000000000006E-2</v>
      </c>
      <c r="F1098" s="1">
        <v>-5</v>
      </c>
      <c r="G1098" s="1">
        <v>0</v>
      </c>
      <c r="H1098" s="1">
        <v>1.3730825867300001</v>
      </c>
      <c r="I1098" s="1">
        <v>1.91208166439</v>
      </c>
      <c r="J1098" s="1">
        <v>0.92560684733900001</v>
      </c>
      <c r="K1098" s="1">
        <v>0</v>
      </c>
      <c r="L1098" s="1">
        <v>0</v>
      </c>
      <c r="M1098" s="1" t="s">
        <v>198</v>
      </c>
      <c r="N1098" s="1" t="b">
        <v>1</v>
      </c>
    </row>
    <row r="1099" spans="1:14" ht="19" customHeight="1" x14ac:dyDescent="0.3">
      <c r="A1099">
        <v>1094</v>
      </c>
      <c r="B1099" s="1">
        <v>5</v>
      </c>
      <c r="C1099" s="1">
        <v>0</v>
      </c>
      <c r="D1099" s="1">
        <v>2.5000000000000001E-2</v>
      </c>
      <c r="E1099" s="1">
        <v>8.5000000000000006E-2</v>
      </c>
      <c r="F1099" s="1">
        <v>-5</v>
      </c>
      <c r="G1099" s="1">
        <v>1</v>
      </c>
      <c r="H1099" s="1">
        <v>1.3730825867300001</v>
      </c>
      <c r="I1099" s="1">
        <v>1.4340612482999999</v>
      </c>
      <c r="J1099" s="1">
        <v>0.75899761481799999</v>
      </c>
      <c r="K1099" s="1">
        <v>0</v>
      </c>
      <c r="L1099" s="1">
        <v>0</v>
      </c>
      <c r="M1099" s="1" t="s">
        <v>198</v>
      </c>
      <c r="N1099" s="1" t="b">
        <v>1</v>
      </c>
    </row>
    <row r="1100" spans="1:14" ht="19" customHeight="1" x14ac:dyDescent="0.3">
      <c r="A1100">
        <v>1095</v>
      </c>
      <c r="B1100" s="1">
        <v>5</v>
      </c>
      <c r="C1100" s="1">
        <v>0</v>
      </c>
      <c r="D1100" s="1">
        <v>2.5000000000000001E-2</v>
      </c>
      <c r="E1100" s="1">
        <v>8.5000000000000006E-2</v>
      </c>
      <c r="F1100" s="1">
        <v>0</v>
      </c>
      <c r="G1100" s="1">
        <v>0</v>
      </c>
      <c r="H1100" s="1">
        <v>1.4043271279</v>
      </c>
      <c r="I1100" s="1">
        <v>1.9555911479899999</v>
      </c>
      <c r="J1100" s="1">
        <v>0.91810684733900005</v>
      </c>
      <c r="K1100" s="1">
        <v>0</v>
      </c>
      <c r="L1100" s="1">
        <v>0</v>
      </c>
      <c r="M1100" s="1" t="s">
        <v>198</v>
      </c>
      <c r="N1100" s="1" t="b">
        <v>1</v>
      </c>
    </row>
    <row r="1101" spans="1:14" ht="19" customHeight="1" x14ac:dyDescent="0.3">
      <c r="A1101">
        <v>1096</v>
      </c>
      <c r="B1101" s="1">
        <v>5</v>
      </c>
      <c r="C1101" s="1">
        <v>0</v>
      </c>
      <c r="D1101" s="1">
        <v>2.5000000000000001E-2</v>
      </c>
      <c r="E1101" s="1">
        <v>8.5000000000000006E-2</v>
      </c>
      <c r="F1101" s="1">
        <v>0</v>
      </c>
      <c r="G1101" s="1">
        <v>1</v>
      </c>
      <c r="H1101" s="1">
        <v>1.4043271279</v>
      </c>
      <c r="I1101" s="1">
        <v>1.4666933609899999</v>
      </c>
      <c r="J1101" s="1">
        <v>0.752847614818</v>
      </c>
      <c r="K1101" s="1">
        <v>0</v>
      </c>
      <c r="L1101" s="1">
        <v>0</v>
      </c>
      <c r="M1101" s="1" t="s">
        <v>198</v>
      </c>
      <c r="N1101" s="1" t="b">
        <v>1</v>
      </c>
    </row>
    <row r="1102" spans="1:14" ht="19" customHeight="1" x14ac:dyDescent="0.3">
      <c r="A1102">
        <v>1097</v>
      </c>
      <c r="B1102" s="1">
        <v>5</v>
      </c>
      <c r="C1102" s="1">
        <v>0</v>
      </c>
      <c r="D1102" s="1">
        <v>2.5000000000000001E-2</v>
      </c>
      <c r="E1102" s="1">
        <v>8.5000000000000006E-2</v>
      </c>
      <c r="F1102" s="1">
        <v>5</v>
      </c>
      <c r="G1102" s="1">
        <v>0</v>
      </c>
      <c r="H1102" s="1">
        <v>1.3730825867300001</v>
      </c>
      <c r="I1102" s="1">
        <v>1.91208166439</v>
      </c>
      <c r="J1102" s="1">
        <v>0.92560684733900001</v>
      </c>
      <c r="K1102" s="1">
        <v>0</v>
      </c>
      <c r="L1102" s="1">
        <v>0</v>
      </c>
      <c r="M1102" s="1" t="s">
        <v>198</v>
      </c>
      <c r="N1102" s="1" t="b">
        <v>1</v>
      </c>
    </row>
    <row r="1103" spans="1:14" ht="19" customHeight="1" x14ac:dyDescent="0.3">
      <c r="A1103">
        <v>1098</v>
      </c>
      <c r="B1103" s="1">
        <v>5</v>
      </c>
      <c r="C1103" s="1">
        <v>0</v>
      </c>
      <c r="D1103" s="1">
        <v>2.5000000000000001E-2</v>
      </c>
      <c r="E1103" s="1">
        <v>8.5000000000000006E-2</v>
      </c>
      <c r="F1103" s="1">
        <v>5</v>
      </c>
      <c r="G1103" s="1">
        <v>1</v>
      </c>
      <c r="H1103" s="1">
        <v>1.3730825867300001</v>
      </c>
      <c r="I1103" s="1">
        <v>1.4340612482999999</v>
      </c>
      <c r="J1103" s="1">
        <v>0.75899761481799999</v>
      </c>
      <c r="K1103" s="1">
        <v>0</v>
      </c>
      <c r="L1103" s="1">
        <v>0</v>
      </c>
      <c r="M1103" s="1" t="s">
        <v>198</v>
      </c>
      <c r="N1103" s="1" t="b">
        <v>1</v>
      </c>
    </row>
    <row r="1104" spans="1:14" ht="19" customHeight="1" x14ac:dyDescent="0.3">
      <c r="A1104">
        <v>1099</v>
      </c>
      <c r="B1104" s="1">
        <v>5</v>
      </c>
      <c r="C1104" s="1">
        <v>0</v>
      </c>
      <c r="D1104" s="1">
        <v>0.04</v>
      </c>
      <c r="E1104" s="1">
        <v>0.04</v>
      </c>
      <c r="F1104" s="1">
        <v>-5</v>
      </c>
      <c r="G1104" s="1">
        <v>0</v>
      </c>
      <c r="H1104" s="1">
        <v>1.44228789549</v>
      </c>
      <c r="I1104" s="1">
        <v>2.01588962754</v>
      </c>
      <c r="J1104" s="1">
        <v>0.93180010415699999</v>
      </c>
      <c r="K1104" s="1">
        <v>0</v>
      </c>
      <c r="L1104" s="1">
        <v>0</v>
      </c>
      <c r="M1104" s="1" t="s">
        <v>198</v>
      </c>
      <c r="N1104" s="1" t="b">
        <v>1</v>
      </c>
    </row>
    <row r="1105" spans="1:14" ht="19" customHeight="1" x14ac:dyDescent="0.3">
      <c r="A1105">
        <v>1100</v>
      </c>
      <c r="B1105" s="1">
        <v>5</v>
      </c>
      <c r="C1105" s="1">
        <v>0</v>
      </c>
      <c r="D1105" s="1">
        <v>0.04</v>
      </c>
      <c r="E1105" s="1">
        <v>0.04</v>
      </c>
      <c r="F1105" s="1">
        <v>-5</v>
      </c>
      <c r="G1105" s="1">
        <v>1</v>
      </c>
      <c r="H1105" s="1">
        <v>1.44228789549</v>
      </c>
      <c r="I1105" s="1">
        <v>1.51191722065</v>
      </c>
      <c r="J1105" s="1">
        <v>0.76407608540899996</v>
      </c>
      <c r="K1105" s="1">
        <v>0</v>
      </c>
      <c r="L1105" s="1">
        <v>0</v>
      </c>
      <c r="M1105" s="1" t="s">
        <v>198</v>
      </c>
      <c r="N1105" s="1" t="b">
        <v>1</v>
      </c>
    </row>
    <row r="1106" spans="1:14" ht="19" customHeight="1" x14ac:dyDescent="0.3">
      <c r="A1106">
        <v>1101</v>
      </c>
      <c r="B1106" s="1">
        <v>5</v>
      </c>
      <c r="C1106" s="1">
        <v>0</v>
      </c>
      <c r="D1106" s="1">
        <v>0.04</v>
      </c>
      <c r="E1106" s="1">
        <v>0.04</v>
      </c>
      <c r="F1106" s="1">
        <v>0</v>
      </c>
      <c r="G1106" s="1">
        <v>0</v>
      </c>
      <c r="H1106" s="1">
        <v>1.4751072058200001</v>
      </c>
      <c r="I1106" s="1">
        <v>2.0617612648799999</v>
      </c>
      <c r="J1106" s="1">
        <v>0.92430010415700004</v>
      </c>
      <c r="K1106" s="1">
        <v>0</v>
      </c>
      <c r="L1106" s="1">
        <v>0</v>
      </c>
      <c r="M1106" s="1" t="s">
        <v>198</v>
      </c>
      <c r="N1106" s="1" t="b">
        <v>1</v>
      </c>
    </row>
    <row r="1107" spans="1:14" ht="19" customHeight="1" x14ac:dyDescent="0.3">
      <c r="A1107">
        <v>1102</v>
      </c>
      <c r="B1107" s="1">
        <v>5</v>
      </c>
      <c r="C1107" s="1">
        <v>0</v>
      </c>
      <c r="D1107" s="1">
        <v>0.04</v>
      </c>
      <c r="E1107" s="1">
        <v>0.04</v>
      </c>
      <c r="F1107" s="1">
        <v>0</v>
      </c>
      <c r="G1107" s="1">
        <v>1</v>
      </c>
      <c r="H1107" s="1">
        <v>1.4751072058200001</v>
      </c>
      <c r="I1107" s="1">
        <v>1.54632094866</v>
      </c>
      <c r="J1107" s="1">
        <v>0.75792608540899997</v>
      </c>
      <c r="K1107" s="1">
        <v>0</v>
      </c>
      <c r="L1107" s="1">
        <v>0</v>
      </c>
      <c r="M1107" s="1" t="s">
        <v>198</v>
      </c>
      <c r="N1107" s="1" t="b">
        <v>1</v>
      </c>
    </row>
    <row r="1108" spans="1:14" ht="19" customHeight="1" x14ac:dyDescent="0.3">
      <c r="A1108">
        <v>1103</v>
      </c>
      <c r="B1108" s="1">
        <v>5</v>
      </c>
      <c r="C1108" s="1">
        <v>0</v>
      </c>
      <c r="D1108" s="1">
        <v>0.04</v>
      </c>
      <c r="E1108" s="1">
        <v>0.04</v>
      </c>
      <c r="F1108" s="1">
        <v>5</v>
      </c>
      <c r="G1108" s="1">
        <v>0</v>
      </c>
      <c r="H1108" s="1">
        <v>1.44228789549</v>
      </c>
      <c r="I1108" s="1">
        <v>2.01588962754</v>
      </c>
      <c r="J1108" s="1">
        <v>0.93180010415699999</v>
      </c>
      <c r="K1108" s="1">
        <v>0</v>
      </c>
      <c r="L1108" s="1">
        <v>0</v>
      </c>
      <c r="M1108" s="1" t="s">
        <v>198</v>
      </c>
      <c r="N1108" s="1" t="b">
        <v>1</v>
      </c>
    </row>
    <row r="1109" spans="1:14" ht="19" customHeight="1" x14ac:dyDescent="0.3">
      <c r="A1109">
        <v>1104</v>
      </c>
      <c r="B1109" s="1">
        <v>5</v>
      </c>
      <c r="C1109" s="1">
        <v>0</v>
      </c>
      <c r="D1109" s="1">
        <v>0.04</v>
      </c>
      <c r="E1109" s="1">
        <v>0.04</v>
      </c>
      <c r="F1109" s="1">
        <v>5</v>
      </c>
      <c r="G1109" s="1">
        <v>1</v>
      </c>
      <c r="H1109" s="1">
        <v>1.44228789549</v>
      </c>
      <c r="I1109" s="1">
        <v>1.51191722065</v>
      </c>
      <c r="J1109" s="1">
        <v>0.76407608540899996</v>
      </c>
      <c r="K1109" s="1">
        <v>0</v>
      </c>
      <c r="L1109" s="1">
        <v>0</v>
      </c>
      <c r="M1109" s="1" t="s">
        <v>198</v>
      </c>
      <c r="N1109" s="1" t="b">
        <v>1</v>
      </c>
    </row>
    <row r="1110" spans="1:14" ht="19" customHeight="1" x14ac:dyDescent="0.3">
      <c r="A1110">
        <v>1105</v>
      </c>
      <c r="B1110" s="1">
        <v>5</v>
      </c>
      <c r="C1110" s="1">
        <v>0</v>
      </c>
      <c r="D1110" s="1">
        <v>0.04</v>
      </c>
      <c r="E1110" s="1">
        <v>0.06</v>
      </c>
      <c r="F1110" s="1">
        <v>-5</v>
      </c>
      <c r="G1110" s="1">
        <v>0</v>
      </c>
      <c r="H1110" s="1">
        <v>1.4834837110400001</v>
      </c>
      <c r="I1110" s="1">
        <v>2.0776833508700001</v>
      </c>
      <c r="J1110" s="1">
        <v>0.93548676158499999</v>
      </c>
      <c r="K1110" s="1">
        <v>0</v>
      </c>
      <c r="L1110" s="1">
        <v>0</v>
      </c>
      <c r="M1110" s="1" t="s">
        <v>198</v>
      </c>
      <c r="N1110" s="1" t="b">
        <v>1</v>
      </c>
    </row>
    <row r="1111" spans="1:14" ht="19" customHeight="1" x14ac:dyDescent="0.3">
      <c r="A1111">
        <v>1106</v>
      </c>
      <c r="B1111" s="1">
        <v>5</v>
      </c>
      <c r="C1111" s="1">
        <v>0</v>
      </c>
      <c r="D1111" s="1">
        <v>0.04</v>
      </c>
      <c r="E1111" s="1">
        <v>0.06</v>
      </c>
      <c r="F1111" s="1">
        <v>-5</v>
      </c>
      <c r="G1111" s="1">
        <v>1</v>
      </c>
      <c r="H1111" s="1">
        <v>1.4834837110400001</v>
      </c>
      <c r="I1111" s="1">
        <v>1.5582625131500001</v>
      </c>
      <c r="J1111" s="1">
        <v>0.76709914450000005</v>
      </c>
      <c r="K1111" s="1">
        <v>0</v>
      </c>
      <c r="L1111" s="1">
        <v>0</v>
      </c>
      <c r="M1111" s="1" t="s">
        <v>198</v>
      </c>
      <c r="N1111" s="1" t="b">
        <v>1</v>
      </c>
    </row>
    <row r="1112" spans="1:14" ht="19" customHeight="1" x14ac:dyDescent="0.3">
      <c r="A1112">
        <v>1107</v>
      </c>
      <c r="B1112" s="1">
        <v>5</v>
      </c>
      <c r="C1112" s="1">
        <v>0</v>
      </c>
      <c r="D1112" s="1">
        <v>0.04</v>
      </c>
      <c r="E1112" s="1">
        <v>0.06</v>
      </c>
      <c r="F1112" s="1">
        <v>0</v>
      </c>
      <c r="G1112" s="1">
        <v>0</v>
      </c>
      <c r="H1112" s="1">
        <v>1.51724043357</v>
      </c>
      <c r="I1112" s="1">
        <v>2.1249611064999998</v>
      </c>
      <c r="J1112" s="1">
        <v>0.92798676158500004</v>
      </c>
      <c r="K1112" s="1">
        <v>0</v>
      </c>
      <c r="L1112" s="1">
        <v>0</v>
      </c>
      <c r="M1112" s="1" t="s">
        <v>198</v>
      </c>
      <c r="N1112" s="1" t="b">
        <v>1</v>
      </c>
    </row>
    <row r="1113" spans="1:14" ht="19" customHeight="1" x14ac:dyDescent="0.3">
      <c r="A1113">
        <v>1108</v>
      </c>
      <c r="B1113" s="1">
        <v>5</v>
      </c>
      <c r="C1113" s="1">
        <v>0</v>
      </c>
      <c r="D1113" s="1">
        <v>0.04</v>
      </c>
      <c r="E1113" s="1">
        <v>0.06</v>
      </c>
      <c r="F1113" s="1">
        <v>0</v>
      </c>
      <c r="G1113" s="1">
        <v>1</v>
      </c>
      <c r="H1113" s="1">
        <v>1.51724043357</v>
      </c>
      <c r="I1113" s="1">
        <v>1.5937208298800001</v>
      </c>
      <c r="J1113" s="1">
        <v>0.76094914449999995</v>
      </c>
      <c r="K1113" s="1">
        <v>0</v>
      </c>
      <c r="L1113" s="1">
        <v>0</v>
      </c>
      <c r="M1113" s="1" t="s">
        <v>198</v>
      </c>
      <c r="N1113" s="1" t="b">
        <v>1</v>
      </c>
    </row>
    <row r="1114" spans="1:14" ht="19" customHeight="1" x14ac:dyDescent="0.3">
      <c r="A1114">
        <v>1109</v>
      </c>
      <c r="B1114" s="1">
        <v>5</v>
      </c>
      <c r="C1114" s="1">
        <v>0</v>
      </c>
      <c r="D1114" s="1">
        <v>0.04</v>
      </c>
      <c r="E1114" s="1">
        <v>0.06</v>
      </c>
      <c r="F1114" s="1">
        <v>5</v>
      </c>
      <c r="G1114" s="1">
        <v>0</v>
      </c>
      <c r="H1114" s="1">
        <v>1.4834837110400001</v>
      </c>
      <c r="I1114" s="1">
        <v>2.0776833508700001</v>
      </c>
      <c r="J1114" s="1">
        <v>0.93548676158499999</v>
      </c>
      <c r="K1114" s="1">
        <v>0</v>
      </c>
      <c r="L1114" s="1">
        <v>0</v>
      </c>
      <c r="M1114" s="1" t="s">
        <v>198</v>
      </c>
      <c r="N1114" s="1" t="b">
        <v>1</v>
      </c>
    </row>
    <row r="1115" spans="1:14" ht="19" customHeight="1" x14ac:dyDescent="0.3">
      <c r="A1115">
        <v>1110</v>
      </c>
      <c r="B1115" s="1">
        <v>5</v>
      </c>
      <c r="C1115" s="1">
        <v>0</v>
      </c>
      <c r="D1115" s="1">
        <v>0.04</v>
      </c>
      <c r="E1115" s="1">
        <v>0.06</v>
      </c>
      <c r="F1115" s="1">
        <v>5</v>
      </c>
      <c r="G1115" s="1">
        <v>1</v>
      </c>
      <c r="H1115" s="1">
        <v>1.4834837110400001</v>
      </c>
      <c r="I1115" s="1">
        <v>1.5582625131500001</v>
      </c>
      <c r="J1115" s="1">
        <v>0.76709914450000005</v>
      </c>
      <c r="K1115" s="1">
        <v>0</v>
      </c>
      <c r="L1115" s="1">
        <v>0</v>
      </c>
      <c r="M1115" s="1" t="s">
        <v>198</v>
      </c>
      <c r="N1115" s="1" t="b">
        <v>1</v>
      </c>
    </row>
    <row r="1116" spans="1:14" ht="19" customHeight="1" x14ac:dyDescent="0.3">
      <c r="A1116">
        <v>1111</v>
      </c>
      <c r="B1116" s="1">
        <v>5</v>
      </c>
      <c r="C1116" s="1">
        <v>0</v>
      </c>
      <c r="D1116" s="1">
        <v>0.04</v>
      </c>
      <c r="E1116" s="1">
        <v>8.5000000000000006E-2</v>
      </c>
      <c r="F1116" s="1">
        <v>-5</v>
      </c>
      <c r="G1116" s="1">
        <v>0</v>
      </c>
      <c r="H1116" s="1">
        <v>1.37816739305</v>
      </c>
      <c r="I1116" s="1">
        <v>1.9197088738800001</v>
      </c>
      <c r="J1116" s="1">
        <v>0.92606189207400003</v>
      </c>
      <c r="K1116" s="1">
        <v>0</v>
      </c>
      <c r="L1116" s="1">
        <v>0</v>
      </c>
      <c r="M1116" s="1" t="s">
        <v>198</v>
      </c>
      <c r="N1116" s="1" t="b">
        <v>1</v>
      </c>
    </row>
    <row r="1117" spans="1:14" ht="19" customHeight="1" x14ac:dyDescent="0.3">
      <c r="A1117">
        <v>1112</v>
      </c>
      <c r="B1117" s="1">
        <v>5</v>
      </c>
      <c r="C1117" s="1">
        <v>0</v>
      </c>
      <c r="D1117" s="1">
        <v>0.04</v>
      </c>
      <c r="E1117" s="1">
        <v>8.5000000000000006E-2</v>
      </c>
      <c r="F1117" s="1">
        <v>-5</v>
      </c>
      <c r="G1117" s="1">
        <v>1</v>
      </c>
      <c r="H1117" s="1">
        <v>1.37816739305</v>
      </c>
      <c r="I1117" s="1">
        <v>1.43978165541</v>
      </c>
      <c r="J1117" s="1">
        <v>0.75937075150099997</v>
      </c>
      <c r="K1117" s="1">
        <v>0</v>
      </c>
      <c r="L1117" s="1">
        <v>0</v>
      </c>
      <c r="M1117" s="1" t="s">
        <v>198</v>
      </c>
      <c r="N1117" s="1" t="b">
        <v>1</v>
      </c>
    </row>
    <row r="1118" spans="1:14" ht="19" customHeight="1" x14ac:dyDescent="0.3">
      <c r="A1118">
        <v>1113</v>
      </c>
      <c r="B1118" s="1">
        <v>5</v>
      </c>
      <c r="C1118" s="1">
        <v>0</v>
      </c>
      <c r="D1118" s="1">
        <v>0.04</v>
      </c>
      <c r="E1118" s="1">
        <v>8.5000000000000006E-2</v>
      </c>
      <c r="F1118" s="1">
        <v>0</v>
      </c>
      <c r="G1118" s="1">
        <v>0</v>
      </c>
      <c r="H1118" s="1">
        <v>1.40952763916</v>
      </c>
      <c r="I1118" s="1">
        <v>1.9633919148900001</v>
      </c>
      <c r="J1118" s="1">
        <v>0.91856189207399996</v>
      </c>
      <c r="K1118" s="1">
        <v>0</v>
      </c>
      <c r="L1118" s="1">
        <v>0</v>
      </c>
      <c r="M1118" s="1" t="s">
        <v>198</v>
      </c>
      <c r="N1118" s="1" t="b">
        <v>1</v>
      </c>
    </row>
    <row r="1119" spans="1:14" ht="19" customHeight="1" x14ac:dyDescent="0.3">
      <c r="A1119">
        <v>1114</v>
      </c>
      <c r="B1119" s="1">
        <v>5</v>
      </c>
      <c r="C1119" s="1">
        <v>0</v>
      </c>
      <c r="D1119" s="1">
        <v>0.04</v>
      </c>
      <c r="E1119" s="1">
        <v>8.5000000000000006E-2</v>
      </c>
      <c r="F1119" s="1">
        <v>0</v>
      </c>
      <c r="G1119" s="1">
        <v>1</v>
      </c>
      <c r="H1119" s="1">
        <v>1.40952763916</v>
      </c>
      <c r="I1119" s="1">
        <v>1.4725439361699999</v>
      </c>
      <c r="J1119" s="1">
        <v>0.75322075150099999</v>
      </c>
      <c r="K1119" s="1">
        <v>0</v>
      </c>
      <c r="L1119" s="1">
        <v>0</v>
      </c>
      <c r="M1119" s="1" t="s">
        <v>198</v>
      </c>
      <c r="N1119" s="1" t="b">
        <v>1</v>
      </c>
    </row>
    <row r="1120" spans="1:14" ht="19" customHeight="1" x14ac:dyDescent="0.3">
      <c r="A1120">
        <v>1115</v>
      </c>
      <c r="B1120" s="1">
        <v>5</v>
      </c>
      <c r="C1120" s="1">
        <v>0</v>
      </c>
      <c r="D1120" s="1">
        <v>0.04</v>
      </c>
      <c r="E1120" s="1">
        <v>8.5000000000000006E-2</v>
      </c>
      <c r="F1120" s="1">
        <v>5</v>
      </c>
      <c r="G1120" s="1">
        <v>0</v>
      </c>
      <c r="H1120" s="1">
        <v>1.37816739305</v>
      </c>
      <c r="I1120" s="1">
        <v>1.9197088738800001</v>
      </c>
      <c r="J1120" s="1">
        <v>0.92606189207400003</v>
      </c>
      <c r="K1120" s="1">
        <v>0</v>
      </c>
      <c r="L1120" s="1">
        <v>0</v>
      </c>
      <c r="M1120" s="1" t="s">
        <v>198</v>
      </c>
      <c r="N1120" s="1" t="b">
        <v>1</v>
      </c>
    </row>
    <row r="1121" spans="1:14" ht="19" customHeight="1" x14ac:dyDescent="0.3">
      <c r="A1121">
        <v>1116</v>
      </c>
      <c r="B1121" s="1">
        <v>5</v>
      </c>
      <c r="C1121" s="1">
        <v>0</v>
      </c>
      <c r="D1121" s="1">
        <v>0.04</v>
      </c>
      <c r="E1121" s="1">
        <v>8.5000000000000006E-2</v>
      </c>
      <c r="F1121" s="1">
        <v>5</v>
      </c>
      <c r="G1121" s="1">
        <v>1</v>
      </c>
      <c r="H1121" s="1">
        <v>1.37816739305</v>
      </c>
      <c r="I1121" s="1">
        <v>1.43978165541</v>
      </c>
      <c r="J1121" s="1">
        <v>0.75937075150099997</v>
      </c>
      <c r="K1121" s="1">
        <v>0</v>
      </c>
      <c r="L1121" s="1">
        <v>0</v>
      </c>
      <c r="M1121" s="1" t="s">
        <v>198</v>
      </c>
      <c r="N1121" s="1" t="b">
        <v>1</v>
      </c>
    </row>
    <row r="1122" spans="1:14" ht="19" customHeight="1" x14ac:dyDescent="0.3">
      <c r="A1122">
        <v>1117</v>
      </c>
      <c r="B1122" s="1">
        <v>5</v>
      </c>
      <c r="C1122" s="1">
        <v>0</v>
      </c>
      <c r="D1122" s="1">
        <v>5.5E-2</v>
      </c>
      <c r="E1122" s="1">
        <v>0.04</v>
      </c>
      <c r="F1122" s="1">
        <v>-5</v>
      </c>
      <c r="G1122" s="1">
        <v>0</v>
      </c>
      <c r="H1122" s="1">
        <v>1.30240279342</v>
      </c>
      <c r="I1122" s="1">
        <v>1.8060619744399999</v>
      </c>
      <c r="J1122" s="1">
        <v>0.91928163732699997</v>
      </c>
      <c r="K1122" s="1">
        <v>0</v>
      </c>
      <c r="L1122" s="1">
        <v>0</v>
      </c>
      <c r="M1122" s="1" t="s">
        <v>198</v>
      </c>
      <c r="N1122" s="1" t="b">
        <v>1</v>
      </c>
    </row>
    <row r="1123" spans="1:14" ht="19" customHeight="1" x14ac:dyDescent="0.3">
      <c r="A1123">
        <v>1118</v>
      </c>
      <c r="B1123" s="1">
        <v>5</v>
      </c>
      <c r="C1123" s="1">
        <v>0</v>
      </c>
      <c r="D1123" s="1">
        <v>5.5E-2</v>
      </c>
      <c r="E1123" s="1">
        <v>0.04</v>
      </c>
      <c r="F1123" s="1">
        <v>-5</v>
      </c>
      <c r="G1123" s="1">
        <v>1</v>
      </c>
      <c r="H1123" s="1">
        <v>1.30240279342</v>
      </c>
      <c r="I1123" s="1">
        <v>1.3545464808300001</v>
      </c>
      <c r="J1123" s="1">
        <v>0.75381094260799997</v>
      </c>
      <c r="K1123" s="1">
        <v>0</v>
      </c>
      <c r="L1123" s="1">
        <v>0</v>
      </c>
      <c r="M1123" s="1" t="s">
        <v>198</v>
      </c>
      <c r="N1123" s="1" t="b">
        <v>1</v>
      </c>
    </row>
    <row r="1124" spans="1:14" ht="19" customHeight="1" x14ac:dyDescent="0.3">
      <c r="A1124">
        <v>1119</v>
      </c>
      <c r="B1124" s="1">
        <v>5</v>
      </c>
      <c r="C1124" s="1">
        <v>0</v>
      </c>
      <c r="D1124" s="1">
        <v>5.5E-2</v>
      </c>
      <c r="E1124" s="1">
        <v>0.04</v>
      </c>
      <c r="F1124" s="1">
        <v>0</v>
      </c>
      <c r="G1124" s="1">
        <v>0</v>
      </c>
      <c r="H1124" s="1">
        <v>1.33203901348</v>
      </c>
      <c r="I1124" s="1">
        <v>1.84715897637</v>
      </c>
      <c r="J1124" s="1">
        <v>0.91178163732700002</v>
      </c>
      <c r="K1124" s="1">
        <v>0</v>
      </c>
      <c r="L1124" s="1">
        <v>0</v>
      </c>
      <c r="M1124" s="1" t="s">
        <v>198</v>
      </c>
      <c r="N1124" s="1" t="b">
        <v>1</v>
      </c>
    </row>
    <row r="1125" spans="1:14" ht="19" customHeight="1" x14ac:dyDescent="0.3">
      <c r="A1125">
        <v>1120</v>
      </c>
      <c r="B1125" s="1">
        <v>5</v>
      </c>
      <c r="C1125" s="1">
        <v>0</v>
      </c>
      <c r="D1125" s="1">
        <v>5.5E-2</v>
      </c>
      <c r="E1125" s="1">
        <v>0.04</v>
      </c>
      <c r="F1125" s="1">
        <v>0</v>
      </c>
      <c r="G1125" s="1">
        <v>1</v>
      </c>
      <c r="H1125" s="1">
        <v>1.33203901348</v>
      </c>
      <c r="I1125" s="1">
        <v>1.38536923228</v>
      </c>
      <c r="J1125" s="1">
        <v>0.74766094260799998</v>
      </c>
      <c r="K1125" s="1">
        <v>0</v>
      </c>
      <c r="L1125" s="1">
        <v>0</v>
      </c>
      <c r="M1125" s="1" t="s">
        <v>198</v>
      </c>
      <c r="N1125" s="1" t="b">
        <v>1</v>
      </c>
    </row>
    <row r="1126" spans="1:14" ht="19" customHeight="1" x14ac:dyDescent="0.3">
      <c r="A1126">
        <v>1121</v>
      </c>
      <c r="B1126" s="1">
        <v>5</v>
      </c>
      <c r="C1126" s="1">
        <v>0</v>
      </c>
      <c r="D1126" s="1">
        <v>5.5E-2</v>
      </c>
      <c r="E1126" s="1">
        <v>0.04</v>
      </c>
      <c r="F1126" s="1">
        <v>5</v>
      </c>
      <c r="G1126" s="1">
        <v>0</v>
      </c>
      <c r="H1126" s="1">
        <v>1.30240279342</v>
      </c>
      <c r="I1126" s="1">
        <v>1.8060619744399999</v>
      </c>
      <c r="J1126" s="1">
        <v>0.91928163732699997</v>
      </c>
      <c r="K1126" s="1">
        <v>0</v>
      </c>
      <c r="L1126" s="1">
        <v>0</v>
      </c>
      <c r="M1126" s="1" t="s">
        <v>198</v>
      </c>
      <c r="N1126" s="1" t="b">
        <v>1</v>
      </c>
    </row>
    <row r="1127" spans="1:14" ht="19" customHeight="1" x14ac:dyDescent="0.3">
      <c r="A1127">
        <v>1122</v>
      </c>
      <c r="B1127" s="1">
        <v>5</v>
      </c>
      <c r="C1127" s="1">
        <v>0</v>
      </c>
      <c r="D1127" s="1">
        <v>5.5E-2</v>
      </c>
      <c r="E1127" s="1">
        <v>0.04</v>
      </c>
      <c r="F1127" s="1">
        <v>5</v>
      </c>
      <c r="G1127" s="1">
        <v>1</v>
      </c>
      <c r="H1127" s="1">
        <v>1.30240279342</v>
      </c>
      <c r="I1127" s="1">
        <v>1.3545464808300001</v>
      </c>
      <c r="J1127" s="1">
        <v>0.75381094260799997</v>
      </c>
      <c r="K1127" s="1">
        <v>0</v>
      </c>
      <c r="L1127" s="1">
        <v>0</v>
      </c>
      <c r="M1127" s="1" t="s">
        <v>198</v>
      </c>
      <c r="N1127" s="1" t="b">
        <v>1</v>
      </c>
    </row>
    <row r="1128" spans="1:14" ht="19" customHeight="1" x14ac:dyDescent="0.3">
      <c r="A1128">
        <v>1123</v>
      </c>
      <c r="B1128" s="1">
        <v>5</v>
      </c>
      <c r="C1128" s="1">
        <v>0</v>
      </c>
      <c r="D1128" s="1">
        <v>5.5E-2</v>
      </c>
      <c r="E1128" s="1">
        <v>0.06</v>
      </c>
      <c r="F1128" s="1">
        <v>-5</v>
      </c>
      <c r="G1128" s="1">
        <v>0</v>
      </c>
      <c r="H1128" s="1">
        <v>1.33003239313</v>
      </c>
      <c r="I1128" s="1">
        <v>1.847506374</v>
      </c>
      <c r="J1128" s="1">
        <v>0.92175423964400005</v>
      </c>
      <c r="K1128" s="1">
        <v>0</v>
      </c>
      <c r="L1128" s="1">
        <v>0</v>
      </c>
      <c r="M1128" s="1" t="s">
        <v>198</v>
      </c>
      <c r="N1128" s="1" t="b">
        <v>1</v>
      </c>
    </row>
    <row r="1129" spans="1:14" ht="19" customHeight="1" x14ac:dyDescent="0.3">
      <c r="A1129">
        <v>1124</v>
      </c>
      <c r="B1129" s="1">
        <v>5</v>
      </c>
      <c r="C1129" s="1">
        <v>0</v>
      </c>
      <c r="D1129" s="1">
        <v>5.5E-2</v>
      </c>
      <c r="E1129" s="1">
        <v>0.06</v>
      </c>
      <c r="F1129" s="1">
        <v>-5</v>
      </c>
      <c r="G1129" s="1">
        <v>1</v>
      </c>
      <c r="H1129" s="1">
        <v>1.33003239313</v>
      </c>
      <c r="I1129" s="1">
        <v>1.3856297805</v>
      </c>
      <c r="J1129" s="1">
        <v>0.75583847650799996</v>
      </c>
      <c r="K1129" s="1">
        <v>0</v>
      </c>
      <c r="L1129" s="1">
        <v>0</v>
      </c>
      <c r="M1129" s="1" t="s">
        <v>198</v>
      </c>
      <c r="N1129" s="1" t="b">
        <v>1</v>
      </c>
    </row>
    <row r="1130" spans="1:14" ht="19" customHeight="1" x14ac:dyDescent="0.3">
      <c r="A1130">
        <v>1125</v>
      </c>
      <c r="B1130" s="1">
        <v>5</v>
      </c>
      <c r="C1130" s="1">
        <v>0</v>
      </c>
      <c r="D1130" s="1">
        <v>5.5E-2</v>
      </c>
      <c r="E1130" s="1">
        <v>0.06</v>
      </c>
      <c r="F1130" s="1">
        <v>0</v>
      </c>
      <c r="G1130" s="1">
        <v>0</v>
      </c>
      <c r="H1130" s="1">
        <v>1.3602973256799999</v>
      </c>
      <c r="I1130" s="1">
        <v>1.8895464446600001</v>
      </c>
      <c r="J1130" s="1">
        <v>0.91425423964399999</v>
      </c>
      <c r="K1130" s="1">
        <v>0</v>
      </c>
      <c r="L1130" s="1">
        <v>0</v>
      </c>
      <c r="M1130" s="1" t="s">
        <v>198</v>
      </c>
      <c r="N1130" s="1" t="b">
        <v>1</v>
      </c>
    </row>
    <row r="1131" spans="1:14" ht="19" customHeight="1" x14ac:dyDescent="0.3">
      <c r="A1131">
        <v>1126</v>
      </c>
      <c r="B1131" s="1">
        <v>5</v>
      </c>
      <c r="C1131" s="1">
        <v>0</v>
      </c>
      <c r="D1131" s="1">
        <v>5.5E-2</v>
      </c>
      <c r="E1131" s="1">
        <v>0.06</v>
      </c>
      <c r="F1131" s="1">
        <v>0</v>
      </c>
      <c r="G1131" s="1">
        <v>1</v>
      </c>
      <c r="H1131" s="1">
        <v>1.3602973256799999</v>
      </c>
      <c r="I1131" s="1">
        <v>1.4171598335</v>
      </c>
      <c r="J1131" s="1">
        <v>0.74968847650799997</v>
      </c>
      <c r="K1131" s="1">
        <v>0</v>
      </c>
      <c r="L1131" s="1">
        <v>0</v>
      </c>
      <c r="M1131" s="1" t="s">
        <v>198</v>
      </c>
      <c r="N1131" s="1" t="b">
        <v>1</v>
      </c>
    </row>
    <row r="1132" spans="1:14" ht="19" customHeight="1" x14ac:dyDescent="0.3">
      <c r="A1132">
        <v>1127</v>
      </c>
      <c r="B1132" s="1">
        <v>5</v>
      </c>
      <c r="C1132" s="1">
        <v>0</v>
      </c>
      <c r="D1132" s="1">
        <v>5.5E-2</v>
      </c>
      <c r="E1132" s="1">
        <v>0.06</v>
      </c>
      <c r="F1132" s="1">
        <v>5</v>
      </c>
      <c r="G1132" s="1">
        <v>0</v>
      </c>
      <c r="H1132" s="1">
        <v>1.33003239313</v>
      </c>
      <c r="I1132" s="1">
        <v>1.847506374</v>
      </c>
      <c r="J1132" s="1">
        <v>0.92175423964400005</v>
      </c>
      <c r="K1132" s="1">
        <v>0</v>
      </c>
      <c r="L1132" s="1">
        <v>0</v>
      </c>
      <c r="M1132" s="1" t="s">
        <v>198</v>
      </c>
      <c r="N1132" s="1" t="b">
        <v>1</v>
      </c>
    </row>
    <row r="1133" spans="1:14" ht="19" customHeight="1" x14ac:dyDescent="0.3">
      <c r="A1133">
        <v>1128</v>
      </c>
      <c r="B1133" s="1">
        <v>5</v>
      </c>
      <c r="C1133" s="1">
        <v>0</v>
      </c>
      <c r="D1133" s="1">
        <v>5.5E-2</v>
      </c>
      <c r="E1133" s="1">
        <v>0.06</v>
      </c>
      <c r="F1133" s="1">
        <v>5</v>
      </c>
      <c r="G1133" s="1">
        <v>1</v>
      </c>
      <c r="H1133" s="1">
        <v>1.33003239313</v>
      </c>
      <c r="I1133" s="1">
        <v>1.3856297805</v>
      </c>
      <c r="J1133" s="1">
        <v>0.75583847650799996</v>
      </c>
      <c r="K1133" s="1">
        <v>0</v>
      </c>
      <c r="L1133" s="1">
        <v>0</v>
      </c>
      <c r="M1133" s="1" t="s">
        <v>198</v>
      </c>
      <c r="N1133" s="1" t="b">
        <v>1</v>
      </c>
    </row>
    <row r="1134" spans="1:14" ht="19" customHeight="1" x14ac:dyDescent="0.3">
      <c r="A1134">
        <v>1129</v>
      </c>
      <c r="B1134" s="1">
        <v>5</v>
      </c>
      <c r="C1134" s="1">
        <v>0</v>
      </c>
      <c r="D1134" s="1">
        <v>5.5E-2</v>
      </c>
      <c r="E1134" s="1">
        <v>8.5000000000000006E-2</v>
      </c>
      <c r="F1134" s="1">
        <v>-5</v>
      </c>
      <c r="G1134" s="1">
        <v>0</v>
      </c>
      <c r="H1134" s="1">
        <v>1.2593978476200001</v>
      </c>
      <c r="I1134" s="1">
        <v>1.7415545557300001</v>
      </c>
      <c r="J1134" s="1">
        <v>0.91543307890600001</v>
      </c>
      <c r="K1134" s="1">
        <v>0</v>
      </c>
      <c r="L1134" s="1">
        <v>0</v>
      </c>
      <c r="M1134" s="1" t="s">
        <v>198</v>
      </c>
      <c r="N1134" s="1" t="b">
        <v>1</v>
      </c>
    </row>
    <row r="1135" spans="1:14" ht="19" customHeight="1" x14ac:dyDescent="0.3">
      <c r="A1135">
        <v>1130</v>
      </c>
      <c r="B1135" s="1">
        <v>5</v>
      </c>
      <c r="C1135" s="1">
        <v>0</v>
      </c>
      <c r="D1135" s="1">
        <v>5.5E-2</v>
      </c>
      <c r="E1135" s="1">
        <v>8.5000000000000006E-2</v>
      </c>
      <c r="F1135" s="1">
        <v>-5</v>
      </c>
      <c r="G1135" s="1">
        <v>1</v>
      </c>
      <c r="H1135" s="1">
        <v>1.2593978476200001</v>
      </c>
      <c r="I1135" s="1">
        <v>1.3061659167999999</v>
      </c>
      <c r="J1135" s="1">
        <v>0.750655124703</v>
      </c>
      <c r="K1135" s="1">
        <v>0</v>
      </c>
      <c r="L1135" s="1">
        <v>0</v>
      </c>
      <c r="M1135" s="1" t="s">
        <v>198</v>
      </c>
      <c r="N1135" s="1" t="b">
        <v>1</v>
      </c>
    </row>
    <row r="1136" spans="1:14" ht="19" customHeight="1" x14ac:dyDescent="0.3">
      <c r="A1136">
        <v>1131</v>
      </c>
      <c r="B1136" s="1">
        <v>5</v>
      </c>
      <c r="C1136" s="1">
        <v>0</v>
      </c>
      <c r="D1136" s="1">
        <v>5.5E-2</v>
      </c>
      <c r="E1136" s="1">
        <v>8.5000000000000006E-2</v>
      </c>
      <c r="F1136" s="1">
        <v>0</v>
      </c>
      <c r="G1136" s="1">
        <v>0</v>
      </c>
      <c r="H1136" s="1">
        <v>1.28805548867</v>
      </c>
      <c r="I1136" s="1">
        <v>1.7811836891499999</v>
      </c>
      <c r="J1136" s="1">
        <v>0.90793307890599995</v>
      </c>
      <c r="K1136" s="1">
        <v>0</v>
      </c>
      <c r="L1136" s="1">
        <v>0</v>
      </c>
      <c r="M1136" s="1" t="s">
        <v>198</v>
      </c>
      <c r="N1136" s="1" t="b">
        <v>1</v>
      </c>
    </row>
    <row r="1137" spans="1:14" ht="19" customHeight="1" x14ac:dyDescent="0.3">
      <c r="A1137">
        <v>1132</v>
      </c>
      <c r="B1137" s="1">
        <v>5</v>
      </c>
      <c r="C1137" s="1">
        <v>0</v>
      </c>
      <c r="D1137" s="1">
        <v>5.5E-2</v>
      </c>
      <c r="E1137" s="1">
        <v>8.5000000000000006E-2</v>
      </c>
      <c r="F1137" s="1">
        <v>0</v>
      </c>
      <c r="G1137" s="1">
        <v>1</v>
      </c>
      <c r="H1137" s="1">
        <v>1.28805548867</v>
      </c>
      <c r="I1137" s="1">
        <v>1.33588776686</v>
      </c>
      <c r="J1137" s="1">
        <v>0.74450512470300001</v>
      </c>
      <c r="K1137" s="1">
        <v>0</v>
      </c>
      <c r="L1137" s="1">
        <v>0</v>
      </c>
      <c r="M1137" s="1" t="s">
        <v>198</v>
      </c>
      <c r="N1137" s="1" t="b">
        <v>1</v>
      </c>
    </row>
    <row r="1138" spans="1:14" ht="19" customHeight="1" x14ac:dyDescent="0.3">
      <c r="A1138">
        <v>1133</v>
      </c>
      <c r="B1138" s="1">
        <v>5</v>
      </c>
      <c r="C1138" s="1">
        <v>0</v>
      </c>
      <c r="D1138" s="1">
        <v>5.5E-2</v>
      </c>
      <c r="E1138" s="1">
        <v>8.5000000000000006E-2</v>
      </c>
      <c r="F1138" s="1">
        <v>5</v>
      </c>
      <c r="G1138" s="1">
        <v>0</v>
      </c>
      <c r="H1138" s="1">
        <v>1.2593978476200001</v>
      </c>
      <c r="I1138" s="1">
        <v>1.7415545557300001</v>
      </c>
      <c r="J1138" s="1">
        <v>0.91543307890600001</v>
      </c>
      <c r="K1138" s="1">
        <v>0</v>
      </c>
      <c r="L1138" s="1">
        <v>0</v>
      </c>
      <c r="M1138" s="1" t="s">
        <v>198</v>
      </c>
      <c r="N1138" s="1" t="b">
        <v>1</v>
      </c>
    </row>
    <row r="1139" spans="1:14" ht="19" customHeight="1" x14ac:dyDescent="0.3">
      <c r="A1139">
        <v>1134</v>
      </c>
      <c r="B1139" s="1">
        <v>5</v>
      </c>
      <c r="C1139" s="1">
        <v>0</v>
      </c>
      <c r="D1139" s="1">
        <v>5.5E-2</v>
      </c>
      <c r="E1139" s="1">
        <v>8.5000000000000006E-2</v>
      </c>
      <c r="F1139" s="1">
        <v>5</v>
      </c>
      <c r="G1139" s="1">
        <v>1</v>
      </c>
      <c r="H1139" s="1">
        <v>1.2593978476200001</v>
      </c>
      <c r="I1139" s="1">
        <v>1.3061659167999999</v>
      </c>
      <c r="J1139" s="1">
        <v>0.750655124703</v>
      </c>
      <c r="K1139" s="1">
        <v>0</v>
      </c>
      <c r="L1139" s="1">
        <v>0</v>
      </c>
      <c r="M1139" s="1" t="s">
        <v>198</v>
      </c>
      <c r="N1139" s="1" t="b">
        <v>1</v>
      </c>
    </row>
    <row r="1140" spans="1:14" ht="19" customHeight="1" x14ac:dyDescent="0.3">
      <c r="A1140">
        <v>1135</v>
      </c>
      <c r="B1140" s="1">
        <v>5</v>
      </c>
      <c r="C1140" s="1">
        <v>30</v>
      </c>
      <c r="D1140" s="1">
        <v>2.5000000000000001E-2</v>
      </c>
      <c r="E1140" s="1">
        <v>0.04</v>
      </c>
      <c r="F1140" s="1">
        <v>-5</v>
      </c>
      <c r="G1140" s="1">
        <v>0</v>
      </c>
      <c r="H1140" s="1">
        <v>1.4362990820299999</v>
      </c>
      <c r="I1140" s="1">
        <v>2.0069064073599998</v>
      </c>
      <c r="J1140" s="1">
        <v>0.93126415886000002</v>
      </c>
      <c r="K1140" s="1">
        <v>2847.1005390400001</v>
      </c>
      <c r="L1140" s="1">
        <v>770.03905135800005</v>
      </c>
      <c r="M1140" s="1" t="s">
        <v>198</v>
      </c>
      <c r="N1140" s="1" t="b">
        <v>1</v>
      </c>
    </row>
    <row r="1141" spans="1:14" ht="19" customHeight="1" x14ac:dyDescent="0.3">
      <c r="A1141">
        <v>1136</v>
      </c>
      <c r="B1141" s="1">
        <v>5</v>
      </c>
      <c r="C1141" s="1">
        <v>30</v>
      </c>
      <c r="D1141" s="1">
        <v>2.5000000000000001E-2</v>
      </c>
      <c r="E1141" s="1">
        <v>0.04</v>
      </c>
      <c r="F1141" s="1">
        <v>-5</v>
      </c>
      <c r="G1141" s="1">
        <v>1</v>
      </c>
      <c r="H1141" s="1">
        <v>1.4362990820299999</v>
      </c>
      <c r="I1141" s="1">
        <v>1.5051798055200001</v>
      </c>
      <c r="J1141" s="1">
        <v>0.76363661026499996</v>
      </c>
      <c r="K1141" s="1">
        <v>2432.2353551400001</v>
      </c>
      <c r="L1141" s="1">
        <v>631.43202211300002</v>
      </c>
      <c r="M1141" s="1" t="s">
        <v>198</v>
      </c>
      <c r="N1141" s="1" t="b">
        <v>1</v>
      </c>
    </row>
    <row r="1142" spans="1:14" ht="19" customHeight="1" x14ac:dyDescent="0.3">
      <c r="A1142">
        <v>1137</v>
      </c>
      <c r="B1142" s="1">
        <v>5</v>
      </c>
      <c r="C1142" s="1">
        <v>30</v>
      </c>
      <c r="D1142" s="1">
        <v>2.5000000000000001E-2</v>
      </c>
      <c r="E1142" s="1">
        <v>0.04</v>
      </c>
      <c r="F1142" s="1">
        <v>0</v>
      </c>
      <c r="G1142" s="1">
        <v>0</v>
      </c>
      <c r="H1142" s="1">
        <v>1.4689821167199999</v>
      </c>
      <c r="I1142" s="1">
        <v>2.05257363122</v>
      </c>
      <c r="J1142" s="1">
        <v>0.92376415885999996</v>
      </c>
      <c r="K1142" s="1">
        <v>2911.8864090799998</v>
      </c>
      <c r="L1142" s="1">
        <v>763.83748885800003</v>
      </c>
      <c r="M1142" s="1" t="s">
        <v>198</v>
      </c>
      <c r="N1142" s="1" t="b">
        <v>1</v>
      </c>
    </row>
    <row r="1143" spans="1:14" ht="19" customHeight="1" x14ac:dyDescent="0.3">
      <c r="A1143">
        <v>1138</v>
      </c>
      <c r="B1143" s="1">
        <v>5</v>
      </c>
      <c r="C1143" s="1">
        <v>30</v>
      </c>
      <c r="D1143" s="1">
        <v>2.5000000000000001E-2</v>
      </c>
      <c r="E1143" s="1">
        <v>0.04</v>
      </c>
      <c r="F1143" s="1">
        <v>0</v>
      </c>
      <c r="G1143" s="1">
        <v>1</v>
      </c>
      <c r="H1143" s="1">
        <v>1.4689821167199999</v>
      </c>
      <c r="I1143" s="1">
        <v>1.5394302234199999</v>
      </c>
      <c r="J1143" s="1">
        <v>0.75748661026499997</v>
      </c>
      <c r="K1143" s="1">
        <v>2487.5809537499999</v>
      </c>
      <c r="L1143" s="1">
        <v>626.34674086300004</v>
      </c>
      <c r="M1143" s="1" t="s">
        <v>198</v>
      </c>
      <c r="N1143" s="1" t="b">
        <v>1</v>
      </c>
    </row>
    <row r="1144" spans="1:14" ht="19" customHeight="1" x14ac:dyDescent="0.3">
      <c r="A1144">
        <v>1139</v>
      </c>
      <c r="B1144" s="1">
        <v>5</v>
      </c>
      <c r="C1144" s="1">
        <v>30</v>
      </c>
      <c r="D1144" s="1">
        <v>2.5000000000000001E-2</v>
      </c>
      <c r="E1144" s="1">
        <v>0.04</v>
      </c>
      <c r="F1144" s="1">
        <v>5</v>
      </c>
      <c r="G1144" s="1">
        <v>0</v>
      </c>
      <c r="H1144" s="1">
        <v>1.4362990820299999</v>
      </c>
      <c r="I1144" s="1">
        <v>2.0069064073599998</v>
      </c>
      <c r="J1144" s="1">
        <v>0.93126415886000002</v>
      </c>
      <c r="K1144" s="1">
        <v>2847.1005390400001</v>
      </c>
      <c r="L1144" s="1">
        <v>770.03905135800005</v>
      </c>
      <c r="M1144" s="1" t="s">
        <v>198</v>
      </c>
      <c r="N1144" s="1" t="b">
        <v>1</v>
      </c>
    </row>
    <row r="1145" spans="1:14" ht="19" customHeight="1" x14ac:dyDescent="0.3">
      <c r="A1145">
        <v>1140</v>
      </c>
      <c r="B1145" s="1">
        <v>5</v>
      </c>
      <c r="C1145" s="1">
        <v>30</v>
      </c>
      <c r="D1145" s="1">
        <v>2.5000000000000001E-2</v>
      </c>
      <c r="E1145" s="1">
        <v>0.04</v>
      </c>
      <c r="F1145" s="1">
        <v>5</v>
      </c>
      <c r="G1145" s="1">
        <v>1</v>
      </c>
      <c r="H1145" s="1">
        <v>1.4362990820299999</v>
      </c>
      <c r="I1145" s="1">
        <v>1.5051798055200001</v>
      </c>
      <c r="J1145" s="1">
        <v>0.76363661026499996</v>
      </c>
      <c r="K1145" s="1">
        <v>2432.2353551400001</v>
      </c>
      <c r="L1145" s="1">
        <v>631.43202211300002</v>
      </c>
      <c r="M1145" s="1" t="s">
        <v>198</v>
      </c>
      <c r="N1145" s="1" t="b">
        <v>1</v>
      </c>
    </row>
    <row r="1146" spans="1:14" ht="19" customHeight="1" x14ac:dyDescent="0.3">
      <c r="A1146">
        <v>1141</v>
      </c>
      <c r="B1146" s="1">
        <v>5</v>
      </c>
      <c r="C1146" s="1">
        <v>30</v>
      </c>
      <c r="D1146" s="1">
        <v>2.5000000000000001E-2</v>
      </c>
      <c r="E1146" s="1">
        <v>0.06</v>
      </c>
      <c r="F1146" s="1">
        <v>-5</v>
      </c>
      <c r="G1146" s="1">
        <v>0</v>
      </c>
      <c r="H1146" s="1">
        <v>1.47691409567</v>
      </c>
      <c r="I1146" s="1">
        <v>2.0678289278099999</v>
      </c>
      <c r="J1146" s="1">
        <v>0.93489883970499998</v>
      </c>
      <c r="K1146" s="1">
        <v>2931.05938754</v>
      </c>
      <c r="L1146" s="1">
        <v>773.04447808099997</v>
      </c>
      <c r="M1146" s="1" t="s">
        <v>198</v>
      </c>
      <c r="N1146" s="1" t="b">
        <v>1</v>
      </c>
    </row>
    <row r="1147" spans="1:14" ht="19" customHeight="1" x14ac:dyDescent="0.3">
      <c r="A1147">
        <v>1142</v>
      </c>
      <c r="B1147" s="1">
        <v>5</v>
      </c>
      <c r="C1147" s="1">
        <v>30</v>
      </c>
      <c r="D1147" s="1">
        <v>2.5000000000000001E-2</v>
      </c>
      <c r="E1147" s="1">
        <v>0.06</v>
      </c>
      <c r="F1147" s="1">
        <v>-5</v>
      </c>
      <c r="G1147" s="1">
        <v>1</v>
      </c>
      <c r="H1147" s="1">
        <v>1.47691409567</v>
      </c>
      <c r="I1147" s="1">
        <v>1.55087169586</v>
      </c>
      <c r="J1147" s="1">
        <v>0.76661704855799995</v>
      </c>
      <c r="K1147" s="1">
        <v>2503.60037637</v>
      </c>
      <c r="L1147" s="1">
        <v>633.89647202699996</v>
      </c>
      <c r="M1147" s="1" t="s">
        <v>198</v>
      </c>
      <c r="N1147" s="1" t="b">
        <v>1</v>
      </c>
    </row>
    <row r="1148" spans="1:14" ht="19" customHeight="1" x14ac:dyDescent="0.3">
      <c r="A1148">
        <v>1143</v>
      </c>
      <c r="B1148" s="1">
        <v>5</v>
      </c>
      <c r="C1148" s="1">
        <v>30</v>
      </c>
      <c r="D1148" s="1">
        <v>2.5000000000000001E-2</v>
      </c>
      <c r="E1148" s="1">
        <v>0.06</v>
      </c>
      <c r="F1148" s="1">
        <v>0</v>
      </c>
      <c r="G1148" s="1">
        <v>0</v>
      </c>
      <c r="H1148" s="1">
        <v>1.5105213263699999</v>
      </c>
      <c r="I1148" s="1">
        <v>2.1148824457100002</v>
      </c>
      <c r="J1148" s="1">
        <v>0.92739883970500003</v>
      </c>
      <c r="K1148" s="1">
        <v>2997.7557440400001</v>
      </c>
      <c r="L1148" s="1">
        <v>766.84291558100006</v>
      </c>
      <c r="M1148" s="1" t="s">
        <v>198</v>
      </c>
      <c r="N1148" s="1" t="b">
        <v>1</v>
      </c>
    </row>
    <row r="1149" spans="1:14" ht="19" customHeight="1" x14ac:dyDescent="0.3">
      <c r="A1149">
        <v>1144</v>
      </c>
      <c r="B1149" s="1">
        <v>5</v>
      </c>
      <c r="C1149" s="1">
        <v>30</v>
      </c>
      <c r="D1149" s="1">
        <v>2.5000000000000001E-2</v>
      </c>
      <c r="E1149" s="1">
        <v>0.06</v>
      </c>
      <c r="F1149" s="1">
        <v>0</v>
      </c>
      <c r="G1149" s="1">
        <v>1</v>
      </c>
      <c r="H1149" s="1">
        <v>1.5105213263699999</v>
      </c>
      <c r="I1149" s="1">
        <v>1.5861618342799999</v>
      </c>
      <c r="J1149" s="1">
        <v>0.76046704855799996</v>
      </c>
      <c r="K1149" s="1">
        <v>2560.56988847</v>
      </c>
      <c r="L1149" s="1">
        <v>628.81119077699998</v>
      </c>
      <c r="M1149" s="1" t="s">
        <v>198</v>
      </c>
      <c r="N1149" s="1" t="b">
        <v>1</v>
      </c>
    </row>
    <row r="1150" spans="1:14" ht="19" customHeight="1" x14ac:dyDescent="0.3">
      <c r="A1150">
        <v>1145</v>
      </c>
      <c r="B1150" s="1">
        <v>5</v>
      </c>
      <c r="C1150" s="1">
        <v>30</v>
      </c>
      <c r="D1150" s="1">
        <v>2.5000000000000001E-2</v>
      </c>
      <c r="E1150" s="1">
        <v>0.06</v>
      </c>
      <c r="F1150" s="1">
        <v>5</v>
      </c>
      <c r="G1150" s="1">
        <v>0</v>
      </c>
      <c r="H1150" s="1">
        <v>1.47691409567</v>
      </c>
      <c r="I1150" s="1">
        <v>2.0678289278099999</v>
      </c>
      <c r="J1150" s="1">
        <v>0.93489883970499998</v>
      </c>
      <c r="K1150" s="1">
        <v>2931.05938754</v>
      </c>
      <c r="L1150" s="1">
        <v>773.04447808099997</v>
      </c>
      <c r="M1150" s="1" t="s">
        <v>198</v>
      </c>
      <c r="N1150" s="1" t="b">
        <v>1</v>
      </c>
    </row>
    <row r="1151" spans="1:14" ht="19" customHeight="1" x14ac:dyDescent="0.3">
      <c r="A1151">
        <v>1146</v>
      </c>
      <c r="B1151" s="1">
        <v>5</v>
      </c>
      <c r="C1151" s="1">
        <v>30</v>
      </c>
      <c r="D1151" s="1">
        <v>2.5000000000000001E-2</v>
      </c>
      <c r="E1151" s="1">
        <v>0.06</v>
      </c>
      <c r="F1151" s="1">
        <v>5</v>
      </c>
      <c r="G1151" s="1">
        <v>1</v>
      </c>
      <c r="H1151" s="1">
        <v>1.47691409567</v>
      </c>
      <c r="I1151" s="1">
        <v>1.55087169586</v>
      </c>
      <c r="J1151" s="1">
        <v>0.76661704855799995</v>
      </c>
      <c r="K1151" s="1">
        <v>2503.60037637</v>
      </c>
      <c r="L1151" s="1">
        <v>633.89647202699996</v>
      </c>
      <c r="M1151" s="1" t="s">
        <v>198</v>
      </c>
      <c r="N1151" s="1" t="b">
        <v>1</v>
      </c>
    </row>
    <row r="1152" spans="1:14" ht="19" customHeight="1" x14ac:dyDescent="0.3">
      <c r="A1152">
        <v>1147</v>
      </c>
      <c r="B1152" s="1">
        <v>5</v>
      </c>
      <c r="C1152" s="1">
        <v>30</v>
      </c>
      <c r="D1152" s="1">
        <v>2.5000000000000001E-2</v>
      </c>
      <c r="E1152" s="1">
        <v>8.5000000000000006E-2</v>
      </c>
      <c r="F1152" s="1">
        <v>-5</v>
      </c>
      <c r="G1152" s="1">
        <v>0</v>
      </c>
      <c r="H1152" s="1">
        <v>1.3730825867300001</v>
      </c>
      <c r="I1152" s="1">
        <v>1.91208166439</v>
      </c>
      <c r="J1152" s="1">
        <v>0.92560684733900001</v>
      </c>
      <c r="K1152" s="1">
        <v>2716.4201901400002</v>
      </c>
      <c r="L1152" s="1">
        <v>765.36116189300003</v>
      </c>
      <c r="M1152" s="1" t="s">
        <v>198</v>
      </c>
      <c r="N1152" s="1" t="b">
        <v>1</v>
      </c>
    </row>
    <row r="1153" spans="1:14" ht="19" customHeight="1" x14ac:dyDescent="0.3">
      <c r="A1153">
        <v>1148</v>
      </c>
      <c r="B1153" s="1">
        <v>5</v>
      </c>
      <c r="C1153" s="1">
        <v>30</v>
      </c>
      <c r="D1153" s="1">
        <v>2.5000000000000001E-2</v>
      </c>
      <c r="E1153" s="1">
        <v>8.5000000000000006E-2</v>
      </c>
      <c r="F1153" s="1">
        <v>-5</v>
      </c>
      <c r="G1153" s="1">
        <v>1</v>
      </c>
      <c r="H1153" s="1">
        <v>1.3730825867300001</v>
      </c>
      <c r="I1153" s="1">
        <v>1.4340612482999999</v>
      </c>
      <c r="J1153" s="1">
        <v>0.75899761481799999</v>
      </c>
      <c r="K1153" s="1">
        <v>2321.15705858</v>
      </c>
      <c r="L1153" s="1">
        <v>627.59615275199997</v>
      </c>
      <c r="M1153" s="1" t="s">
        <v>198</v>
      </c>
      <c r="N1153" s="1" t="b">
        <v>1</v>
      </c>
    </row>
    <row r="1154" spans="1:14" ht="19" customHeight="1" x14ac:dyDescent="0.3">
      <c r="A1154">
        <v>1149</v>
      </c>
      <c r="B1154" s="1">
        <v>5</v>
      </c>
      <c r="C1154" s="1">
        <v>30</v>
      </c>
      <c r="D1154" s="1">
        <v>2.5000000000000001E-2</v>
      </c>
      <c r="E1154" s="1">
        <v>8.5000000000000006E-2</v>
      </c>
      <c r="F1154" s="1">
        <v>0</v>
      </c>
      <c r="G1154" s="1">
        <v>0</v>
      </c>
      <c r="H1154" s="1">
        <v>1.4043271279</v>
      </c>
      <c r="I1154" s="1">
        <v>1.9555911479899999</v>
      </c>
      <c r="J1154" s="1">
        <v>0.91810684733900005</v>
      </c>
      <c r="K1154" s="1">
        <v>2778.2324243799999</v>
      </c>
      <c r="L1154" s="1">
        <v>759.15959939300001</v>
      </c>
      <c r="M1154" s="1" t="s">
        <v>198</v>
      </c>
      <c r="N1154" s="1" t="b">
        <v>1</v>
      </c>
    </row>
    <row r="1155" spans="1:14" ht="19" customHeight="1" x14ac:dyDescent="0.3">
      <c r="A1155">
        <v>1150</v>
      </c>
      <c r="B1155" s="1">
        <v>5</v>
      </c>
      <c r="C1155" s="1">
        <v>30</v>
      </c>
      <c r="D1155" s="1">
        <v>2.5000000000000001E-2</v>
      </c>
      <c r="E1155" s="1">
        <v>8.5000000000000006E-2</v>
      </c>
      <c r="F1155" s="1">
        <v>0</v>
      </c>
      <c r="G1155" s="1">
        <v>1</v>
      </c>
      <c r="H1155" s="1">
        <v>1.4043271279</v>
      </c>
      <c r="I1155" s="1">
        <v>1.4666933609899999</v>
      </c>
      <c r="J1155" s="1">
        <v>0.752847614818</v>
      </c>
      <c r="K1155" s="1">
        <v>2373.9750667500002</v>
      </c>
      <c r="L1155" s="1">
        <v>622.51087150199999</v>
      </c>
      <c r="M1155" s="1" t="s">
        <v>198</v>
      </c>
      <c r="N1155" s="1" t="b">
        <v>1</v>
      </c>
    </row>
    <row r="1156" spans="1:14" ht="19" customHeight="1" x14ac:dyDescent="0.3">
      <c r="A1156">
        <v>1151</v>
      </c>
      <c r="B1156" s="1">
        <v>5</v>
      </c>
      <c r="C1156" s="1">
        <v>30</v>
      </c>
      <c r="D1156" s="1">
        <v>2.5000000000000001E-2</v>
      </c>
      <c r="E1156" s="1">
        <v>8.5000000000000006E-2</v>
      </c>
      <c r="F1156" s="1">
        <v>5</v>
      </c>
      <c r="G1156" s="1">
        <v>0</v>
      </c>
      <c r="H1156" s="1">
        <v>1.3730825867300001</v>
      </c>
      <c r="I1156" s="1">
        <v>1.91208166439</v>
      </c>
      <c r="J1156" s="1">
        <v>0.92560684733900001</v>
      </c>
      <c r="K1156" s="1">
        <v>2716.4201901400002</v>
      </c>
      <c r="L1156" s="1">
        <v>765.36116189300003</v>
      </c>
      <c r="M1156" s="1" t="s">
        <v>198</v>
      </c>
      <c r="N1156" s="1" t="b">
        <v>1</v>
      </c>
    </row>
    <row r="1157" spans="1:14" ht="19" customHeight="1" x14ac:dyDescent="0.3">
      <c r="A1157">
        <v>1152</v>
      </c>
      <c r="B1157" s="1">
        <v>5</v>
      </c>
      <c r="C1157" s="1">
        <v>30</v>
      </c>
      <c r="D1157" s="1">
        <v>2.5000000000000001E-2</v>
      </c>
      <c r="E1157" s="1">
        <v>8.5000000000000006E-2</v>
      </c>
      <c r="F1157" s="1">
        <v>5</v>
      </c>
      <c r="G1157" s="1">
        <v>1</v>
      </c>
      <c r="H1157" s="1">
        <v>1.3730825867300001</v>
      </c>
      <c r="I1157" s="1">
        <v>1.4340612482999999</v>
      </c>
      <c r="J1157" s="1">
        <v>0.75899761481799999</v>
      </c>
      <c r="K1157" s="1">
        <v>2321.15705858</v>
      </c>
      <c r="L1157" s="1">
        <v>627.59615275199997</v>
      </c>
      <c r="M1157" s="1" t="s">
        <v>198</v>
      </c>
      <c r="N1157" s="1" t="b">
        <v>1</v>
      </c>
    </row>
    <row r="1158" spans="1:14" ht="19" customHeight="1" x14ac:dyDescent="0.3">
      <c r="A1158">
        <v>1153</v>
      </c>
      <c r="B1158" s="1">
        <v>5</v>
      </c>
      <c r="C1158" s="1">
        <v>30</v>
      </c>
      <c r="D1158" s="1">
        <v>0.04</v>
      </c>
      <c r="E1158" s="1">
        <v>0.04</v>
      </c>
      <c r="F1158" s="1">
        <v>-5</v>
      </c>
      <c r="G1158" s="1">
        <v>0</v>
      </c>
      <c r="H1158" s="1">
        <v>1.44228789549</v>
      </c>
      <c r="I1158" s="1">
        <v>2.01588962754</v>
      </c>
      <c r="J1158" s="1">
        <v>0.93180010415699999</v>
      </c>
      <c r="K1158" s="1">
        <v>2859.4805393500001</v>
      </c>
      <c r="L1158" s="1">
        <v>770.48221112500005</v>
      </c>
      <c r="M1158" s="1" t="s">
        <v>198</v>
      </c>
      <c r="N1158" s="1" t="b">
        <v>1</v>
      </c>
    </row>
    <row r="1159" spans="1:14" ht="19" customHeight="1" x14ac:dyDescent="0.3">
      <c r="A1159">
        <v>1154</v>
      </c>
      <c r="B1159" s="1">
        <v>5</v>
      </c>
      <c r="C1159" s="1">
        <v>30</v>
      </c>
      <c r="D1159" s="1">
        <v>0.04</v>
      </c>
      <c r="E1159" s="1">
        <v>0.04</v>
      </c>
      <c r="F1159" s="1">
        <v>-5</v>
      </c>
      <c r="G1159" s="1">
        <v>1</v>
      </c>
      <c r="H1159" s="1">
        <v>1.44228789549</v>
      </c>
      <c r="I1159" s="1">
        <v>1.51191722065</v>
      </c>
      <c r="J1159" s="1">
        <v>0.76407608540899996</v>
      </c>
      <c r="K1159" s="1">
        <v>2442.7583554100001</v>
      </c>
      <c r="L1159" s="1">
        <v>631.79541312200001</v>
      </c>
      <c r="M1159" s="1" t="s">
        <v>198</v>
      </c>
      <c r="N1159" s="1" t="b">
        <v>1</v>
      </c>
    </row>
    <row r="1160" spans="1:14" ht="19" customHeight="1" x14ac:dyDescent="0.3">
      <c r="A1160">
        <v>1155</v>
      </c>
      <c r="B1160" s="1">
        <v>5</v>
      </c>
      <c r="C1160" s="1">
        <v>30</v>
      </c>
      <c r="D1160" s="1">
        <v>0.04</v>
      </c>
      <c r="E1160" s="1">
        <v>0.04</v>
      </c>
      <c r="F1160" s="1">
        <v>0</v>
      </c>
      <c r="G1160" s="1">
        <v>0</v>
      </c>
      <c r="H1160" s="1">
        <v>1.4751072058200001</v>
      </c>
      <c r="I1160" s="1">
        <v>2.0617612648799999</v>
      </c>
      <c r="J1160" s="1">
        <v>0.92430010415700004</v>
      </c>
      <c r="K1160" s="1">
        <v>2924.5481167200001</v>
      </c>
      <c r="L1160" s="1">
        <v>764.28064862500003</v>
      </c>
      <c r="M1160" s="1" t="s">
        <v>198</v>
      </c>
      <c r="N1160" s="1" t="b">
        <v>1</v>
      </c>
    </row>
    <row r="1161" spans="1:14" ht="19" customHeight="1" x14ac:dyDescent="0.3">
      <c r="A1161">
        <v>1156</v>
      </c>
      <c r="B1161" s="1">
        <v>5</v>
      </c>
      <c r="C1161" s="1">
        <v>30</v>
      </c>
      <c r="D1161" s="1">
        <v>0.04</v>
      </c>
      <c r="E1161" s="1">
        <v>0.04</v>
      </c>
      <c r="F1161" s="1">
        <v>0</v>
      </c>
      <c r="G1161" s="1">
        <v>1</v>
      </c>
      <c r="H1161" s="1">
        <v>1.4751072058200001</v>
      </c>
      <c r="I1161" s="1">
        <v>1.54632094866</v>
      </c>
      <c r="J1161" s="1">
        <v>0.75792608540899997</v>
      </c>
      <c r="K1161" s="1">
        <v>2498.3434052399998</v>
      </c>
      <c r="L1161" s="1">
        <v>626.71013187200003</v>
      </c>
      <c r="M1161" s="1" t="s">
        <v>198</v>
      </c>
      <c r="N1161" s="1" t="b">
        <v>1</v>
      </c>
    </row>
    <row r="1162" spans="1:14" ht="19" customHeight="1" x14ac:dyDescent="0.3">
      <c r="A1162">
        <v>1157</v>
      </c>
      <c r="B1162" s="1">
        <v>5</v>
      </c>
      <c r="C1162" s="1">
        <v>30</v>
      </c>
      <c r="D1162" s="1">
        <v>0.04</v>
      </c>
      <c r="E1162" s="1">
        <v>0.04</v>
      </c>
      <c r="F1162" s="1">
        <v>5</v>
      </c>
      <c r="G1162" s="1">
        <v>0</v>
      </c>
      <c r="H1162" s="1">
        <v>1.44228789549</v>
      </c>
      <c r="I1162" s="1">
        <v>2.01588962754</v>
      </c>
      <c r="J1162" s="1">
        <v>0.93180010415699999</v>
      </c>
      <c r="K1162" s="1">
        <v>2859.4805393500001</v>
      </c>
      <c r="L1162" s="1">
        <v>770.48221112500005</v>
      </c>
      <c r="M1162" s="1" t="s">
        <v>198</v>
      </c>
      <c r="N1162" s="1" t="b">
        <v>1</v>
      </c>
    </row>
    <row r="1163" spans="1:14" ht="19" customHeight="1" x14ac:dyDescent="0.3">
      <c r="A1163">
        <v>1158</v>
      </c>
      <c r="B1163" s="1">
        <v>5</v>
      </c>
      <c r="C1163" s="1">
        <v>30</v>
      </c>
      <c r="D1163" s="1">
        <v>0.04</v>
      </c>
      <c r="E1163" s="1">
        <v>0.04</v>
      </c>
      <c r="F1163" s="1">
        <v>5</v>
      </c>
      <c r="G1163" s="1">
        <v>1</v>
      </c>
      <c r="H1163" s="1">
        <v>1.44228789549</v>
      </c>
      <c r="I1163" s="1">
        <v>1.51191722065</v>
      </c>
      <c r="J1163" s="1">
        <v>0.76407608540899996</v>
      </c>
      <c r="K1163" s="1">
        <v>2442.7583554100001</v>
      </c>
      <c r="L1163" s="1">
        <v>631.79541312200001</v>
      </c>
      <c r="M1163" s="1" t="s">
        <v>198</v>
      </c>
      <c r="N1163" s="1" t="b">
        <v>1</v>
      </c>
    </row>
    <row r="1164" spans="1:14" ht="19" customHeight="1" x14ac:dyDescent="0.3">
      <c r="A1164">
        <v>1159</v>
      </c>
      <c r="B1164" s="1">
        <v>5</v>
      </c>
      <c r="C1164" s="1">
        <v>30</v>
      </c>
      <c r="D1164" s="1">
        <v>0.04</v>
      </c>
      <c r="E1164" s="1">
        <v>0.06</v>
      </c>
      <c r="F1164" s="1">
        <v>-5</v>
      </c>
      <c r="G1164" s="1">
        <v>0</v>
      </c>
      <c r="H1164" s="1">
        <v>1.4834837110400001</v>
      </c>
      <c r="I1164" s="1">
        <v>2.0776833508700001</v>
      </c>
      <c r="J1164" s="1">
        <v>0.93548676158499999</v>
      </c>
      <c r="K1164" s="1">
        <v>2944.6400143199999</v>
      </c>
      <c r="L1164" s="1">
        <v>773.53061598600004</v>
      </c>
      <c r="M1164" s="1" t="s">
        <v>198</v>
      </c>
      <c r="N1164" s="1" t="b">
        <v>1</v>
      </c>
    </row>
    <row r="1165" spans="1:14" ht="19" customHeight="1" x14ac:dyDescent="0.3">
      <c r="A1165">
        <v>1160</v>
      </c>
      <c r="B1165" s="1">
        <v>5</v>
      </c>
      <c r="C1165" s="1">
        <v>30</v>
      </c>
      <c r="D1165" s="1">
        <v>0.04</v>
      </c>
      <c r="E1165" s="1">
        <v>0.06</v>
      </c>
      <c r="F1165" s="1">
        <v>-5</v>
      </c>
      <c r="G1165" s="1">
        <v>1</v>
      </c>
      <c r="H1165" s="1">
        <v>1.4834837110400001</v>
      </c>
      <c r="I1165" s="1">
        <v>1.5582625131500001</v>
      </c>
      <c r="J1165" s="1">
        <v>0.76709914450000005</v>
      </c>
      <c r="K1165" s="1">
        <v>2515.1439091299999</v>
      </c>
      <c r="L1165" s="1">
        <v>634.29510510800003</v>
      </c>
      <c r="M1165" s="1" t="s">
        <v>198</v>
      </c>
      <c r="N1165" s="1" t="b">
        <v>1</v>
      </c>
    </row>
    <row r="1166" spans="1:14" ht="19" customHeight="1" x14ac:dyDescent="0.3">
      <c r="A1166">
        <v>1161</v>
      </c>
      <c r="B1166" s="1">
        <v>5</v>
      </c>
      <c r="C1166" s="1">
        <v>30</v>
      </c>
      <c r="D1166" s="1">
        <v>0.04</v>
      </c>
      <c r="E1166" s="1">
        <v>0.06</v>
      </c>
      <c r="F1166" s="1">
        <v>0</v>
      </c>
      <c r="G1166" s="1">
        <v>0</v>
      </c>
      <c r="H1166" s="1">
        <v>1.51724043357</v>
      </c>
      <c r="I1166" s="1">
        <v>2.1249611064999998</v>
      </c>
      <c r="J1166" s="1">
        <v>0.92798676158500004</v>
      </c>
      <c r="K1166" s="1">
        <v>3011.6453984499999</v>
      </c>
      <c r="L1166" s="1">
        <v>767.32905348600002</v>
      </c>
      <c r="M1166" s="1" t="s">
        <v>198</v>
      </c>
      <c r="N1166" s="1" t="b">
        <v>1</v>
      </c>
    </row>
    <row r="1167" spans="1:14" ht="19" customHeight="1" x14ac:dyDescent="0.3">
      <c r="A1167">
        <v>1162</v>
      </c>
      <c r="B1167" s="1">
        <v>5</v>
      </c>
      <c r="C1167" s="1">
        <v>30</v>
      </c>
      <c r="D1167" s="1">
        <v>0.04</v>
      </c>
      <c r="E1167" s="1">
        <v>0.06</v>
      </c>
      <c r="F1167" s="1">
        <v>0</v>
      </c>
      <c r="G1167" s="1">
        <v>1</v>
      </c>
      <c r="H1167" s="1">
        <v>1.51724043357</v>
      </c>
      <c r="I1167" s="1">
        <v>1.5937208298800001</v>
      </c>
      <c r="J1167" s="1">
        <v>0.76094914449999995</v>
      </c>
      <c r="K1167" s="1">
        <v>2572.37609471</v>
      </c>
      <c r="L1167" s="1">
        <v>629.20982385800005</v>
      </c>
      <c r="M1167" s="1" t="s">
        <v>198</v>
      </c>
      <c r="N1167" s="1" t="b">
        <v>1</v>
      </c>
    </row>
    <row r="1168" spans="1:14" ht="19" customHeight="1" x14ac:dyDescent="0.3">
      <c r="A1168">
        <v>1163</v>
      </c>
      <c r="B1168" s="1">
        <v>5</v>
      </c>
      <c r="C1168" s="1">
        <v>30</v>
      </c>
      <c r="D1168" s="1">
        <v>0.04</v>
      </c>
      <c r="E1168" s="1">
        <v>0.06</v>
      </c>
      <c r="F1168" s="1">
        <v>5</v>
      </c>
      <c r="G1168" s="1">
        <v>0</v>
      </c>
      <c r="H1168" s="1">
        <v>1.4834837110400001</v>
      </c>
      <c r="I1168" s="1">
        <v>2.0776833508700001</v>
      </c>
      <c r="J1168" s="1">
        <v>0.93548676158499999</v>
      </c>
      <c r="K1168" s="1">
        <v>2944.6400143199999</v>
      </c>
      <c r="L1168" s="1">
        <v>773.53061598600004</v>
      </c>
      <c r="M1168" s="1" t="s">
        <v>198</v>
      </c>
      <c r="N1168" s="1" t="b">
        <v>1</v>
      </c>
    </row>
    <row r="1169" spans="1:14" ht="19" customHeight="1" x14ac:dyDescent="0.3">
      <c r="A1169">
        <v>1164</v>
      </c>
      <c r="B1169" s="1">
        <v>5</v>
      </c>
      <c r="C1169" s="1">
        <v>30</v>
      </c>
      <c r="D1169" s="1">
        <v>0.04</v>
      </c>
      <c r="E1169" s="1">
        <v>0.06</v>
      </c>
      <c r="F1169" s="1">
        <v>5</v>
      </c>
      <c r="G1169" s="1">
        <v>1</v>
      </c>
      <c r="H1169" s="1">
        <v>1.4834837110400001</v>
      </c>
      <c r="I1169" s="1">
        <v>1.5582625131500001</v>
      </c>
      <c r="J1169" s="1">
        <v>0.76709914450000005</v>
      </c>
      <c r="K1169" s="1">
        <v>2515.1439091299999</v>
      </c>
      <c r="L1169" s="1">
        <v>634.29510510800003</v>
      </c>
      <c r="M1169" s="1" t="s">
        <v>198</v>
      </c>
      <c r="N1169" s="1" t="b">
        <v>1</v>
      </c>
    </row>
    <row r="1170" spans="1:14" ht="19" customHeight="1" x14ac:dyDescent="0.3">
      <c r="A1170">
        <v>1165</v>
      </c>
      <c r="B1170" s="1">
        <v>5</v>
      </c>
      <c r="C1170" s="1">
        <v>30</v>
      </c>
      <c r="D1170" s="1">
        <v>0.04</v>
      </c>
      <c r="E1170" s="1">
        <v>8.5000000000000006E-2</v>
      </c>
      <c r="F1170" s="1">
        <v>-5</v>
      </c>
      <c r="G1170" s="1">
        <v>0</v>
      </c>
      <c r="H1170" s="1">
        <v>1.37816739305</v>
      </c>
      <c r="I1170" s="1">
        <v>1.9197088738800001</v>
      </c>
      <c r="J1170" s="1">
        <v>0.92606189207400003</v>
      </c>
      <c r="K1170" s="1">
        <v>2726.93143822</v>
      </c>
      <c r="L1170" s="1">
        <v>765.73742700900004</v>
      </c>
      <c r="M1170" s="1" t="s">
        <v>198</v>
      </c>
      <c r="N1170" s="1" t="b">
        <v>1</v>
      </c>
    </row>
    <row r="1171" spans="1:14" ht="19" customHeight="1" x14ac:dyDescent="0.3">
      <c r="A1171">
        <v>1166</v>
      </c>
      <c r="B1171" s="1">
        <v>5</v>
      </c>
      <c r="C1171" s="1">
        <v>30</v>
      </c>
      <c r="D1171" s="1">
        <v>0.04</v>
      </c>
      <c r="E1171" s="1">
        <v>8.5000000000000006E-2</v>
      </c>
      <c r="F1171" s="1">
        <v>-5</v>
      </c>
      <c r="G1171" s="1">
        <v>1</v>
      </c>
      <c r="H1171" s="1">
        <v>1.37816739305</v>
      </c>
      <c r="I1171" s="1">
        <v>1.43978165541</v>
      </c>
      <c r="J1171" s="1">
        <v>0.75937075150099997</v>
      </c>
      <c r="K1171" s="1">
        <v>2330.0916194400002</v>
      </c>
      <c r="L1171" s="1">
        <v>627.904690147</v>
      </c>
      <c r="M1171" s="1" t="s">
        <v>198</v>
      </c>
      <c r="N1171" s="1" t="b">
        <v>1</v>
      </c>
    </row>
    <row r="1172" spans="1:14" ht="19" customHeight="1" x14ac:dyDescent="0.3">
      <c r="A1172">
        <v>1167</v>
      </c>
      <c r="B1172" s="1">
        <v>5</v>
      </c>
      <c r="C1172" s="1">
        <v>30</v>
      </c>
      <c r="D1172" s="1">
        <v>0.04</v>
      </c>
      <c r="E1172" s="1">
        <v>8.5000000000000006E-2</v>
      </c>
      <c r="F1172" s="1">
        <v>0</v>
      </c>
      <c r="G1172" s="1">
        <v>0</v>
      </c>
      <c r="H1172" s="1">
        <v>1.40952763916</v>
      </c>
      <c r="I1172" s="1">
        <v>1.9633919148900001</v>
      </c>
      <c r="J1172" s="1">
        <v>0.91856189207399996</v>
      </c>
      <c r="K1172" s="1">
        <v>2788.9828562600001</v>
      </c>
      <c r="L1172" s="1">
        <v>759.53586450900002</v>
      </c>
      <c r="M1172" s="1" t="s">
        <v>198</v>
      </c>
      <c r="N1172" s="1" t="b">
        <v>1</v>
      </c>
    </row>
    <row r="1173" spans="1:14" ht="19" customHeight="1" x14ac:dyDescent="0.3">
      <c r="A1173">
        <v>1168</v>
      </c>
      <c r="B1173" s="1">
        <v>5</v>
      </c>
      <c r="C1173" s="1">
        <v>30</v>
      </c>
      <c r="D1173" s="1">
        <v>0.04</v>
      </c>
      <c r="E1173" s="1">
        <v>8.5000000000000006E-2</v>
      </c>
      <c r="F1173" s="1">
        <v>0</v>
      </c>
      <c r="G1173" s="1">
        <v>1</v>
      </c>
      <c r="H1173" s="1">
        <v>1.40952763916</v>
      </c>
      <c r="I1173" s="1">
        <v>1.4725439361699999</v>
      </c>
      <c r="J1173" s="1">
        <v>0.75322075150099999</v>
      </c>
      <c r="K1173" s="1">
        <v>2383.11293385</v>
      </c>
      <c r="L1173" s="1">
        <v>622.81940889700002</v>
      </c>
      <c r="M1173" s="1" t="s">
        <v>198</v>
      </c>
      <c r="N1173" s="1" t="b">
        <v>1</v>
      </c>
    </row>
    <row r="1174" spans="1:14" ht="19" customHeight="1" x14ac:dyDescent="0.3">
      <c r="A1174">
        <v>1169</v>
      </c>
      <c r="B1174" s="1">
        <v>5</v>
      </c>
      <c r="C1174" s="1">
        <v>30</v>
      </c>
      <c r="D1174" s="1">
        <v>0.04</v>
      </c>
      <c r="E1174" s="1">
        <v>8.5000000000000006E-2</v>
      </c>
      <c r="F1174" s="1">
        <v>5</v>
      </c>
      <c r="G1174" s="1">
        <v>0</v>
      </c>
      <c r="H1174" s="1">
        <v>1.37816739305</v>
      </c>
      <c r="I1174" s="1">
        <v>1.9197088738800001</v>
      </c>
      <c r="J1174" s="1">
        <v>0.92606189207400003</v>
      </c>
      <c r="K1174" s="1">
        <v>2726.93143822</v>
      </c>
      <c r="L1174" s="1">
        <v>765.73742700900004</v>
      </c>
      <c r="M1174" s="1" t="s">
        <v>198</v>
      </c>
      <c r="N1174" s="1" t="b">
        <v>1</v>
      </c>
    </row>
    <row r="1175" spans="1:14" ht="19" customHeight="1" x14ac:dyDescent="0.3">
      <c r="A1175">
        <v>1170</v>
      </c>
      <c r="B1175" s="1">
        <v>5</v>
      </c>
      <c r="C1175" s="1">
        <v>30</v>
      </c>
      <c r="D1175" s="1">
        <v>0.04</v>
      </c>
      <c r="E1175" s="1">
        <v>8.5000000000000006E-2</v>
      </c>
      <c r="F1175" s="1">
        <v>5</v>
      </c>
      <c r="G1175" s="1">
        <v>1</v>
      </c>
      <c r="H1175" s="1">
        <v>1.37816739305</v>
      </c>
      <c r="I1175" s="1">
        <v>1.43978165541</v>
      </c>
      <c r="J1175" s="1">
        <v>0.75937075150099997</v>
      </c>
      <c r="K1175" s="1">
        <v>2330.0916194400002</v>
      </c>
      <c r="L1175" s="1">
        <v>627.904690147</v>
      </c>
      <c r="M1175" s="1" t="s">
        <v>198</v>
      </c>
      <c r="N1175" s="1" t="b">
        <v>1</v>
      </c>
    </row>
    <row r="1176" spans="1:14" ht="19" customHeight="1" x14ac:dyDescent="0.3">
      <c r="A1176">
        <v>1171</v>
      </c>
      <c r="B1176" s="1">
        <v>5</v>
      </c>
      <c r="C1176" s="1">
        <v>30</v>
      </c>
      <c r="D1176" s="1">
        <v>5.5E-2</v>
      </c>
      <c r="E1176" s="1">
        <v>0.04</v>
      </c>
      <c r="F1176" s="1">
        <v>-5</v>
      </c>
      <c r="G1176" s="1">
        <v>0</v>
      </c>
      <c r="H1176" s="1">
        <v>1.30240279342</v>
      </c>
      <c r="I1176" s="1">
        <v>1.8060619744399999</v>
      </c>
      <c r="J1176" s="1">
        <v>0.91928163732699997</v>
      </c>
      <c r="K1176" s="1">
        <v>2570.3118049300001</v>
      </c>
      <c r="L1176" s="1">
        <v>760.13100386500003</v>
      </c>
      <c r="M1176" s="1" t="s">
        <v>198</v>
      </c>
      <c r="N1176" s="1" t="b">
        <v>1</v>
      </c>
    </row>
    <row r="1177" spans="1:14" ht="19" customHeight="1" x14ac:dyDescent="0.3">
      <c r="A1177">
        <v>1172</v>
      </c>
      <c r="B1177" s="1">
        <v>5</v>
      </c>
      <c r="C1177" s="1">
        <v>30</v>
      </c>
      <c r="D1177" s="1">
        <v>5.5E-2</v>
      </c>
      <c r="E1177" s="1">
        <v>0.04</v>
      </c>
      <c r="F1177" s="1">
        <v>-5</v>
      </c>
      <c r="G1177" s="1">
        <v>1</v>
      </c>
      <c r="H1177" s="1">
        <v>1.30240279342</v>
      </c>
      <c r="I1177" s="1">
        <v>1.3545464808300001</v>
      </c>
      <c r="J1177" s="1">
        <v>0.75381094260799997</v>
      </c>
      <c r="K1177" s="1">
        <v>2196.9649311500002</v>
      </c>
      <c r="L1177" s="1">
        <v>623.307423169</v>
      </c>
      <c r="M1177" s="1" t="s">
        <v>198</v>
      </c>
      <c r="N1177" s="1" t="b">
        <v>1</v>
      </c>
    </row>
    <row r="1178" spans="1:14" ht="19" customHeight="1" x14ac:dyDescent="0.3">
      <c r="A1178">
        <v>1173</v>
      </c>
      <c r="B1178" s="1">
        <v>5</v>
      </c>
      <c r="C1178" s="1">
        <v>30</v>
      </c>
      <c r="D1178" s="1">
        <v>5.5E-2</v>
      </c>
      <c r="E1178" s="1">
        <v>0.04</v>
      </c>
      <c r="F1178" s="1">
        <v>0</v>
      </c>
      <c r="G1178" s="1">
        <v>0</v>
      </c>
      <c r="H1178" s="1">
        <v>1.33203901348</v>
      </c>
      <c r="I1178" s="1">
        <v>1.84715897637</v>
      </c>
      <c r="J1178" s="1">
        <v>0.91178163732700002</v>
      </c>
      <c r="K1178" s="1">
        <v>2628.7993378599999</v>
      </c>
      <c r="L1178" s="1">
        <v>753.929441365</v>
      </c>
      <c r="M1178" s="1" t="s">
        <v>198</v>
      </c>
      <c r="N1178" s="1" t="b">
        <v>1</v>
      </c>
    </row>
    <row r="1179" spans="1:14" ht="19" customHeight="1" x14ac:dyDescent="0.3">
      <c r="A1179">
        <v>1174</v>
      </c>
      <c r="B1179" s="1">
        <v>5</v>
      </c>
      <c r="C1179" s="1">
        <v>30</v>
      </c>
      <c r="D1179" s="1">
        <v>5.5E-2</v>
      </c>
      <c r="E1179" s="1">
        <v>0.04</v>
      </c>
      <c r="F1179" s="1">
        <v>0</v>
      </c>
      <c r="G1179" s="1">
        <v>1</v>
      </c>
      <c r="H1179" s="1">
        <v>1.33203901348</v>
      </c>
      <c r="I1179" s="1">
        <v>1.38536923228</v>
      </c>
      <c r="J1179" s="1">
        <v>0.74766094260799998</v>
      </c>
      <c r="K1179" s="1">
        <v>2246.9569432200001</v>
      </c>
      <c r="L1179" s="1">
        <v>618.22214191900002</v>
      </c>
      <c r="M1179" s="1" t="s">
        <v>198</v>
      </c>
      <c r="N1179" s="1" t="b">
        <v>1</v>
      </c>
    </row>
    <row r="1180" spans="1:14" ht="19" customHeight="1" x14ac:dyDescent="0.3">
      <c r="A1180">
        <v>1175</v>
      </c>
      <c r="B1180" s="1">
        <v>5</v>
      </c>
      <c r="C1180" s="1">
        <v>30</v>
      </c>
      <c r="D1180" s="1">
        <v>5.5E-2</v>
      </c>
      <c r="E1180" s="1">
        <v>0.04</v>
      </c>
      <c r="F1180" s="1">
        <v>5</v>
      </c>
      <c r="G1180" s="1">
        <v>0</v>
      </c>
      <c r="H1180" s="1">
        <v>1.30240279342</v>
      </c>
      <c r="I1180" s="1">
        <v>1.8060619744399999</v>
      </c>
      <c r="J1180" s="1">
        <v>0.91928163732699997</v>
      </c>
      <c r="K1180" s="1">
        <v>2570.3118049300001</v>
      </c>
      <c r="L1180" s="1">
        <v>760.13100386500003</v>
      </c>
      <c r="M1180" s="1" t="s">
        <v>198</v>
      </c>
      <c r="N1180" s="1" t="b">
        <v>1</v>
      </c>
    </row>
    <row r="1181" spans="1:14" ht="19" customHeight="1" x14ac:dyDescent="0.3">
      <c r="A1181">
        <v>1176</v>
      </c>
      <c r="B1181" s="1">
        <v>5</v>
      </c>
      <c r="C1181" s="1">
        <v>30</v>
      </c>
      <c r="D1181" s="1">
        <v>5.5E-2</v>
      </c>
      <c r="E1181" s="1">
        <v>0.04</v>
      </c>
      <c r="F1181" s="1">
        <v>5</v>
      </c>
      <c r="G1181" s="1">
        <v>1</v>
      </c>
      <c r="H1181" s="1">
        <v>1.30240279342</v>
      </c>
      <c r="I1181" s="1">
        <v>1.3545464808300001</v>
      </c>
      <c r="J1181" s="1">
        <v>0.75381094260799997</v>
      </c>
      <c r="K1181" s="1">
        <v>2196.9649311500002</v>
      </c>
      <c r="L1181" s="1">
        <v>623.307423169</v>
      </c>
      <c r="M1181" s="1" t="s">
        <v>198</v>
      </c>
      <c r="N1181" s="1" t="b">
        <v>1</v>
      </c>
    </row>
    <row r="1182" spans="1:14" ht="19" customHeight="1" x14ac:dyDescent="0.3">
      <c r="A1182">
        <v>1177</v>
      </c>
      <c r="B1182" s="1">
        <v>5</v>
      </c>
      <c r="C1182" s="1">
        <v>30</v>
      </c>
      <c r="D1182" s="1">
        <v>5.5E-2</v>
      </c>
      <c r="E1182" s="1">
        <v>0.06</v>
      </c>
      <c r="F1182" s="1">
        <v>-5</v>
      </c>
      <c r="G1182" s="1">
        <v>0</v>
      </c>
      <c r="H1182" s="1">
        <v>1.33003239313</v>
      </c>
      <c r="I1182" s="1">
        <v>1.847506374</v>
      </c>
      <c r="J1182" s="1">
        <v>0.92175423964400005</v>
      </c>
      <c r="K1182" s="1">
        <v>2627.4273680699998</v>
      </c>
      <c r="L1182" s="1">
        <v>762.17553690600005</v>
      </c>
      <c r="M1182" s="1" t="s">
        <v>198</v>
      </c>
      <c r="N1182" s="1" t="b">
        <v>1</v>
      </c>
    </row>
    <row r="1183" spans="1:14" ht="19" customHeight="1" x14ac:dyDescent="0.3">
      <c r="A1183">
        <v>1178</v>
      </c>
      <c r="B1183" s="1">
        <v>5</v>
      </c>
      <c r="C1183" s="1">
        <v>30</v>
      </c>
      <c r="D1183" s="1">
        <v>5.5E-2</v>
      </c>
      <c r="E1183" s="1">
        <v>0.06</v>
      </c>
      <c r="F1183" s="1">
        <v>-5</v>
      </c>
      <c r="G1183" s="1">
        <v>1</v>
      </c>
      <c r="H1183" s="1">
        <v>1.33003239313</v>
      </c>
      <c r="I1183" s="1">
        <v>1.3856297805</v>
      </c>
      <c r="J1183" s="1">
        <v>0.75583847650799996</v>
      </c>
      <c r="K1183" s="1">
        <v>2245.5131598200001</v>
      </c>
      <c r="L1183" s="1">
        <v>624.98394026300002</v>
      </c>
      <c r="M1183" s="1" t="s">
        <v>198</v>
      </c>
      <c r="N1183" s="1" t="b">
        <v>1</v>
      </c>
    </row>
    <row r="1184" spans="1:14" ht="19" customHeight="1" x14ac:dyDescent="0.3">
      <c r="A1184">
        <v>1179</v>
      </c>
      <c r="B1184" s="1">
        <v>5</v>
      </c>
      <c r="C1184" s="1">
        <v>30</v>
      </c>
      <c r="D1184" s="1">
        <v>5.5E-2</v>
      </c>
      <c r="E1184" s="1">
        <v>0.06</v>
      </c>
      <c r="F1184" s="1">
        <v>0</v>
      </c>
      <c r="G1184" s="1">
        <v>0</v>
      </c>
      <c r="H1184" s="1">
        <v>1.3602973256799999</v>
      </c>
      <c r="I1184" s="1">
        <v>1.8895464446600001</v>
      </c>
      <c r="J1184" s="1">
        <v>0.91425423964399999</v>
      </c>
      <c r="K1184" s="1">
        <v>2687.2145676</v>
      </c>
      <c r="L1184" s="1">
        <v>755.97397440600002</v>
      </c>
      <c r="M1184" s="1" t="s">
        <v>198</v>
      </c>
      <c r="N1184" s="1" t="b">
        <v>1</v>
      </c>
    </row>
    <row r="1185" spans="1:14" ht="19" customHeight="1" x14ac:dyDescent="0.3">
      <c r="A1185">
        <v>1180</v>
      </c>
      <c r="B1185" s="1">
        <v>5</v>
      </c>
      <c r="C1185" s="1">
        <v>30</v>
      </c>
      <c r="D1185" s="1">
        <v>5.5E-2</v>
      </c>
      <c r="E1185" s="1">
        <v>0.06</v>
      </c>
      <c r="F1185" s="1">
        <v>0</v>
      </c>
      <c r="G1185" s="1">
        <v>1</v>
      </c>
      <c r="H1185" s="1">
        <v>1.3602973256799999</v>
      </c>
      <c r="I1185" s="1">
        <v>1.4171598335</v>
      </c>
      <c r="J1185" s="1">
        <v>0.74968847650799997</v>
      </c>
      <c r="K1185" s="1">
        <v>2296.6098884899998</v>
      </c>
      <c r="L1185" s="1">
        <v>619.89865901300004</v>
      </c>
      <c r="M1185" s="1" t="s">
        <v>198</v>
      </c>
      <c r="N1185" s="1" t="b">
        <v>1</v>
      </c>
    </row>
    <row r="1186" spans="1:14" ht="19" customHeight="1" x14ac:dyDescent="0.3">
      <c r="A1186">
        <v>1181</v>
      </c>
      <c r="B1186" s="1">
        <v>5</v>
      </c>
      <c r="C1186" s="1">
        <v>30</v>
      </c>
      <c r="D1186" s="1">
        <v>5.5E-2</v>
      </c>
      <c r="E1186" s="1">
        <v>0.06</v>
      </c>
      <c r="F1186" s="1">
        <v>5</v>
      </c>
      <c r="G1186" s="1">
        <v>0</v>
      </c>
      <c r="H1186" s="1">
        <v>1.33003239313</v>
      </c>
      <c r="I1186" s="1">
        <v>1.847506374</v>
      </c>
      <c r="J1186" s="1">
        <v>0.92175423964400005</v>
      </c>
      <c r="K1186" s="1">
        <v>2627.4273680699998</v>
      </c>
      <c r="L1186" s="1">
        <v>762.17553690600005</v>
      </c>
      <c r="M1186" s="1" t="s">
        <v>198</v>
      </c>
      <c r="N1186" s="1" t="b">
        <v>1</v>
      </c>
    </row>
    <row r="1187" spans="1:14" ht="19" customHeight="1" x14ac:dyDescent="0.3">
      <c r="A1187">
        <v>1182</v>
      </c>
      <c r="B1187" s="1">
        <v>5</v>
      </c>
      <c r="C1187" s="1">
        <v>30</v>
      </c>
      <c r="D1187" s="1">
        <v>5.5E-2</v>
      </c>
      <c r="E1187" s="1">
        <v>0.06</v>
      </c>
      <c r="F1187" s="1">
        <v>5</v>
      </c>
      <c r="G1187" s="1">
        <v>1</v>
      </c>
      <c r="H1187" s="1">
        <v>1.33003239313</v>
      </c>
      <c r="I1187" s="1">
        <v>1.3856297805</v>
      </c>
      <c r="J1187" s="1">
        <v>0.75583847650799996</v>
      </c>
      <c r="K1187" s="1">
        <v>2245.5131598200001</v>
      </c>
      <c r="L1187" s="1">
        <v>624.98394026300002</v>
      </c>
      <c r="M1187" s="1" t="s">
        <v>198</v>
      </c>
      <c r="N1187" s="1" t="b">
        <v>1</v>
      </c>
    </row>
    <row r="1188" spans="1:14" ht="19" customHeight="1" x14ac:dyDescent="0.3">
      <c r="A1188">
        <v>1183</v>
      </c>
      <c r="B1188" s="1">
        <v>5</v>
      </c>
      <c r="C1188" s="1">
        <v>30</v>
      </c>
      <c r="D1188" s="1">
        <v>5.5E-2</v>
      </c>
      <c r="E1188" s="1">
        <v>8.5000000000000006E-2</v>
      </c>
      <c r="F1188" s="1">
        <v>-5</v>
      </c>
      <c r="G1188" s="1">
        <v>0</v>
      </c>
      <c r="H1188" s="1">
        <v>1.2593978476200001</v>
      </c>
      <c r="I1188" s="1">
        <v>1.7415545557300001</v>
      </c>
      <c r="J1188" s="1">
        <v>0.91543307890600001</v>
      </c>
      <c r="K1188" s="1">
        <v>2481.41251852</v>
      </c>
      <c r="L1188" s="1">
        <v>756.94872711999994</v>
      </c>
      <c r="M1188" s="1" t="s">
        <v>198</v>
      </c>
      <c r="N1188" s="1" t="b">
        <v>1</v>
      </c>
    </row>
    <row r="1189" spans="1:14" ht="19" customHeight="1" x14ac:dyDescent="0.3">
      <c r="A1189">
        <v>1184</v>
      </c>
      <c r="B1189" s="1">
        <v>5</v>
      </c>
      <c r="C1189" s="1">
        <v>30</v>
      </c>
      <c r="D1189" s="1">
        <v>5.5E-2</v>
      </c>
      <c r="E1189" s="1">
        <v>8.5000000000000006E-2</v>
      </c>
      <c r="F1189" s="1">
        <v>-5</v>
      </c>
      <c r="G1189" s="1">
        <v>1</v>
      </c>
      <c r="H1189" s="1">
        <v>1.2593978476200001</v>
      </c>
      <c r="I1189" s="1">
        <v>1.3061659167999999</v>
      </c>
      <c r="J1189" s="1">
        <v>0.750655124703</v>
      </c>
      <c r="K1189" s="1">
        <v>2121.4005376999999</v>
      </c>
      <c r="L1189" s="1">
        <v>620.69795623899995</v>
      </c>
      <c r="M1189" s="1" t="s">
        <v>198</v>
      </c>
      <c r="N1189" s="1" t="b">
        <v>1</v>
      </c>
    </row>
    <row r="1190" spans="1:14" ht="19" customHeight="1" x14ac:dyDescent="0.3">
      <c r="A1190">
        <v>1185</v>
      </c>
      <c r="B1190" s="1">
        <v>5</v>
      </c>
      <c r="C1190" s="1">
        <v>30</v>
      </c>
      <c r="D1190" s="1">
        <v>5.5E-2</v>
      </c>
      <c r="E1190" s="1">
        <v>8.5000000000000006E-2</v>
      </c>
      <c r="F1190" s="1">
        <v>0</v>
      </c>
      <c r="G1190" s="1">
        <v>0</v>
      </c>
      <c r="H1190" s="1">
        <v>1.28805548867</v>
      </c>
      <c r="I1190" s="1">
        <v>1.7811836891499999</v>
      </c>
      <c r="J1190" s="1">
        <v>0.90793307890599995</v>
      </c>
      <c r="K1190" s="1">
        <v>2537.8771451600001</v>
      </c>
      <c r="L1190" s="1">
        <v>750.74716462000004</v>
      </c>
      <c r="M1190" s="1" t="s">
        <v>198</v>
      </c>
      <c r="N1190" s="1" t="b">
        <v>1</v>
      </c>
    </row>
    <row r="1191" spans="1:14" ht="19" customHeight="1" x14ac:dyDescent="0.3">
      <c r="A1191">
        <v>1186</v>
      </c>
      <c r="B1191" s="1">
        <v>5</v>
      </c>
      <c r="C1191" s="1">
        <v>30</v>
      </c>
      <c r="D1191" s="1">
        <v>5.5E-2</v>
      </c>
      <c r="E1191" s="1">
        <v>8.5000000000000006E-2</v>
      </c>
      <c r="F1191" s="1">
        <v>0</v>
      </c>
      <c r="G1191" s="1">
        <v>1</v>
      </c>
      <c r="H1191" s="1">
        <v>1.28805548867</v>
      </c>
      <c r="I1191" s="1">
        <v>1.33588776686</v>
      </c>
      <c r="J1191" s="1">
        <v>0.74450512470300001</v>
      </c>
      <c r="K1191" s="1">
        <v>2169.6730794099999</v>
      </c>
      <c r="L1191" s="1">
        <v>615.61267498899997</v>
      </c>
      <c r="M1191" s="1" t="s">
        <v>198</v>
      </c>
      <c r="N1191" s="1" t="b">
        <v>1</v>
      </c>
    </row>
    <row r="1192" spans="1:14" ht="19" customHeight="1" x14ac:dyDescent="0.3">
      <c r="A1192">
        <v>1187</v>
      </c>
      <c r="B1192" s="1">
        <v>5</v>
      </c>
      <c r="C1192" s="1">
        <v>30</v>
      </c>
      <c r="D1192" s="1">
        <v>5.5E-2</v>
      </c>
      <c r="E1192" s="1">
        <v>8.5000000000000006E-2</v>
      </c>
      <c r="F1192" s="1">
        <v>5</v>
      </c>
      <c r="G1192" s="1">
        <v>0</v>
      </c>
      <c r="H1192" s="1">
        <v>1.2593978476200001</v>
      </c>
      <c r="I1192" s="1">
        <v>1.7415545557300001</v>
      </c>
      <c r="J1192" s="1">
        <v>0.91543307890600001</v>
      </c>
      <c r="K1192" s="1">
        <v>2481.41251852</v>
      </c>
      <c r="L1192" s="1">
        <v>756.94872711999994</v>
      </c>
      <c r="M1192" s="1" t="s">
        <v>198</v>
      </c>
      <c r="N1192" s="1" t="b">
        <v>1</v>
      </c>
    </row>
    <row r="1193" spans="1:14" ht="19" customHeight="1" x14ac:dyDescent="0.3">
      <c r="A1193">
        <v>1188</v>
      </c>
      <c r="B1193" s="1">
        <v>5</v>
      </c>
      <c r="C1193" s="1">
        <v>30</v>
      </c>
      <c r="D1193" s="1">
        <v>5.5E-2</v>
      </c>
      <c r="E1193" s="1">
        <v>8.5000000000000006E-2</v>
      </c>
      <c r="F1193" s="1">
        <v>5</v>
      </c>
      <c r="G1193" s="1">
        <v>1</v>
      </c>
      <c r="H1193" s="1">
        <v>1.2593978476200001</v>
      </c>
      <c r="I1193" s="1">
        <v>1.3061659167999999</v>
      </c>
      <c r="J1193" s="1">
        <v>0.750655124703</v>
      </c>
      <c r="K1193" s="1">
        <v>2121.4005376999999</v>
      </c>
      <c r="L1193" s="1">
        <v>620.69795623899995</v>
      </c>
      <c r="M1193" s="1" t="s">
        <v>198</v>
      </c>
      <c r="N1193" s="1" t="b">
        <v>1</v>
      </c>
    </row>
    <row r="1194" spans="1:14" ht="19" customHeight="1" x14ac:dyDescent="0.3">
      <c r="A1194">
        <v>1189</v>
      </c>
      <c r="B1194" s="1">
        <v>5</v>
      </c>
      <c r="C1194" s="1">
        <v>50</v>
      </c>
      <c r="D1194" s="1">
        <v>2.5000000000000001E-2</v>
      </c>
      <c r="E1194" s="1">
        <v>0.04</v>
      </c>
      <c r="F1194" s="1">
        <v>-5</v>
      </c>
      <c r="G1194" s="1">
        <v>0</v>
      </c>
      <c r="H1194" s="1">
        <v>1.4362990820299999</v>
      </c>
      <c r="I1194" s="1">
        <v>2.0069064073599998</v>
      </c>
      <c r="J1194" s="1">
        <v>0.93126415886000002</v>
      </c>
      <c r="K1194" s="1">
        <v>7908.6126084500002</v>
      </c>
      <c r="L1194" s="1">
        <v>2138.9973648800001</v>
      </c>
      <c r="M1194" s="1" t="s">
        <v>198</v>
      </c>
      <c r="N1194" s="1" t="b">
        <v>1</v>
      </c>
    </row>
    <row r="1195" spans="1:14" ht="19" customHeight="1" x14ac:dyDescent="0.3">
      <c r="A1195">
        <v>1190</v>
      </c>
      <c r="B1195" s="1">
        <v>5</v>
      </c>
      <c r="C1195" s="1">
        <v>50</v>
      </c>
      <c r="D1195" s="1">
        <v>2.5000000000000001E-2</v>
      </c>
      <c r="E1195" s="1">
        <v>0.04</v>
      </c>
      <c r="F1195" s="1">
        <v>-5</v>
      </c>
      <c r="G1195" s="1">
        <v>1</v>
      </c>
      <c r="H1195" s="1">
        <v>1.4362990820299999</v>
      </c>
      <c r="I1195" s="1">
        <v>1.5051798055200001</v>
      </c>
      <c r="J1195" s="1">
        <v>0.76363661026499996</v>
      </c>
      <c r="K1195" s="1">
        <v>6756.2093198499997</v>
      </c>
      <c r="L1195" s="1">
        <v>1753.9778392000001</v>
      </c>
      <c r="M1195" s="1" t="s">
        <v>198</v>
      </c>
      <c r="N1195" s="1" t="b">
        <v>1</v>
      </c>
    </row>
    <row r="1196" spans="1:14" ht="19" customHeight="1" x14ac:dyDescent="0.3">
      <c r="A1196">
        <v>1191</v>
      </c>
      <c r="B1196" s="1">
        <v>5</v>
      </c>
      <c r="C1196" s="1">
        <v>50</v>
      </c>
      <c r="D1196" s="1">
        <v>2.5000000000000001E-2</v>
      </c>
      <c r="E1196" s="1">
        <v>0.04</v>
      </c>
      <c r="F1196" s="1">
        <v>0</v>
      </c>
      <c r="G1196" s="1">
        <v>0</v>
      </c>
      <c r="H1196" s="1">
        <v>1.4689821167199999</v>
      </c>
      <c r="I1196" s="1">
        <v>2.05257363122</v>
      </c>
      <c r="J1196" s="1">
        <v>0.92376415885999996</v>
      </c>
      <c r="K1196" s="1">
        <v>8088.5733585400003</v>
      </c>
      <c r="L1196" s="1">
        <v>2121.7708023800001</v>
      </c>
      <c r="M1196" s="1" t="s">
        <v>198</v>
      </c>
      <c r="N1196" s="1" t="b">
        <v>1</v>
      </c>
    </row>
    <row r="1197" spans="1:14" ht="19" customHeight="1" x14ac:dyDescent="0.3">
      <c r="A1197">
        <v>1192</v>
      </c>
      <c r="B1197" s="1">
        <v>5</v>
      </c>
      <c r="C1197" s="1">
        <v>50</v>
      </c>
      <c r="D1197" s="1">
        <v>2.5000000000000001E-2</v>
      </c>
      <c r="E1197" s="1">
        <v>0.04</v>
      </c>
      <c r="F1197" s="1">
        <v>0</v>
      </c>
      <c r="G1197" s="1">
        <v>1</v>
      </c>
      <c r="H1197" s="1">
        <v>1.4689821167199999</v>
      </c>
      <c r="I1197" s="1">
        <v>1.5394302234199999</v>
      </c>
      <c r="J1197" s="1">
        <v>0.75748661026499997</v>
      </c>
      <c r="K1197" s="1">
        <v>6909.9470937400001</v>
      </c>
      <c r="L1197" s="1">
        <v>1739.85205795</v>
      </c>
      <c r="M1197" s="1" t="s">
        <v>198</v>
      </c>
      <c r="N1197" s="1" t="b">
        <v>1</v>
      </c>
    </row>
    <row r="1198" spans="1:14" ht="19" customHeight="1" x14ac:dyDescent="0.3">
      <c r="A1198">
        <v>1193</v>
      </c>
      <c r="B1198" s="1">
        <v>5</v>
      </c>
      <c r="C1198" s="1">
        <v>50</v>
      </c>
      <c r="D1198" s="1">
        <v>2.5000000000000001E-2</v>
      </c>
      <c r="E1198" s="1">
        <v>0.04</v>
      </c>
      <c r="F1198" s="1">
        <v>5</v>
      </c>
      <c r="G1198" s="1">
        <v>0</v>
      </c>
      <c r="H1198" s="1">
        <v>1.4362990820299999</v>
      </c>
      <c r="I1198" s="1">
        <v>2.0069064073599998</v>
      </c>
      <c r="J1198" s="1">
        <v>0.93126415886000002</v>
      </c>
      <c r="K1198" s="1">
        <v>7908.6126084500002</v>
      </c>
      <c r="L1198" s="1">
        <v>2138.9973648800001</v>
      </c>
      <c r="M1198" s="1" t="s">
        <v>198</v>
      </c>
      <c r="N1198" s="1" t="b">
        <v>1</v>
      </c>
    </row>
    <row r="1199" spans="1:14" ht="19" customHeight="1" x14ac:dyDescent="0.3">
      <c r="A1199">
        <v>1194</v>
      </c>
      <c r="B1199" s="1">
        <v>5</v>
      </c>
      <c r="C1199" s="1">
        <v>50</v>
      </c>
      <c r="D1199" s="1">
        <v>2.5000000000000001E-2</v>
      </c>
      <c r="E1199" s="1">
        <v>0.04</v>
      </c>
      <c r="F1199" s="1">
        <v>5</v>
      </c>
      <c r="G1199" s="1">
        <v>1</v>
      </c>
      <c r="H1199" s="1">
        <v>1.4362990820299999</v>
      </c>
      <c r="I1199" s="1">
        <v>1.5051798055200001</v>
      </c>
      <c r="J1199" s="1">
        <v>0.76363661026499996</v>
      </c>
      <c r="K1199" s="1">
        <v>6756.2093198499997</v>
      </c>
      <c r="L1199" s="1">
        <v>1753.9778392000001</v>
      </c>
      <c r="M1199" s="1" t="s">
        <v>198</v>
      </c>
      <c r="N1199" s="1" t="b">
        <v>1</v>
      </c>
    </row>
    <row r="1200" spans="1:14" ht="19" customHeight="1" x14ac:dyDescent="0.3">
      <c r="A1200">
        <v>1195</v>
      </c>
      <c r="B1200" s="1">
        <v>5</v>
      </c>
      <c r="C1200" s="1">
        <v>50</v>
      </c>
      <c r="D1200" s="1">
        <v>2.5000000000000001E-2</v>
      </c>
      <c r="E1200" s="1">
        <v>0.06</v>
      </c>
      <c r="F1200" s="1">
        <v>-5</v>
      </c>
      <c r="G1200" s="1">
        <v>0</v>
      </c>
      <c r="H1200" s="1">
        <v>1.47691409567</v>
      </c>
      <c r="I1200" s="1">
        <v>2.0678289278099999</v>
      </c>
      <c r="J1200" s="1">
        <v>0.93489883970499998</v>
      </c>
      <c r="K1200" s="1">
        <v>8141.8316320499998</v>
      </c>
      <c r="L1200" s="1">
        <v>2147.3457724499999</v>
      </c>
      <c r="M1200" s="1" t="s">
        <v>198</v>
      </c>
      <c r="N1200" s="1" t="b">
        <v>1</v>
      </c>
    </row>
    <row r="1201" spans="1:14" ht="19" customHeight="1" x14ac:dyDescent="0.3">
      <c r="A1201">
        <v>1196</v>
      </c>
      <c r="B1201" s="1">
        <v>5</v>
      </c>
      <c r="C1201" s="1">
        <v>50</v>
      </c>
      <c r="D1201" s="1">
        <v>2.5000000000000001E-2</v>
      </c>
      <c r="E1201" s="1">
        <v>0.06</v>
      </c>
      <c r="F1201" s="1">
        <v>-5</v>
      </c>
      <c r="G1201" s="1">
        <v>1</v>
      </c>
      <c r="H1201" s="1">
        <v>1.47691409567</v>
      </c>
      <c r="I1201" s="1">
        <v>1.55087169586</v>
      </c>
      <c r="J1201" s="1">
        <v>0.76661704855799995</v>
      </c>
      <c r="K1201" s="1">
        <v>6954.4454899100001</v>
      </c>
      <c r="L1201" s="1">
        <v>1760.82353341</v>
      </c>
      <c r="M1201" s="1" t="s">
        <v>198</v>
      </c>
      <c r="N1201" s="1" t="b">
        <v>1</v>
      </c>
    </row>
    <row r="1202" spans="1:14" ht="19" customHeight="1" x14ac:dyDescent="0.3">
      <c r="A1202">
        <v>1197</v>
      </c>
      <c r="B1202" s="1">
        <v>5</v>
      </c>
      <c r="C1202" s="1">
        <v>50</v>
      </c>
      <c r="D1202" s="1">
        <v>2.5000000000000001E-2</v>
      </c>
      <c r="E1202" s="1">
        <v>0.06</v>
      </c>
      <c r="F1202" s="1">
        <v>0</v>
      </c>
      <c r="G1202" s="1">
        <v>0</v>
      </c>
      <c r="H1202" s="1">
        <v>1.5105213263699999</v>
      </c>
      <c r="I1202" s="1">
        <v>2.1148824457100002</v>
      </c>
      <c r="J1202" s="1">
        <v>0.92739883970500003</v>
      </c>
      <c r="K1202" s="1">
        <v>8327.0992889999998</v>
      </c>
      <c r="L1202" s="1">
        <v>2130.1192099499999</v>
      </c>
      <c r="M1202" s="1" t="s">
        <v>198</v>
      </c>
      <c r="N1202" s="1" t="b">
        <v>1</v>
      </c>
    </row>
    <row r="1203" spans="1:14" ht="19" customHeight="1" x14ac:dyDescent="0.3">
      <c r="A1203">
        <v>1198</v>
      </c>
      <c r="B1203" s="1">
        <v>5</v>
      </c>
      <c r="C1203" s="1">
        <v>50</v>
      </c>
      <c r="D1203" s="1">
        <v>2.5000000000000001E-2</v>
      </c>
      <c r="E1203" s="1">
        <v>0.06</v>
      </c>
      <c r="F1203" s="1">
        <v>0</v>
      </c>
      <c r="G1203" s="1">
        <v>1</v>
      </c>
      <c r="H1203" s="1">
        <v>1.5105213263699999</v>
      </c>
      <c r="I1203" s="1">
        <v>1.5861618342799999</v>
      </c>
      <c r="J1203" s="1">
        <v>0.76046704855799996</v>
      </c>
      <c r="K1203" s="1">
        <v>7112.69413463</v>
      </c>
      <c r="L1203" s="1">
        <v>1746.6977521599999</v>
      </c>
      <c r="M1203" s="1" t="s">
        <v>198</v>
      </c>
      <c r="N1203" s="1" t="b">
        <v>1</v>
      </c>
    </row>
    <row r="1204" spans="1:14" ht="19" customHeight="1" x14ac:dyDescent="0.3">
      <c r="A1204">
        <v>1199</v>
      </c>
      <c r="B1204" s="1">
        <v>5</v>
      </c>
      <c r="C1204" s="1">
        <v>50</v>
      </c>
      <c r="D1204" s="1">
        <v>2.5000000000000001E-2</v>
      </c>
      <c r="E1204" s="1">
        <v>0.06</v>
      </c>
      <c r="F1204" s="1">
        <v>5</v>
      </c>
      <c r="G1204" s="1">
        <v>0</v>
      </c>
      <c r="H1204" s="1">
        <v>1.47691409567</v>
      </c>
      <c r="I1204" s="1">
        <v>2.0678289278099999</v>
      </c>
      <c r="J1204" s="1">
        <v>0.93489883970499998</v>
      </c>
      <c r="K1204" s="1">
        <v>8141.8316320499998</v>
      </c>
      <c r="L1204" s="1">
        <v>2147.3457724499999</v>
      </c>
      <c r="M1204" s="1" t="s">
        <v>198</v>
      </c>
      <c r="N1204" s="1" t="b">
        <v>1</v>
      </c>
    </row>
    <row r="1205" spans="1:14" ht="19" customHeight="1" x14ac:dyDescent="0.3">
      <c r="A1205">
        <v>1200</v>
      </c>
      <c r="B1205" s="1">
        <v>5</v>
      </c>
      <c r="C1205" s="1">
        <v>50</v>
      </c>
      <c r="D1205" s="1">
        <v>2.5000000000000001E-2</v>
      </c>
      <c r="E1205" s="1">
        <v>0.06</v>
      </c>
      <c r="F1205" s="1">
        <v>5</v>
      </c>
      <c r="G1205" s="1">
        <v>1</v>
      </c>
      <c r="H1205" s="1">
        <v>1.47691409567</v>
      </c>
      <c r="I1205" s="1">
        <v>1.55087169586</v>
      </c>
      <c r="J1205" s="1">
        <v>0.76661704855799995</v>
      </c>
      <c r="K1205" s="1">
        <v>6954.4454899100001</v>
      </c>
      <c r="L1205" s="1">
        <v>1760.82353341</v>
      </c>
      <c r="M1205" s="1" t="s">
        <v>198</v>
      </c>
      <c r="N1205" s="1" t="b">
        <v>1</v>
      </c>
    </row>
    <row r="1206" spans="1:14" ht="19" customHeight="1" x14ac:dyDescent="0.3">
      <c r="A1206">
        <v>1201</v>
      </c>
      <c r="B1206" s="1">
        <v>5</v>
      </c>
      <c r="C1206" s="1">
        <v>50</v>
      </c>
      <c r="D1206" s="1">
        <v>2.5000000000000001E-2</v>
      </c>
      <c r="E1206" s="1">
        <v>8.5000000000000006E-2</v>
      </c>
      <c r="F1206" s="1">
        <v>-5</v>
      </c>
      <c r="G1206" s="1">
        <v>0</v>
      </c>
      <c r="H1206" s="1">
        <v>1.3730825867300001</v>
      </c>
      <c r="I1206" s="1">
        <v>1.91208166439</v>
      </c>
      <c r="J1206" s="1">
        <v>0.92560684733900001</v>
      </c>
      <c r="K1206" s="1">
        <v>7545.6116392900003</v>
      </c>
      <c r="L1206" s="1">
        <v>2126.0032274800001</v>
      </c>
      <c r="M1206" s="1" t="s">
        <v>198</v>
      </c>
      <c r="N1206" s="1" t="b">
        <v>1</v>
      </c>
    </row>
    <row r="1207" spans="1:14" ht="19" customHeight="1" x14ac:dyDescent="0.3">
      <c r="A1207">
        <v>1202</v>
      </c>
      <c r="B1207" s="1">
        <v>5</v>
      </c>
      <c r="C1207" s="1">
        <v>50</v>
      </c>
      <c r="D1207" s="1">
        <v>2.5000000000000001E-2</v>
      </c>
      <c r="E1207" s="1">
        <v>8.5000000000000006E-2</v>
      </c>
      <c r="F1207" s="1">
        <v>-5</v>
      </c>
      <c r="G1207" s="1">
        <v>1</v>
      </c>
      <c r="H1207" s="1">
        <v>1.3730825867300001</v>
      </c>
      <c r="I1207" s="1">
        <v>1.4340612482999999</v>
      </c>
      <c r="J1207" s="1">
        <v>0.75899761481799999</v>
      </c>
      <c r="K1207" s="1">
        <v>6447.6584960600003</v>
      </c>
      <c r="L1207" s="1">
        <v>1743.3226465299999</v>
      </c>
      <c r="M1207" s="1" t="s">
        <v>198</v>
      </c>
      <c r="N1207" s="1" t="b">
        <v>1</v>
      </c>
    </row>
    <row r="1208" spans="1:14" ht="19" customHeight="1" x14ac:dyDescent="0.3">
      <c r="A1208">
        <v>1203</v>
      </c>
      <c r="B1208" s="1">
        <v>5</v>
      </c>
      <c r="C1208" s="1">
        <v>50</v>
      </c>
      <c r="D1208" s="1">
        <v>2.5000000000000001E-2</v>
      </c>
      <c r="E1208" s="1">
        <v>8.5000000000000006E-2</v>
      </c>
      <c r="F1208" s="1">
        <v>0</v>
      </c>
      <c r="G1208" s="1">
        <v>0</v>
      </c>
      <c r="H1208" s="1">
        <v>1.4043271279</v>
      </c>
      <c r="I1208" s="1">
        <v>1.9555911479899999</v>
      </c>
      <c r="J1208" s="1">
        <v>0.91810684733900005</v>
      </c>
      <c r="K1208" s="1">
        <v>7717.3122899299997</v>
      </c>
      <c r="L1208" s="1">
        <v>2108.7766649800001</v>
      </c>
      <c r="M1208" s="1" t="s">
        <v>198</v>
      </c>
      <c r="N1208" s="1" t="b">
        <v>1</v>
      </c>
    </row>
    <row r="1209" spans="1:14" ht="19" customHeight="1" x14ac:dyDescent="0.3">
      <c r="A1209">
        <v>1204</v>
      </c>
      <c r="B1209" s="1">
        <v>5</v>
      </c>
      <c r="C1209" s="1">
        <v>50</v>
      </c>
      <c r="D1209" s="1">
        <v>2.5000000000000001E-2</v>
      </c>
      <c r="E1209" s="1">
        <v>8.5000000000000006E-2</v>
      </c>
      <c r="F1209" s="1">
        <v>0</v>
      </c>
      <c r="G1209" s="1">
        <v>1</v>
      </c>
      <c r="H1209" s="1">
        <v>1.4043271279</v>
      </c>
      <c r="I1209" s="1">
        <v>1.4666933609899999</v>
      </c>
      <c r="J1209" s="1">
        <v>0.752847614818</v>
      </c>
      <c r="K1209" s="1">
        <v>6594.37518542</v>
      </c>
      <c r="L1209" s="1">
        <v>1729.1968652800001</v>
      </c>
      <c r="M1209" s="1" t="s">
        <v>198</v>
      </c>
      <c r="N1209" s="1" t="b">
        <v>1</v>
      </c>
    </row>
    <row r="1210" spans="1:14" ht="19" customHeight="1" x14ac:dyDescent="0.3">
      <c r="A1210">
        <v>1205</v>
      </c>
      <c r="B1210" s="1">
        <v>5</v>
      </c>
      <c r="C1210" s="1">
        <v>50</v>
      </c>
      <c r="D1210" s="1">
        <v>2.5000000000000001E-2</v>
      </c>
      <c r="E1210" s="1">
        <v>8.5000000000000006E-2</v>
      </c>
      <c r="F1210" s="1">
        <v>5</v>
      </c>
      <c r="G1210" s="1">
        <v>0</v>
      </c>
      <c r="H1210" s="1">
        <v>1.3730825867300001</v>
      </c>
      <c r="I1210" s="1">
        <v>1.91208166439</v>
      </c>
      <c r="J1210" s="1">
        <v>0.92560684733900001</v>
      </c>
      <c r="K1210" s="1">
        <v>7545.6116392900003</v>
      </c>
      <c r="L1210" s="1">
        <v>2126.0032274800001</v>
      </c>
      <c r="M1210" s="1" t="s">
        <v>198</v>
      </c>
      <c r="N1210" s="1" t="b">
        <v>1</v>
      </c>
    </row>
    <row r="1211" spans="1:14" ht="19" customHeight="1" x14ac:dyDescent="0.3">
      <c r="A1211">
        <v>1206</v>
      </c>
      <c r="B1211" s="1">
        <v>5</v>
      </c>
      <c r="C1211" s="1">
        <v>50</v>
      </c>
      <c r="D1211" s="1">
        <v>2.5000000000000001E-2</v>
      </c>
      <c r="E1211" s="1">
        <v>8.5000000000000006E-2</v>
      </c>
      <c r="F1211" s="1">
        <v>5</v>
      </c>
      <c r="G1211" s="1">
        <v>1</v>
      </c>
      <c r="H1211" s="1">
        <v>1.3730825867300001</v>
      </c>
      <c r="I1211" s="1">
        <v>1.4340612482999999</v>
      </c>
      <c r="J1211" s="1">
        <v>0.75899761481799999</v>
      </c>
      <c r="K1211" s="1">
        <v>6447.6584960600003</v>
      </c>
      <c r="L1211" s="1">
        <v>1743.3226465299999</v>
      </c>
      <c r="M1211" s="1" t="s">
        <v>198</v>
      </c>
      <c r="N1211" s="1" t="b">
        <v>1</v>
      </c>
    </row>
    <row r="1212" spans="1:14" ht="19" customHeight="1" x14ac:dyDescent="0.3">
      <c r="A1212">
        <v>1207</v>
      </c>
      <c r="B1212" s="1">
        <v>5</v>
      </c>
      <c r="C1212" s="1">
        <v>50</v>
      </c>
      <c r="D1212" s="1">
        <v>0.04</v>
      </c>
      <c r="E1212" s="1">
        <v>0.04</v>
      </c>
      <c r="F1212" s="1">
        <v>-5</v>
      </c>
      <c r="G1212" s="1">
        <v>0</v>
      </c>
      <c r="H1212" s="1">
        <v>1.44228789549</v>
      </c>
      <c r="I1212" s="1">
        <v>2.01588962754</v>
      </c>
      <c r="J1212" s="1">
        <v>0.93180010415699999</v>
      </c>
      <c r="K1212" s="1">
        <v>7943.0014981900003</v>
      </c>
      <c r="L1212" s="1">
        <v>2140.2283642399998</v>
      </c>
      <c r="M1212" s="1" t="s">
        <v>198</v>
      </c>
      <c r="N1212" s="1" t="b">
        <v>1</v>
      </c>
    </row>
    <row r="1213" spans="1:14" ht="19" customHeight="1" x14ac:dyDescent="0.3">
      <c r="A1213">
        <v>1208</v>
      </c>
      <c r="B1213" s="1">
        <v>5</v>
      </c>
      <c r="C1213" s="1">
        <v>50</v>
      </c>
      <c r="D1213" s="1">
        <v>0.04</v>
      </c>
      <c r="E1213" s="1">
        <v>0.04</v>
      </c>
      <c r="F1213" s="1">
        <v>-5</v>
      </c>
      <c r="G1213" s="1">
        <v>1</v>
      </c>
      <c r="H1213" s="1">
        <v>1.44228789549</v>
      </c>
      <c r="I1213" s="1">
        <v>1.51191722065</v>
      </c>
      <c r="J1213" s="1">
        <v>0.76407608540899996</v>
      </c>
      <c r="K1213" s="1">
        <v>6785.4398761299999</v>
      </c>
      <c r="L1213" s="1">
        <v>1754.9872586700001</v>
      </c>
      <c r="M1213" s="1" t="s">
        <v>198</v>
      </c>
      <c r="N1213" s="1" t="b">
        <v>1</v>
      </c>
    </row>
    <row r="1214" spans="1:14" ht="19" customHeight="1" x14ac:dyDescent="0.3">
      <c r="A1214">
        <v>1209</v>
      </c>
      <c r="B1214" s="1">
        <v>5</v>
      </c>
      <c r="C1214" s="1">
        <v>50</v>
      </c>
      <c r="D1214" s="1">
        <v>0.04</v>
      </c>
      <c r="E1214" s="1">
        <v>0.04</v>
      </c>
      <c r="F1214" s="1">
        <v>0</v>
      </c>
      <c r="G1214" s="1">
        <v>0</v>
      </c>
      <c r="H1214" s="1">
        <v>1.4751072058200001</v>
      </c>
      <c r="I1214" s="1">
        <v>2.0617612648799999</v>
      </c>
      <c r="J1214" s="1">
        <v>0.92430010415700004</v>
      </c>
      <c r="K1214" s="1">
        <v>8123.74476865</v>
      </c>
      <c r="L1214" s="1">
        <v>2123.0018017399998</v>
      </c>
      <c r="M1214" s="1" t="s">
        <v>198</v>
      </c>
      <c r="N1214" s="1" t="b">
        <v>1</v>
      </c>
    </row>
    <row r="1215" spans="1:14" ht="19" customHeight="1" x14ac:dyDescent="0.3">
      <c r="A1215">
        <v>1210</v>
      </c>
      <c r="B1215" s="1">
        <v>5</v>
      </c>
      <c r="C1215" s="1">
        <v>50</v>
      </c>
      <c r="D1215" s="1">
        <v>0.04</v>
      </c>
      <c r="E1215" s="1">
        <v>0.04</v>
      </c>
      <c r="F1215" s="1">
        <v>0</v>
      </c>
      <c r="G1215" s="1">
        <v>1</v>
      </c>
      <c r="H1215" s="1">
        <v>1.4751072058200001</v>
      </c>
      <c r="I1215" s="1">
        <v>1.54632094866</v>
      </c>
      <c r="J1215" s="1">
        <v>0.75792608540899997</v>
      </c>
      <c r="K1215" s="1">
        <v>6939.8427923400004</v>
      </c>
      <c r="L1215" s="1">
        <v>1740.86147742</v>
      </c>
      <c r="M1215" s="1" t="s">
        <v>198</v>
      </c>
      <c r="N1215" s="1" t="b">
        <v>1</v>
      </c>
    </row>
    <row r="1216" spans="1:14" ht="19" customHeight="1" x14ac:dyDescent="0.3">
      <c r="A1216">
        <v>1211</v>
      </c>
      <c r="B1216" s="1">
        <v>5</v>
      </c>
      <c r="C1216" s="1">
        <v>50</v>
      </c>
      <c r="D1216" s="1">
        <v>0.04</v>
      </c>
      <c r="E1216" s="1">
        <v>0.04</v>
      </c>
      <c r="F1216" s="1">
        <v>5</v>
      </c>
      <c r="G1216" s="1">
        <v>0</v>
      </c>
      <c r="H1216" s="1">
        <v>1.44228789549</v>
      </c>
      <c r="I1216" s="1">
        <v>2.01588962754</v>
      </c>
      <c r="J1216" s="1">
        <v>0.93180010415699999</v>
      </c>
      <c r="K1216" s="1">
        <v>7943.0014981900003</v>
      </c>
      <c r="L1216" s="1">
        <v>2140.2283642399998</v>
      </c>
      <c r="M1216" s="1" t="s">
        <v>198</v>
      </c>
      <c r="N1216" s="1" t="b">
        <v>1</v>
      </c>
    </row>
    <row r="1217" spans="1:14" ht="19" customHeight="1" x14ac:dyDescent="0.3">
      <c r="A1217">
        <v>1212</v>
      </c>
      <c r="B1217" s="1">
        <v>5</v>
      </c>
      <c r="C1217" s="1">
        <v>50</v>
      </c>
      <c r="D1217" s="1">
        <v>0.04</v>
      </c>
      <c r="E1217" s="1">
        <v>0.04</v>
      </c>
      <c r="F1217" s="1">
        <v>5</v>
      </c>
      <c r="G1217" s="1">
        <v>1</v>
      </c>
      <c r="H1217" s="1">
        <v>1.44228789549</v>
      </c>
      <c r="I1217" s="1">
        <v>1.51191722065</v>
      </c>
      <c r="J1217" s="1">
        <v>0.76407608540899996</v>
      </c>
      <c r="K1217" s="1">
        <v>6785.4398761299999</v>
      </c>
      <c r="L1217" s="1">
        <v>1754.9872586700001</v>
      </c>
      <c r="M1217" s="1" t="s">
        <v>198</v>
      </c>
      <c r="N1217" s="1" t="b">
        <v>1</v>
      </c>
    </row>
    <row r="1218" spans="1:14" ht="19" customHeight="1" x14ac:dyDescent="0.3">
      <c r="A1218">
        <v>1213</v>
      </c>
      <c r="B1218" s="1">
        <v>5</v>
      </c>
      <c r="C1218" s="1">
        <v>50</v>
      </c>
      <c r="D1218" s="1">
        <v>0.04</v>
      </c>
      <c r="E1218" s="1">
        <v>0.06</v>
      </c>
      <c r="F1218" s="1">
        <v>-5</v>
      </c>
      <c r="G1218" s="1">
        <v>0</v>
      </c>
      <c r="H1218" s="1">
        <v>1.4834837110400001</v>
      </c>
      <c r="I1218" s="1">
        <v>2.0776833508700001</v>
      </c>
      <c r="J1218" s="1">
        <v>0.93548676158499999</v>
      </c>
      <c r="K1218" s="1">
        <v>8179.55559533</v>
      </c>
      <c r="L1218" s="1">
        <v>2148.69615552</v>
      </c>
      <c r="M1218" s="1" t="s">
        <v>198</v>
      </c>
      <c r="N1218" s="1" t="b">
        <v>1</v>
      </c>
    </row>
    <row r="1219" spans="1:14" ht="19" customHeight="1" x14ac:dyDescent="0.3">
      <c r="A1219">
        <v>1214</v>
      </c>
      <c r="B1219" s="1">
        <v>5</v>
      </c>
      <c r="C1219" s="1">
        <v>50</v>
      </c>
      <c r="D1219" s="1">
        <v>0.04</v>
      </c>
      <c r="E1219" s="1">
        <v>0.06</v>
      </c>
      <c r="F1219" s="1">
        <v>-5</v>
      </c>
      <c r="G1219" s="1">
        <v>1</v>
      </c>
      <c r="H1219" s="1">
        <v>1.4834837110400001</v>
      </c>
      <c r="I1219" s="1">
        <v>1.5582625131500001</v>
      </c>
      <c r="J1219" s="1">
        <v>0.76709914450000005</v>
      </c>
      <c r="K1219" s="1">
        <v>6986.5108587000004</v>
      </c>
      <c r="L1219" s="1">
        <v>1761.93084752</v>
      </c>
      <c r="M1219" s="1" t="s">
        <v>198</v>
      </c>
      <c r="N1219" s="1" t="b">
        <v>1</v>
      </c>
    </row>
    <row r="1220" spans="1:14" ht="19" customHeight="1" x14ac:dyDescent="0.3">
      <c r="A1220">
        <v>1215</v>
      </c>
      <c r="B1220" s="1">
        <v>5</v>
      </c>
      <c r="C1220" s="1">
        <v>50</v>
      </c>
      <c r="D1220" s="1">
        <v>0.04</v>
      </c>
      <c r="E1220" s="1">
        <v>0.06</v>
      </c>
      <c r="F1220" s="1">
        <v>0</v>
      </c>
      <c r="G1220" s="1">
        <v>0</v>
      </c>
      <c r="H1220" s="1">
        <v>1.51724043357</v>
      </c>
      <c r="I1220" s="1">
        <v>2.1249611064999998</v>
      </c>
      <c r="J1220" s="1">
        <v>0.92798676158500004</v>
      </c>
      <c r="K1220" s="1">
        <v>8365.6816623600007</v>
      </c>
      <c r="L1220" s="1">
        <v>2131.46959302</v>
      </c>
      <c r="M1220" s="1" t="s">
        <v>198</v>
      </c>
      <c r="N1220" s="1" t="b">
        <v>1</v>
      </c>
    </row>
    <row r="1221" spans="1:14" ht="19" customHeight="1" x14ac:dyDescent="0.3">
      <c r="A1221">
        <v>1216</v>
      </c>
      <c r="B1221" s="1">
        <v>5</v>
      </c>
      <c r="C1221" s="1">
        <v>50</v>
      </c>
      <c r="D1221" s="1">
        <v>0.04</v>
      </c>
      <c r="E1221" s="1">
        <v>0.06</v>
      </c>
      <c r="F1221" s="1">
        <v>0</v>
      </c>
      <c r="G1221" s="1">
        <v>1</v>
      </c>
      <c r="H1221" s="1">
        <v>1.51724043357</v>
      </c>
      <c r="I1221" s="1">
        <v>1.5937208298800001</v>
      </c>
      <c r="J1221" s="1">
        <v>0.76094914449999995</v>
      </c>
      <c r="K1221" s="1">
        <v>7145.4891519800003</v>
      </c>
      <c r="L1221" s="1">
        <v>1747.80506627</v>
      </c>
      <c r="M1221" s="1" t="s">
        <v>198</v>
      </c>
      <c r="N1221" s="1" t="b">
        <v>1</v>
      </c>
    </row>
    <row r="1222" spans="1:14" ht="19" customHeight="1" x14ac:dyDescent="0.3">
      <c r="A1222">
        <v>1217</v>
      </c>
      <c r="B1222" s="1">
        <v>5</v>
      </c>
      <c r="C1222" s="1">
        <v>50</v>
      </c>
      <c r="D1222" s="1">
        <v>0.04</v>
      </c>
      <c r="E1222" s="1">
        <v>0.06</v>
      </c>
      <c r="F1222" s="1">
        <v>5</v>
      </c>
      <c r="G1222" s="1">
        <v>0</v>
      </c>
      <c r="H1222" s="1">
        <v>1.4834837110400001</v>
      </c>
      <c r="I1222" s="1">
        <v>2.0776833508700001</v>
      </c>
      <c r="J1222" s="1">
        <v>0.93548676158499999</v>
      </c>
      <c r="K1222" s="1">
        <v>8179.55559533</v>
      </c>
      <c r="L1222" s="1">
        <v>2148.69615552</v>
      </c>
      <c r="M1222" s="1" t="s">
        <v>198</v>
      </c>
      <c r="N1222" s="1" t="b">
        <v>1</v>
      </c>
    </row>
    <row r="1223" spans="1:14" ht="19" customHeight="1" x14ac:dyDescent="0.3">
      <c r="A1223">
        <v>1218</v>
      </c>
      <c r="B1223" s="1">
        <v>5</v>
      </c>
      <c r="C1223" s="1">
        <v>50</v>
      </c>
      <c r="D1223" s="1">
        <v>0.04</v>
      </c>
      <c r="E1223" s="1">
        <v>0.06</v>
      </c>
      <c r="F1223" s="1">
        <v>5</v>
      </c>
      <c r="G1223" s="1">
        <v>1</v>
      </c>
      <c r="H1223" s="1">
        <v>1.4834837110400001</v>
      </c>
      <c r="I1223" s="1">
        <v>1.5582625131500001</v>
      </c>
      <c r="J1223" s="1">
        <v>0.76709914450000005</v>
      </c>
      <c r="K1223" s="1">
        <v>6986.5108587000004</v>
      </c>
      <c r="L1223" s="1">
        <v>1761.93084752</v>
      </c>
      <c r="M1223" s="1" t="s">
        <v>198</v>
      </c>
      <c r="N1223" s="1" t="b">
        <v>1</v>
      </c>
    </row>
    <row r="1224" spans="1:14" ht="19" customHeight="1" x14ac:dyDescent="0.3">
      <c r="A1224">
        <v>1219</v>
      </c>
      <c r="B1224" s="1">
        <v>5</v>
      </c>
      <c r="C1224" s="1">
        <v>50</v>
      </c>
      <c r="D1224" s="1">
        <v>0.04</v>
      </c>
      <c r="E1224" s="1">
        <v>8.5000000000000006E-2</v>
      </c>
      <c r="F1224" s="1">
        <v>-5</v>
      </c>
      <c r="G1224" s="1">
        <v>0</v>
      </c>
      <c r="H1224" s="1">
        <v>1.37816739305</v>
      </c>
      <c r="I1224" s="1">
        <v>1.9197088738800001</v>
      </c>
      <c r="J1224" s="1">
        <v>0.92606189207400003</v>
      </c>
      <c r="K1224" s="1">
        <v>7574.8095506</v>
      </c>
      <c r="L1224" s="1">
        <v>2127.0484083599999</v>
      </c>
      <c r="M1224" s="1" t="s">
        <v>198</v>
      </c>
      <c r="N1224" s="1" t="b">
        <v>1</v>
      </c>
    </row>
    <row r="1225" spans="1:14" ht="19" customHeight="1" x14ac:dyDescent="0.3">
      <c r="A1225">
        <v>1220</v>
      </c>
      <c r="B1225" s="1">
        <v>5</v>
      </c>
      <c r="C1225" s="1">
        <v>50</v>
      </c>
      <c r="D1225" s="1">
        <v>0.04</v>
      </c>
      <c r="E1225" s="1">
        <v>8.5000000000000006E-2</v>
      </c>
      <c r="F1225" s="1">
        <v>-5</v>
      </c>
      <c r="G1225" s="1">
        <v>1</v>
      </c>
      <c r="H1225" s="1">
        <v>1.37816739305</v>
      </c>
      <c r="I1225" s="1">
        <v>1.43978165541</v>
      </c>
      <c r="J1225" s="1">
        <v>0.75937075150099997</v>
      </c>
      <c r="K1225" s="1">
        <v>6472.4767206799997</v>
      </c>
      <c r="L1225" s="1">
        <v>1744.17969485</v>
      </c>
      <c r="M1225" s="1" t="s">
        <v>198</v>
      </c>
      <c r="N1225" s="1" t="b">
        <v>1</v>
      </c>
    </row>
    <row r="1226" spans="1:14" ht="19" customHeight="1" x14ac:dyDescent="0.3">
      <c r="A1226">
        <v>1221</v>
      </c>
      <c r="B1226" s="1">
        <v>5</v>
      </c>
      <c r="C1226" s="1">
        <v>50</v>
      </c>
      <c r="D1226" s="1">
        <v>0.04</v>
      </c>
      <c r="E1226" s="1">
        <v>8.5000000000000006E-2</v>
      </c>
      <c r="F1226" s="1">
        <v>0</v>
      </c>
      <c r="G1226" s="1">
        <v>0</v>
      </c>
      <c r="H1226" s="1">
        <v>1.40952763916</v>
      </c>
      <c r="I1226" s="1">
        <v>1.9633919148900001</v>
      </c>
      <c r="J1226" s="1">
        <v>0.91856189207399996</v>
      </c>
      <c r="K1226" s="1">
        <v>7747.17460071</v>
      </c>
      <c r="L1226" s="1">
        <v>2109.8218458599999</v>
      </c>
      <c r="M1226" s="1" t="s">
        <v>198</v>
      </c>
      <c r="N1226" s="1" t="b">
        <v>1</v>
      </c>
    </row>
    <row r="1227" spans="1:14" ht="19" customHeight="1" x14ac:dyDescent="0.3">
      <c r="A1227">
        <v>1222</v>
      </c>
      <c r="B1227" s="1">
        <v>5</v>
      </c>
      <c r="C1227" s="1">
        <v>50</v>
      </c>
      <c r="D1227" s="1">
        <v>0.04</v>
      </c>
      <c r="E1227" s="1">
        <v>8.5000000000000006E-2</v>
      </c>
      <c r="F1227" s="1">
        <v>0</v>
      </c>
      <c r="G1227" s="1">
        <v>1</v>
      </c>
      <c r="H1227" s="1">
        <v>1.40952763916</v>
      </c>
      <c r="I1227" s="1">
        <v>1.4725439361699999</v>
      </c>
      <c r="J1227" s="1">
        <v>0.75322075150099999</v>
      </c>
      <c r="K1227" s="1">
        <v>6619.7581495799996</v>
      </c>
      <c r="L1227" s="1">
        <v>1730.0539136</v>
      </c>
      <c r="M1227" s="1" t="s">
        <v>198</v>
      </c>
      <c r="N1227" s="1" t="b">
        <v>1</v>
      </c>
    </row>
    <row r="1228" spans="1:14" ht="19" customHeight="1" x14ac:dyDescent="0.3">
      <c r="A1228">
        <v>1223</v>
      </c>
      <c r="B1228" s="1">
        <v>5</v>
      </c>
      <c r="C1228" s="1">
        <v>50</v>
      </c>
      <c r="D1228" s="1">
        <v>0.04</v>
      </c>
      <c r="E1228" s="1">
        <v>8.5000000000000006E-2</v>
      </c>
      <c r="F1228" s="1">
        <v>5</v>
      </c>
      <c r="G1228" s="1">
        <v>0</v>
      </c>
      <c r="H1228" s="1">
        <v>1.37816739305</v>
      </c>
      <c r="I1228" s="1">
        <v>1.9197088738800001</v>
      </c>
      <c r="J1228" s="1">
        <v>0.92606189207400003</v>
      </c>
      <c r="K1228" s="1">
        <v>7574.8095506</v>
      </c>
      <c r="L1228" s="1">
        <v>2127.0484083599999</v>
      </c>
      <c r="M1228" s="1" t="s">
        <v>198</v>
      </c>
      <c r="N1228" s="1" t="b">
        <v>1</v>
      </c>
    </row>
    <row r="1229" spans="1:14" ht="19" customHeight="1" x14ac:dyDescent="0.3">
      <c r="A1229">
        <v>1224</v>
      </c>
      <c r="B1229" s="1">
        <v>5</v>
      </c>
      <c r="C1229" s="1">
        <v>50</v>
      </c>
      <c r="D1229" s="1">
        <v>0.04</v>
      </c>
      <c r="E1229" s="1">
        <v>8.5000000000000006E-2</v>
      </c>
      <c r="F1229" s="1">
        <v>5</v>
      </c>
      <c r="G1229" s="1">
        <v>1</v>
      </c>
      <c r="H1229" s="1">
        <v>1.37816739305</v>
      </c>
      <c r="I1229" s="1">
        <v>1.43978165541</v>
      </c>
      <c r="J1229" s="1">
        <v>0.75937075150099997</v>
      </c>
      <c r="K1229" s="1">
        <v>6472.4767206799997</v>
      </c>
      <c r="L1229" s="1">
        <v>1744.17969485</v>
      </c>
      <c r="M1229" s="1" t="s">
        <v>198</v>
      </c>
      <c r="N1229" s="1" t="b">
        <v>1</v>
      </c>
    </row>
    <row r="1230" spans="1:14" ht="19" customHeight="1" x14ac:dyDescent="0.3">
      <c r="A1230">
        <v>1225</v>
      </c>
      <c r="B1230" s="1">
        <v>5</v>
      </c>
      <c r="C1230" s="1">
        <v>50</v>
      </c>
      <c r="D1230" s="1">
        <v>5.5E-2</v>
      </c>
      <c r="E1230" s="1">
        <v>0.04</v>
      </c>
      <c r="F1230" s="1">
        <v>-5</v>
      </c>
      <c r="G1230" s="1">
        <v>0</v>
      </c>
      <c r="H1230" s="1">
        <v>1.30240279342</v>
      </c>
      <c r="I1230" s="1">
        <v>1.8060619744399999</v>
      </c>
      <c r="J1230" s="1">
        <v>0.91928163732699997</v>
      </c>
      <c r="K1230" s="1">
        <v>7139.7550136899999</v>
      </c>
      <c r="L1230" s="1">
        <v>2111.47501074</v>
      </c>
      <c r="M1230" s="1" t="s">
        <v>198</v>
      </c>
      <c r="N1230" s="1" t="b">
        <v>1</v>
      </c>
    </row>
    <row r="1231" spans="1:14" ht="19" customHeight="1" x14ac:dyDescent="0.3">
      <c r="A1231">
        <v>1226</v>
      </c>
      <c r="B1231" s="1">
        <v>5</v>
      </c>
      <c r="C1231" s="1">
        <v>50</v>
      </c>
      <c r="D1231" s="1">
        <v>5.5E-2</v>
      </c>
      <c r="E1231" s="1">
        <v>0.04</v>
      </c>
      <c r="F1231" s="1">
        <v>-5</v>
      </c>
      <c r="G1231" s="1">
        <v>1</v>
      </c>
      <c r="H1231" s="1">
        <v>1.30240279342</v>
      </c>
      <c r="I1231" s="1">
        <v>1.3545464808300001</v>
      </c>
      <c r="J1231" s="1">
        <v>0.75381094260799997</v>
      </c>
      <c r="K1231" s="1">
        <v>6102.6803643000003</v>
      </c>
      <c r="L1231" s="1">
        <v>1731.4095087999999</v>
      </c>
      <c r="M1231" s="1" t="s">
        <v>198</v>
      </c>
      <c r="N1231" s="1" t="b">
        <v>1</v>
      </c>
    </row>
    <row r="1232" spans="1:14" ht="19" customHeight="1" x14ac:dyDescent="0.3">
      <c r="A1232">
        <v>1227</v>
      </c>
      <c r="B1232" s="1">
        <v>5</v>
      </c>
      <c r="C1232" s="1">
        <v>50</v>
      </c>
      <c r="D1232" s="1">
        <v>5.5E-2</v>
      </c>
      <c r="E1232" s="1">
        <v>0.04</v>
      </c>
      <c r="F1232" s="1">
        <v>0</v>
      </c>
      <c r="G1232" s="1">
        <v>0</v>
      </c>
      <c r="H1232" s="1">
        <v>1.33203901348</v>
      </c>
      <c r="I1232" s="1">
        <v>1.84715897637</v>
      </c>
      <c r="J1232" s="1">
        <v>0.91178163732700002</v>
      </c>
      <c r="K1232" s="1">
        <v>7302.2203829500004</v>
      </c>
      <c r="L1232" s="1">
        <v>2094.24844824</v>
      </c>
      <c r="M1232" s="1" t="s">
        <v>198</v>
      </c>
      <c r="N1232" s="1" t="b">
        <v>1</v>
      </c>
    </row>
    <row r="1233" spans="1:14" ht="19" customHeight="1" x14ac:dyDescent="0.3">
      <c r="A1233">
        <v>1228</v>
      </c>
      <c r="B1233" s="1">
        <v>5</v>
      </c>
      <c r="C1233" s="1">
        <v>50</v>
      </c>
      <c r="D1233" s="1">
        <v>5.5E-2</v>
      </c>
      <c r="E1233" s="1">
        <v>0.04</v>
      </c>
      <c r="F1233" s="1">
        <v>0</v>
      </c>
      <c r="G1233" s="1">
        <v>1</v>
      </c>
      <c r="H1233" s="1">
        <v>1.33203901348</v>
      </c>
      <c r="I1233" s="1">
        <v>1.38536923228</v>
      </c>
      <c r="J1233" s="1">
        <v>0.74766094260799998</v>
      </c>
      <c r="K1233" s="1">
        <v>6241.5470644899997</v>
      </c>
      <c r="L1233" s="1">
        <v>1717.2837275500001</v>
      </c>
      <c r="M1233" s="1" t="s">
        <v>198</v>
      </c>
      <c r="N1233" s="1" t="b">
        <v>1</v>
      </c>
    </row>
    <row r="1234" spans="1:14" ht="19" customHeight="1" x14ac:dyDescent="0.3">
      <c r="A1234">
        <v>1229</v>
      </c>
      <c r="B1234" s="1">
        <v>5</v>
      </c>
      <c r="C1234" s="1">
        <v>50</v>
      </c>
      <c r="D1234" s="1">
        <v>5.5E-2</v>
      </c>
      <c r="E1234" s="1">
        <v>0.04</v>
      </c>
      <c r="F1234" s="1">
        <v>5</v>
      </c>
      <c r="G1234" s="1">
        <v>0</v>
      </c>
      <c r="H1234" s="1">
        <v>1.30240279342</v>
      </c>
      <c r="I1234" s="1">
        <v>1.8060619744399999</v>
      </c>
      <c r="J1234" s="1">
        <v>0.91928163732699997</v>
      </c>
      <c r="K1234" s="1">
        <v>7139.7550136899999</v>
      </c>
      <c r="L1234" s="1">
        <v>2111.47501074</v>
      </c>
      <c r="M1234" s="1" t="s">
        <v>198</v>
      </c>
      <c r="N1234" s="1" t="b">
        <v>1</v>
      </c>
    </row>
    <row r="1235" spans="1:14" ht="19" customHeight="1" x14ac:dyDescent="0.3">
      <c r="A1235">
        <v>1230</v>
      </c>
      <c r="B1235" s="1">
        <v>5</v>
      </c>
      <c r="C1235" s="1">
        <v>50</v>
      </c>
      <c r="D1235" s="1">
        <v>5.5E-2</v>
      </c>
      <c r="E1235" s="1">
        <v>0.04</v>
      </c>
      <c r="F1235" s="1">
        <v>5</v>
      </c>
      <c r="G1235" s="1">
        <v>1</v>
      </c>
      <c r="H1235" s="1">
        <v>1.30240279342</v>
      </c>
      <c r="I1235" s="1">
        <v>1.3545464808300001</v>
      </c>
      <c r="J1235" s="1">
        <v>0.75381094260799997</v>
      </c>
      <c r="K1235" s="1">
        <v>6102.6803643000003</v>
      </c>
      <c r="L1235" s="1">
        <v>1731.4095087999999</v>
      </c>
      <c r="M1235" s="1" t="s">
        <v>198</v>
      </c>
      <c r="N1235" s="1" t="b">
        <v>1</v>
      </c>
    </row>
    <row r="1236" spans="1:14" ht="19" customHeight="1" x14ac:dyDescent="0.3">
      <c r="A1236">
        <v>1231</v>
      </c>
      <c r="B1236" s="1">
        <v>5</v>
      </c>
      <c r="C1236" s="1">
        <v>50</v>
      </c>
      <c r="D1236" s="1">
        <v>5.5E-2</v>
      </c>
      <c r="E1236" s="1">
        <v>0.06</v>
      </c>
      <c r="F1236" s="1">
        <v>-5</v>
      </c>
      <c r="G1236" s="1">
        <v>0</v>
      </c>
      <c r="H1236" s="1">
        <v>1.33003239313</v>
      </c>
      <c r="I1236" s="1">
        <v>1.847506374</v>
      </c>
      <c r="J1236" s="1">
        <v>0.92175423964400005</v>
      </c>
      <c r="K1236" s="1">
        <v>7298.4093557599999</v>
      </c>
      <c r="L1236" s="1">
        <v>2117.15426918</v>
      </c>
      <c r="M1236" s="1" t="s">
        <v>198</v>
      </c>
      <c r="N1236" s="1" t="b">
        <v>1</v>
      </c>
    </row>
    <row r="1237" spans="1:14" ht="19" customHeight="1" x14ac:dyDescent="0.3">
      <c r="A1237">
        <v>1232</v>
      </c>
      <c r="B1237" s="1">
        <v>5</v>
      </c>
      <c r="C1237" s="1">
        <v>50</v>
      </c>
      <c r="D1237" s="1">
        <v>5.5E-2</v>
      </c>
      <c r="E1237" s="1">
        <v>0.06</v>
      </c>
      <c r="F1237" s="1">
        <v>-5</v>
      </c>
      <c r="G1237" s="1">
        <v>1</v>
      </c>
      <c r="H1237" s="1">
        <v>1.33003239313</v>
      </c>
      <c r="I1237" s="1">
        <v>1.3856297805</v>
      </c>
      <c r="J1237" s="1">
        <v>0.75583847650799996</v>
      </c>
      <c r="K1237" s="1">
        <v>6237.53655506</v>
      </c>
      <c r="L1237" s="1">
        <v>1736.0665007299999</v>
      </c>
      <c r="M1237" s="1" t="s">
        <v>198</v>
      </c>
      <c r="N1237" s="1" t="b">
        <v>1</v>
      </c>
    </row>
    <row r="1238" spans="1:14" ht="19" customHeight="1" x14ac:dyDescent="0.3">
      <c r="A1238">
        <v>1233</v>
      </c>
      <c r="B1238" s="1">
        <v>5</v>
      </c>
      <c r="C1238" s="1">
        <v>50</v>
      </c>
      <c r="D1238" s="1">
        <v>5.5E-2</v>
      </c>
      <c r="E1238" s="1">
        <v>0.06</v>
      </c>
      <c r="F1238" s="1">
        <v>0</v>
      </c>
      <c r="G1238" s="1">
        <v>0</v>
      </c>
      <c r="H1238" s="1">
        <v>1.3602973256799999</v>
      </c>
      <c r="I1238" s="1">
        <v>1.8895464446600001</v>
      </c>
      <c r="J1238" s="1">
        <v>0.91425423964399999</v>
      </c>
      <c r="K1238" s="1">
        <v>7464.4849099900002</v>
      </c>
      <c r="L1238" s="1">
        <v>2099.92770668</v>
      </c>
      <c r="M1238" s="1" t="s">
        <v>198</v>
      </c>
      <c r="N1238" s="1" t="b">
        <v>1</v>
      </c>
    </row>
    <row r="1239" spans="1:14" ht="19" customHeight="1" x14ac:dyDescent="0.3">
      <c r="A1239">
        <v>1234</v>
      </c>
      <c r="B1239" s="1">
        <v>5</v>
      </c>
      <c r="C1239" s="1">
        <v>50</v>
      </c>
      <c r="D1239" s="1">
        <v>5.5E-2</v>
      </c>
      <c r="E1239" s="1">
        <v>0.06</v>
      </c>
      <c r="F1239" s="1">
        <v>0</v>
      </c>
      <c r="G1239" s="1">
        <v>1</v>
      </c>
      <c r="H1239" s="1">
        <v>1.3602973256799999</v>
      </c>
      <c r="I1239" s="1">
        <v>1.4171598335</v>
      </c>
      <c r="J1239" s="1">
        <v>0.74968847650799997</v>
      </c>
      <c r="K1239" s="1">
        <v>6379.4719124699996</v>
      </c>
      <c r="L1239" s="1">
        <v>1721.9407194800001</v>
      </c>
      <c r="M1239" s="1" t="s">
        <v>198</v>
      </c>
      <c r="N1239" s="1" t="b">
        <v>1</v>
      </c>
    </row>
    <row r="1240" spans="1:14" ht="19" customHeight="1" x14ac:dyDescent="0.3">
      <c r="A1240">
        <v>1235</v>
      </c>
      <c r="B1240" s="1">
        <v>5</v>
      </c>
      <c r="C1240" s="1">
        <v>50</v>
      </c>
      <c r="D1240" s="1">
        <v>5.5E-2</v>
      </c>
      <c r="E1240" s="1">
        <v>0.06</v>
      </c>
      <c r="F1240" s="1">
        <v>5</v>
      </c>
      <c r="G1240" s="1">
        <v>0</v>
      </c>
      <c r="H1240" s="1">
        <v>1.33003239313</v>
      </c>
      <c r="I1240" s="1">
        <v>1.847506374</v>
      </c>
      <c r="J1240" s="1">
        <v>0.92175423964400005</v>
      </c>
      <c r="K1240" s="1">
        <v>7298.4093557599999</v>
      </c>
      <c r="L1240" s="1">
        <v>2117.15426918</v>
      </c>
      <c r="M1240" s="1" t="s">
        <v>198</v>
      </c>
      <c r="N1240" s="1" t="b">
        <v>1</v>
      </c>
    </row>
    <row r="1241" spans="1:14" ht="19" customHeight="1" x14ac:dyDescent="0.3">
      <c r="A1241">
        <v>1236</v>
      </c>
      <c r="B1241" s="1">
        <v>5</v>
      </c>
      <c r="C1241" s="1">
        <v>50</v>
      </c>
      <c r="D1241" s="1">
        <v>5.5E-2</v>
      </c>
      <c r="E1241" s="1">
        <v>0.06</v>
      </c>
      <c r="F1241" s="1">
        <v>5</v>
      </c>
      <c r="G1241" s="1">
        <v>1</v>
      </c>
      <c r="H1241" s="1">
        <v>1.33003239313</v>
      </c>
      <c r="I1241" s="1">
        <v>1.3856297805</v>
      </c>
      <c r="J1241" s="1">
        <v>0.75583847650799996</v>
      </c>
      <c r="K1241" s="1">
        <v>6237.53655506</v>
      </c>
      <c r="L1241" s="1">
        <v>1736.0665007299999</v>
      </c>
      <c r="M1241" s="1" t="s">
        <v>198</v>
      </c>
      <c r="N1241" s="1" t="b">
        <v>1</v>
      </c>
    </row>
    <row r="1242" spans="1:14" ht="19" customHeight="1" x14ac:dyDescent="0.3">
      <c r="A1242">
        <v>1237</v>
      </c>
      <c r="B1242" s="1">
        <v>5</v>
      </c>
      <c r="C1242" s="1">
        <v>50</v>
      </c>
      <c r="D1242" s="1">
        <v>5.5E-2</v>
      </c>
      <c r="E1242" s="1">
        <v>8.5000000000000006E-2</v>
      </c>
      <c r="F1242" s="1">
        <v>-5</v>
      </c>
      <c r="G1242" s="1">
        <v>0</v>
      </c>
      <c r="H1242" s="1">
        <v>1.2593978476200001</v>
      </c>
      <c r="I1242" s="1">
        <v>1.7415545557300001</v>
      </c>
      <c r="J1242" s="1">
        <v>0.91543307890600001</v>
      </c>
      <c r="K1242" s="1">
        <v>6892.8125514499998</v>
      </c>
      <c r="L1242" s="1">
        <v>2102.6353531099999</v>
      </c>
      <c r="M1242" s="1" t="s">
        <v>198</v>
      </c>
      <c r="N1242" s="1" t="b">
        <v>1</v>
      </c>
    </row>
    <row r="1243" spans="1:14" ht="19" customHeight="1" x14ac:dyDescent="0.3">
      <c r="A1243">
        <v>1238</v>
      </c>
      <c r="B1243" s="1">
        <v>5</v>
      </c>
      <c r="C1243" s="1">
        <v>50</v>
      </c>
      <c r="D1243" s="1">
        <v>5.5E-2</v>
      </c>
      <c r="E1243" s="1">
        <v>8.5000000000000006E-2</v>
      </c>
      <c r="F1243" s="1">
        <v>-5</v>
      </c>
      <c r="G1243" s="1">
        <v>1</v>
      </c>
      <c r="H1243" s="1">
        <v>1.2593978476200001</v>
      </c>
      <c r="I1243" s="1">
        <v>1.3061659167999999</v>
      </c>
      <c r="J1243" s="1">
        <v>0.750655124703</v>
      </c>
      <c r="K1243" s="1">
        <v>5892.7792713999997</v>
      </c>
      <c r="L1243" s="1">
        <v>1724.1609895500001</v>
      </c>
      <c r="M1243" s="1" t="s">
        <v>198</v>
      </c>
      <c r="N1243" s="1" t="b">
        <v>1</v>
      </c>
    </row>
    <row r="1244" spans="1:14" ht="19" customHeight="1" x14ac:dyDescent="0.3">
      <c r="A1244">
        <v>1239</v>
      </c>
      <c r="B1244" s="1">
        <v>5</v>
      </c>
      <c r="C1244" s="1">
        <v>50</v>
      </c>
      <c r="D1244" s="1">
        <v>5.5E-2</v>
      </c>
      <c r="E1244" s="1">
        <v>8.5000000000000006E-2</v>
      </c>
      <c r="F1244" s="1">
        <v>0</v>
      </c>
      <c r="G1244" s="1">
        <v>0</v>
      </c>
      <c r="H1244" s="1">
        <v>1.28805548867</v>
      </c>
      <c r="I1244" s="1">
        <v>1.7811836891499999</v>
      </c>
      <c r="J1244" s="1">
        <v>0.90793307890599995</v>
      </c>
      <c r="K1244" s="1">
        <v>7049.6587365400001</v>
      </c>
      <c r="L1244" s="1">
        <v>2085.4087906099999</v>
      </c>
      <c r="M1244" s="1" t="s">
        <v>198</v>
      </c>
      <c r="N1244" s="1" t="b">
        <v>1</v>
      </c>
    </row>
    <row r="1245" spans="1:14" ht="19" customHeight="1" x14ac:dyDescent="0.3">
      <c r="A1245">
        <v>1240</v>
      </c>
      <c r="B1245" s="1">
        <v>5</v>
      </c>
      <c r="C1245" s="1">
        <v>50</v>
      </c>
      <c r="D1245" s="1">
        <v>5.5E-2</v>
      </c>
      <c r="E1245" s="1">
        <v>8.5000000000000006E-2</v>
      </c>
      <c r="F1245" s="1">
        <v>0</v>
      </c>
      <c r="G1245" s="1">
        <v>1</v>
      </c>
      <c r="H1245" s="1">
        <v>1.28805548867</v>
      </c>
      <c r="I1245" s="1">
        <v>1.33588776686</v>
      </c>
      <c r="J1245" s="1">
        <v>0.74450512470300001</v>
      </c>
      <c r="K1245" s="1">
        <v>6026.8696650399997</v>
      </c>
      <c r="L1245" s="1">
        <v>1710.0352083</v>
      </c>
      <c r="M1245" s="1" t="s">
        <v>198</v>
      </c>
      <c r="N1245" s="1" t="b">
        <v>1</v>
      </c>
    </row>
    <row r="1246" spans="1:14" ht="19" customHeight="1" x14ac:dyDescent="0.3">
      <c r="A1246">
        <v>1241</v>
      </c>
      <c r="B1246" s="1">
        <v>5</v>
      </c>
      <c r="C1246" s="1">
        <v>50</v>
      </c>
      <c r="D1246" s="1">
        <v>5.5E-2</v>
      </c>
      <c r="E1246" s="1">
        <v>8.5000000000000006E-2</v>
      </c>
      <c r="F1246" s="1">
        <v>5</v>
      </c>
      <c r="G1246" s="1">
        <v>0</v>
      </c>
      <c r="H1246" s="1">
        <v>1.2593978476200001</v>
      </c>
      <c r="I1246" s="1">
        <v>1.7415545557300001</v>
      </c>
      <c r="J1246" s="1">
        <v>0.91543307890600001</v>
      </c>
      <c r="K1246" s="1">
        <v>6892.8125514499998</v>
      </c>
      <c r="L1246" s="1">
        <v>2102.6353531099999</v>
      </c>
      <c r="M1246" s="1" t="s">
        <v>198</v>
      </c>
      <c r="N1246" s="1" t="b">
        <v>1</v>
      </c>
    </row>
    <row r="1247" spans="1:14" ht="19" customHeight="1" x14ac:dyDescent="0.3">
      <c r="A1247">
        <v>1242</v>
      </c>
      <c r="B1247" s="1">
        <v>5</v>
      </c>
      <c r="C1247" s="1">
        <v>50</v>
      </c>
      <c r="D1247" s="1">
        <v>5.5E-2</v>
      </c>
      <c r="E1247" s="1">
        <v>8.5000000000000006E-2</v>
      </c>
      <c r="F1247" s="1">
        <v>5</v>
      </c>
      <c r="G1247" s="1">
        <v>1</v>
      </c>
      <c r="H1247" s="1">
        <v>1.2593978476200001</v>
      </c>
      <c r="I1247" s="1">
        <v>1.3061659167999999</v>
      </c>
      <c r="J1247" s="1">
        <v>0.750655124703</v>
      </c>
      <c r="K1247" s="1">
        <v>5892.7792713999997</v>
      </c>
      <c r="L1247" s="1">
        <v>1724.1609895500001</v>
      </c>
      <c r="M1247" s="1" t="s">
        <v>198</v>
      </c>
      <c r="N1247" s="1" t="b">
        <v>1</v>
      </c>
    </row>
    <row r="1248" spans="1:14" ht="19" customHeight="1" x14ac:dyDescent="0.3">
      <c r="A1248">
        <v>1243</v>
      </c>
      <c r="B1248" s="1">
        <v>5</v>
      </c>
      <c r="C1248" s="1">
        <v>70</v>
      </c>
      <c r="D1248" s="1">
        <v>2.5000000000000001E-2</v>
      </c>
      <c r="E1248" s="1">
        <v>0.04</v>
      </c>
      <c r="F1248" s="1">
        <v>-5</v>
      </c>
      <c r="G1248" s="1">
        <v>0</v>
      </c>
      <c r="H1248" s="1">
        <v>1.4362990820299999</v>
      </c>
      <c r="I1248" s="1">
        <v>2.0069064073599998</v>
      </c>
      <c r="J1248" s="1">
        <v>0.93126415886000002</v>
      </c>
      <c r="K1248" s="1">
        <v>15500.880712599999</v>
      </c>
      <c r="L1248" s="1">
        <v>4192.43483517</v>
      </c>
      <c r="M1248" s="1" t="s">
        <v>198</v>
      </c>
      <c r="N1248" s="1" t="b">
        <v>1</v>
      </c>
    </row>
    <row r="1249" spans="1:14" ht="19" customHeight="1" x14ac:dyDescent="0.3">
      <c r="A1249">
        <v>1244</v>
      </c>
      <c r="B1249" s="1">
        <v>5</v>
      </c>
      <c r="C1249" s="1">
        <v>70</v>
      </c>
      <c r="D1249" s="1">
        <v>2.5000000000000001E-2</v>
      </c>
      <c r="E1249" s="1">
        <v>0.04</v>
      </c>
      <c r="F1249" s="1">
        <v>-5</v>
      </c>
      <c r="G1249" s="1">
        <v>1</v>
      </c>
      <c r="H1249" s="1">
        <v>1.4362990820299999</v>
      </c>
      <c r="I1249" s="1">
        <v>1.5051798055200001</v>
      </c>
      <c r="J1249" s="1">
        <v>0.76363661026499996</v>
      </c>
      <c r="K1249" s="1">
        <v>13242.170266900001</v>
      </c>
      <c r="L1249" s="1">
        <v>3437.79656484</v>
      </c>
      <c r="M1249" s="1" t="s">
        <v>198</v>
      </c>
      <c r="N1249" s="1" t="b">
        <v>1</v>
      </c>
    </row>
    <row r="1250" spans="1:14" ht="19" customHeight="1" x14ac:dyDescent="0.3">
      <c r="A1250">
        <v>1245</v>
      </c>
      <c r="B1250" s="1">
        <v>5</v>
      </c>
      <c r="C1250" s="1">
        <v>70</v>
      </c>
      <c r="D1250" s="1">
        <v>2.5000000000000001E-2</v>
      </c>
      <c r="E1250" s="1">
        <v>0.04</v>
      </c>
      <c r="F1250" s="1">
        <v>0</v>
      </c>
      <c r="G1250" s="1">
        <v>0</v>
      </c>
      <c r="H1250" s="1">
        <v>1.4689821167199999</v>
      </c>
      <c r="I1250" s="1">
        <v>2.05257363122</v>
      </c>
      <c r="J1250" s="1">
        <v>0.92376415885999996</v>
      </c>
      <c r="K1250" s="1">
        <v>15853.6037827</v>
      </c>
      <c r="L1250" s="1">
        <v>4158.6707726699997</v>
      </c>
      <c r="M1250" s="1" t="s">
        <v>198</v>
      </c>
      <c r="N1250" s="1" t="b">
        <v>1</v>
      </c>
    </row>
    <row r="1251" spans="1:14" ht="19" customHeight="1" x14ac:dyDescent="0.3">
      <c r="A1251">
        <v>1246</v>
      </c>
      <c r="B1251" s="1">
        <v>5</v>
      </c>
      <c r="C1251" s="1">
        <v>70</v>
      </c>
      <c r="D1251" s="1">
        <v>2.5000000000000001E-2</v>
      </c>
      <c r="E1251" s="1">
        <v>0.04</v>
      </c>
      <c r="F1251" s="1">
        <v>0</v>
      </c>
      <c r="G1251" s="1">
        <v>1</v>
      </c>
      <c r="H1251" s="1">
        <v>1.4689821167199999</v>
      </c>
      <c r="I1251" s="1">
        <v>1.5394302234199999</v>
      </c>
      <c r="J1251" s="1">
        <v>0.75748661026499997</v>
      </c>
      <c r="K1251" s="1">
        <v>13543.4963037</v>
      </c>
      <c r="L1251" s="1">
        <v>3410.1100335900001</v>
      </c>
      <c r="M1251" s="1" t="s">
        <v>198</v>
      </c>
      <c r="N1251" s="1" t="b">
        <v>1</v>
      </c>
    </row>
    <row r="1252" spans="1:14" ht="19" customHeight="1" x14ac:dyDescent="0.3">
      <c r="A1252">
        <v>1247</v>
      </c>
      <c r="B1252" s="1">
        <v>5</v>
      </c>
      <c r="C1252" s="1">
        <v>70</v>
      </c>
      <c r="D1252" s="1">
        <v>2.5000000000000001E-2</v>
      </c>
      <c r="E1252" s="1">
        <v>0.04</v>
      </c>
      <c r="F1252" s="1">
        <v>5</v>
      </c>
      <c r="G1252" s="1">
        <v>0</v>
      </c>
      <c r="H1252" s="1">
        <v>1.4362990820299999</v>
      </c>
      <c r="I1252" s="1">
        <v>2.0069064073599998</v>
      </c>
      <c r="J1252" s="1">
        <v>0.93126415886000002</v>
      </c>
      <c r="K1252" s="1">
        <v>15500.880712599999</v>
      </c>
      <c r="L1252" s="1">
        <v>4192.43483517</v>
      </c>
      <c r="M1252" s="1" t="s">
        <v>198</v>
      </c>
      <c r="N1252" s="1" t="b">
        <v>1</v>
      </c>
    </row>
    <row r="1253" spans="1:14" ht="19" customHeight="1" x14ac:dyDescent="0.3">
      <c r="A1253">
        <v>1248</v>
      </c>
      <c r="B1253" s="1">
        <v>5</v>
      </c>
      <c r="C1253" s="1">
        <v>70</v>
      </c>
      <c r="D1253" s="1">
        <v>2.5000000000000001E-2</v>
      </c>
      <c r="E1253" s="1">
        <v>0.04</v>
      </c>
      <c r="F1253" s="1">
        <v>5</v>
      </c>
      <c r="G1253" s="1">
        <v>1</v>
      </c>
      <c r="H1253" s="1">
        <v>1.4362990820299999</v>
      </c>
      <c r="I1253" s="1">
        <v>1.5051798055200001</v>
      </c>
      <c r="J1253" s="1">
        <v>0.76363661026499996</v>
      </c>
      <c r="K1253" s="1">
        <v>13242.170266900001</v>
      </c>
      <c r="L1253" s="1">
        <v>3437.79656484</v>
      </c>
      <c r="M1253" s="1" t="s">
        <v>198</v>
      </c>
      <c r="N1253" s="1" t="b">
        <v>1</v>
      </c>
    </row>
    <row r="1254" spans="1:14" ht="19" customHeight="1" x14ac:dyDescent="0.3">
      <c r="A1254">
        <v>1249</v>
      </c>
      <c r="B1254" s="1">
        <v>5</v>
      </c>
      <c r="C1254" s="1">
        <v>70</v>
      </c>
      <c r="D1254" s="1">
        <v>2.5000000000000001E-2</v>
      </c>
      <c r="E1254" s="1">
        <v>0.06</v>
      </c>
      <c r="F1254" s="1">
        <v>-5</v>
      </c>
      <c r="G1254" s="1">
        <v>0</v>
      </c>
      <c r="H1254" s="1">
        <v>1.47691409567</v>
      </c>
      <c r="I1254" s="1">
        <v>2.0678289278099999</v>
      </c>
      <c r="J1254" s="1">
        <v>0.93489883970499998</v>
      </c>
      <c r="K1254" s="1">
        <v>15957.9899988</v>
      </c>
      <c r="L1254" s="1">
        <v>4208.7977140000003</v>
      </c>
      <c r="M1254" s="1" t="s">
        <v>198</v>
      </c>
      <c r="N1254" s="1" t="b">
        <v>1</v>
      </c>
    </row>
    <row r="1255" spans="1:14" ht="19" customHeight="1" x14ac:dyDescent="0.3">
      <c r="A1255">
        <v>1250</v>
      </c>
      <c r="B1255" s="1">
        <v>5</v>
      </c>
      <c r="C1255" s="1">
        <v>70</v>
      </c>
      <c r="D1255" s="1">
        <v>2.5000000000000001E-2</v>
      </c>
      <c r="E1255" s="1">
        <v>0.06</v>
      </c>
      <c r="F1255" s="1">
        <v>-5</v>
      </c>
      <c r="G1255" s="1">
        <v>1</v>
      </c>
      <c r="H1255" s="1">
        <v>1.47691409567</v>
      </c>
      <c r="I1255" s="1">
        <v>1.55087169586</v>
      </c>
      <c r="J1255" s="1">
        <v>0.76661704855799995</v>
      </c>
      <c r="K1255" s="1">
        <v>13630.713160200001</v>
      </c>
      <c r="L1255" s="1">
        <v>3451.2141254799999</v>
      </c>
      <c r="M1255" s="1" t="s">
        <v>198</v>
      </c>
      <c r="N1255" s="1" t="b">
        <v>1</v>
      </c>
    </row>
    <row r="1256" spans="1:14" ht="19" customHeight="1" x14ac:dyDescent="0.3">
      <c r="A1256">
        <v>1251</v>
      </c>
      <c r="B1256" s="1">
        <v>5</v>
      </c>
      <c r="C1256" s="1">
        <v>70</v>
      </c>
      <c r="D1256" s="1">
        <v>2.5000000000000001E-2</v>
      </c>
      <c r="E1256" s="1">
        <v>0.06</v>
      </c>
      <c r="F1256" s="1">
        <v>0</v>
      </c>
      <c r="G1256" s="1">
        <v>0</v>
      </c>
      <c r="H1256" s="1">
        <v>1.5105213263699999</v>
      </c>
      <c r="I1256" s="1">
        <v>2.1148824457100002</v>
      </c>
      <c r="J1256" s="1">
        <v>0.92739883970500003</v>
      </c>
      <c r="K1256" s="1">
        <v>16321.1146064</v>
      </c>
      <c r="L1256" s="1">
        <v>4175.0336514999999</v>
      </c>
      <c r="M1256" s="1" t="s">
        <v>198</v>
      </c>
      <c r="N1256" s="1" t="b">
        <v>1</v>
      </c>
    </row>
    <row r="1257" spans="1:14" ht="19" customHeight="1" x14ac:dyDescent="0.3">
      <c r="A1257">
        <v>1252</v>
      </c>
      <c r="B1257" s="1">
        <v>5</v>
      </c>
      <c r="C1257" s="1">
        <v>70</v>
      </c>
      <c r="D1257" s="1">
        <v>2.5000000000000001E-2</v>
      </c>
      <c r="E1257" s="1">
        <v>0.06</v>
      </c>
      <c r="F1257" s="1">
        <v>0</v>
      </c>
      <c r="G1257" s="1">
        <v>1</v>
      </c>
      <c r="H1257" s="1">
        <v>1.5105213263699999</v>
      </c>
      <c r="I1257" s="1">
        <v>1.5861618342799999</v>
      </c>
      <c r="J1257" s="1">
        <v>0.76046704855799996</v>
      </c>
      <c r="K1257" s="1">
        <v>13940.8805039</v>
      </c>
      <c r="L1257" s="1">
        <v>3423.52759423</v>
      </c>
      <c r="M1257" s="1" t="s">
        <v>198</v>
      </c>
      <c r="N1257" s="1" t="b">
        <v>1</v>
      </c>
    </row>
    <row r="1258" spans="1:14" ht="19" customHeight="1" x14ac:dyDescent="0.3">
      <c r="A1258">
        <v>1253</v>
      </c>
      <c r="B1258" s="1">
        <v>5</v>
      </c>
      <c r="C1258" s="1">
        <v>70</v>
      </c>
      <c r="D1258" s="1">
        <v>2.5000000000000001E-2</v>
      </c>
      <c r="E1258" s="1">
        <v>0.06</v>
      </c>
      <c r="F1258" s="1">
        <v>5</v>
      </c>
      <c r="G1258" s="1">
        <v>0</v>
      </c>
      <c r="H1258" s="1">
        <v>1.47691409567</v>
      </c>
      <c r="I1258" s="1">
        <v>2.0678289278099999</v>
      </c>
      <c r="J1258" s="1">
        <v>0.93489883970499998</v>
      </c>
      <c r="K1258" s="1">
        <v>15957.9899988</v>
      </c>
      <c r="L1258" s="1">
        <v>4208.7977140000003</v>
      </c>
      <c r="M1258" s="1" t="s">
        <v>198</v>
      </c>
      <c r="N1258" s="1" t="b">
        <v>1</v>
      </c>
    </row>
    <row r="1259" spans="1:14" ht="19" customHeight="1" x14ac:dyDescent="0.3">
      <c r="A1259">
        <v>1254</v>
      </c>
      <c r="B1259" s="1">
        <v>5</v>
      </c>
      <c r="C1259" s="1">
        <v>70</v>
      </c>
      <c r="D1259" s="1">
        <v>2.5000000000000001E-2</v>
      </c>
      <c r="E1259" s="1">
        <v>0.06</v>
      </c>
      <c r="F1259" s="1">
        <v>5</v>
      </c>
      <c r="G1259" s="1">
        <v>1</v>
      </c>
      <c r="H1259" s="1">
        <v>1.47691409567</v>
      </c>
      <c r="I1259" s="1">
        <v>1.55087169586</v>
      </c>
      <c r="J1259" s="1">
        <v>0.76661704855799995</v>
      </c>
      <c r="K1259" s="1">
        <v>13630.713160200001</v>
      </c>
      <c r="L1259" s="1">
        <v>3451.2141254799999</v>
      </c>
      <c r="M1259" s="1" t="s">
        <v>198</v>
      </c>
      <c r="N1259" s="1" t="b">
        <v>1</v>
      </c>
    </row>
    <row r="1260" spans="1:14" ht="19" customHeight="1" x14ac:dyDescent="0.3">
      <c r="A1260">
        <v>1255</v>
      </c>
      <c r="B1260" s="1">
        <v>5</v>
      </c>
      <c r="C1260" s="1">
        <v>70</v>
      </c>
      <c r="D1260" s="1">
        <v>2.5000000000000001E-2</v>
      </c>
      <c r="E1260" s="1">
        <v>8.5000000000000006E-2</v>
      </c>
      <c r="F1260" s="1">
        <v>-5</v>
      </c>
      <c r="G1260" s="1">
        <v>0</v>
      </c>
      <c r="H1260" s="1">
        <v>1.3730825867300001</v>
      </c>
      <c r="I1260" s="1">
        <v>1.91208166439</v>
      </c>
      <c r="J1260" s="1">
        <v>0.92560684733900001</v>
      </c>
      <c r="K1260" s="1">
        <v>14789.398813</v>
      </c>
      <c r="L1260" s="1">
        <v>4166.9663258600003</v>
      </c>
      <c r="M1260" s="1" t="s">
        <v>198</v>
      </c>
      <c r="N1260" s="1" t="b">
        <v>1</v>
      </c>
    </row>
    <row r="1261" spans="1:14" ht="19" customHeight="1" x14ac:dyDescent="0.3">
      <c r="A1261">
        <v>1256</v>
      </c>
      <c r="B1261" s="1">
        <v>5</v>
      </c>
      <c r="C1261" s="1">
        <v>70</v>
      </c>
      <c r="D1261" s="1">
        <v>2.5000000000000001E-2</v>
      </c>
      <c r="E1261" s="1">
        <v>8.5000000000000006E-2</v>
      </c>
      <c r="F1261" s="1">
        <v>-5</v>
      </c>
      <c r="G1261" s="1">
        <v>1</v>
      </c>
      <c r="H1261" s="1">
        <v>1.3730825867300001</v>
      </c>
      <c r="I1261" s="1">
        <v>1.4340612482999999</v>
      </c>
      <c r="J1261" s="1">
        <v>0.75899761481799999</v>
      </c>
      <c r="K1261" s="1">
        <v>12637.410652299999</v>
      </c>
      <c r="L1261" s="1">
        <v>3416.9123872099999</v>
      </c>
      <c r="M1261" s="1" t="s">
        <v>198</v>
      </c>
      <c r="N1261" s="1" t="b">
        <v>1</v>
      </c>
    </row>
    <row r="1262" spans="1:14" ht="19" customHeight="1" x14ac:dyDescent="0.3">
      <c r="A1262">
        <v>1257</v>
      </c>
      <c r="B1262" s="1">
        <v>5</v>
      </c>
      <c r="C1262" s="1">
        <v>70</v>
      </c>
      <c r="D1262" s="1">
        <v>2.5000000000000001E-2</v>
      </c>
      <c r="E1262" s="1">
        <v>8.5000000000000006E-2</v>
      </c>
      <c r="F1262" s="1">
        <v>0</v>
      </c>
      <c r="G1262" s="1">
        <v>0</v>
      </c>
      <c r="H1262" s="1">
        <v>1.4043271279</v>
      </c>
      <c r="I1262" s="1">
        <v>1.9555911479899999</v>
      </c>
      <c r="J1262" s="1">
        <v>0.91810684733900005</v>
      </c>
      <c r="K1262" s="1">
        <v>15125.9320883</v>
      </c>
      <c r="L1262" s="1">
        <v>4133.20226336</v>
      </c>
      <c r="M1262" s="1" t="s">
        <v>198</v>
      </c>
      <c r="N1262" s="1" t="b">
        <v>1</v>
      </c>
    </row>
    <row r="1263" spans="1:14" ht="19" customHeight="1" x14ac:dyDescent="0.3">
      <c r="A1263">
        <v>1258</v>
      </c>
      <c r="B1263" s="1">
        <v>5</v>
      </c>
      <c r="C1263" s="1">
        <v>70</v>
      </c>
      <c r="D1263" s="1">
        <v>2.5000000000000001E-2</v>
      </c>
      <c r="E1263" s="1">
        <v>8.5000000000000006E-2</v>
      </c>
      <c r="F1263" s="1">
        <v>0</v>
      </c>
      <c r="G1263" s="1">
        <v>1</v>
      </c>
      <c r="H1263" s="1">
        <v>1.4043271279</v>
      </c>
      <c r="I1263" s="1">
        <v>1.4666933609899999</v>
      </c>
      <c r="J1263" s="1">
        <v>0.752847614818</v>
      </c>
      <c r="K1263" s="1">
        <v>12924.975363400001</v>
      </c>
      <c r="L1263" s="1">
        <v>3389.22585596</v>
      </c>
      <c r="M1263" s="1" t="s">
        <v>198</v>
      </c>
      <c r="N1263" s="1" t="b">
        <v>1</v>
      </c>
    </row>
    <row r="1264" spans="1:14" ht="19" customHeight="1" x14ac:dyDescent="0.3">
      <c r="A1264">
        <v>1259</v>
      </c>
      <c r="B1264" s="1">
        <v>5</v>
      </c>
      <c r="C1264" s="1">
        <v>70</v>
      </c>
      <c r="D1264" s="1">
        <v>2.5000000000000001E-2</v>
      </c>
      <c r="E1264" s="1">
        <v>8.5000000000000006E-2</v>
      </c>
      <c r="F1264" s="1">
        <v>5</v>
      </c>
      <c r="G1264" s="1">
        <v>0</v>
      </c>
      <c r="H1264" s="1">
        <v>1.3730825867300001</v>
      </c>
      <c r="I1264" s="1">
        <v>1.91208166439</v>
      </c>
      <c r="J1264" s="1">
        <v>0.92560684733900001</v>
      </c>
      <c r="K1264" s="1">
        <v>14789.398813</v>
      </c>
      <c r="L1264" s="1">
        <v>4166.9663258600003</v>
      </c>
      <c r="M1264" s="1" t="s">
        <v>198</v>
      </c>
      <c r="N1264" s="1" t="b">
        <v>1</v>
      </c>
    </row>
    <row r="1265" spans="1:14" ht="19" customHeight="1" x14ac:dyDescent="0.3">
      <c r="A1265">
        <v>1260</v>
      </c>
      <c r="B1265" s="1">
        <v>5</v>
      </c>
      <c r="C1265" s="1">
        <v>70</v>
      </c>
      <c r="D1265" s="1">
        <v>2.5000000000000001E-2</v>
      </c>
      <c r="E1265" s="1">
        <v>8.5000000000000006E-2</v>
      </c>
      <c r="F1265" s="1">
        <v>5</v>
      </c>
      <c r="G1265" s="1">
        <v>1</v>
      </c>
      <c r="H1265" s="1">
        <v>1.3730825867300001</v>
      </c>
      <c r="I1265" s="1">
        <v>1.4340612482999999</v>
      </c>
      <c r="J1265" s="1">
        <v>0.75899761481799999</v>
      </c>
      <c r="K1265" s="1">
        <v>12637.410652299999</v>
      </c>
      <c r="L1265" s="1">
        <v>3416.9123872099999</v>
      </c>
      <c r="M1265" s="1" t="s">
        <v>198</v>
      </c>
      <c r="N1265" s="1" t="b">
        <v>1</v>
      </c>
    </row>
    <row r="1266" spans="1:14" ht="19" customHeight="1" x14ac:dyDescent="0.3">
      <c r="A1266">
        <v>1261</v>
      </c>
      <c r="B1266" s="1">
        <v>5</v>
      </c>
      <c r="C1266" s="1">
        <v>70</v>
      </c>
      <c r="D1266" s="1">
        <v>0.04</v>
      </c>
      <c r="E1266" s="1">
        <v>0.04</v>
      </c>
      <c r="F1266" s="1">
        <v>-5</v>
      </c>
      <c r="G1266" s="1">
        <v>0</v>
      </c>
      <c r="H1266" s="1">
        <v>1.44228789549</v>
      </c>
      <c r="I1266" s="1">
        <v>2.01588962754</v>
      </c>
      <c r="J1266" s="1">
        <v>0.93180010415699999</v>
      </c>
      <c r="K1266" s="1">
        <v>15568.2829365</v>
      </c>
      <c r="L1266" s="1">
        <v>4194.8475939</v>
      </c>
      <c r="M1266" s="1" t="s">
        <v>198</v>
      </c>
      <c r="N1266" s="1" t="b">
        <v>1</v>
      </c>
    </row>
    <row r="1267" spans="1:14" ht="19" customHeight="1" x14ac:dyDescent="0.3">
      <c r="A1267">
        <v>1262</v>
      </c>
      <c r="B1267" s="1">
        <v>5</v>
      </c>
      <c r="C1267" s="1">
        <v>70</v>
      </c>
      <c r="D1267" s="1">
        <v>0.04</v>
      </c>
      <c r="E1267" s="1">
        <v>0.04</v>
      </c>
      <c r="F1267" s="1">
        <v>-5</v>
      </c>
      <c r="G1267" s="1">
        <v>1</v>
      </c>
      <c r="H1267" s="1">
        <v>1.44228789549</v>
      </c>
      <c r="I1267" s="1">
        <v>1.51191722065</v>
      </c>
      <c r="J1267" s="1">
        <v>0.76407608540899996</v>
      </c>
      <c r="K1267" s="1">
        <v>13299.4621572</v>
      </c>
      <c r="L1267" s="1">
        <v>3439.7750270000001</v>
      </c>
      <c r="M1267" s="1" t="s">
        <v>198</v>
      </c>
      <c r="N1267" s="1" t="b">
        <v>1</v>
      </c>
    </row>
    <row r="1268" spans="1:14" ht="19" customHeight="1" x14ac:dyDescent="0.3">
      <c r="A1268">
        <v>1263</v>
      </c>
      <c r="B1268" s="1">
        <v>5</v>
      </c>
      <c r="C1268" s="1">
        <v>70</v>
      </c>
      <c r="D1268" s="1">
        <v>0.04</v>
      </c>
      <c r="E1268" s="1">
        <v>0.04</v>
      </c>
      <c r="F1268" s="1">
        <v>0</v>
      </c>
      <c r="G1268" s="1">
        <v>0</v>
      </c>
      <c r="H1268" s="1">
        <v>1.4751072058200001</v>
      </c>
      <c r="I1268" s="1">
        <v>2.0617612648799999</v>
      </c>
      <c r="J1268" s="1">
        <v>0.92430010415700004</v>
      </c>
      <c r="K1268" s="1">
        <v>15922.539746599999</v>
      </c>
      <c r="L1268" s="1">
        <v>4161.0835313999996</v>
      </c>
      <c r="M1268" s="1" t="s">
        <v>198</v>
      </c>
      <c r="N1268" s="1" t="b">
        <v>1</v>
      </c>
    </row>
    <row r="1269" spans="1:14" ht="19" customHeight="1" x14ac:dyDescent="0.3">
      <c r="A1269">
        <v>1264</v>
      </c>
      <c r="B1269" s="1">
        <v>5</v>
      </c>
      <c r="C1269" s="1">
        <v>70</v>
      </c>
      <c r="D1269" s="1">
        <v>0.04</v>
      </c>
      <c r="E1269" s="1">
        <v>0.04</v>
      </c>
      <c r="F1269" s="1">
        <v>0</v>
      </c>
      <c r="G1269" s="1">
        <v>1</v>
      </c>
      <c r="H1269" s="1">
        <v>1.4751072058200001</v>
      </c>
      <c r="I1269" s="1">
        <v>1.54632094866</v>
      </c>
      <c r="J1269" s="1">
        <v>0.75792608540899997</v>
      </c>
      <c r="K1269" s="1">
        <v>13602.091872999999</v>
      </c>
      <c r="L1269" s="1">
        <v>3412.0884957500002</v>
      </c>
      <c r="M1269" s="1" t="s">
        <v>198</v>
      </c>
      <c r="N1269" s="1" t="b">
        <v>1</v>
      </c>
    </row>
    <row r="1270" spans="1:14" ht="19" customHeight="1" x14ac:dyDescent="0.3">
      <c r="A1270">
        <v>1265</v>
      </c>
      <c r="B1270" s="1">
        <v>5</v>
      </c>
      <c r="C1270" s="1">
        <v>70</v>
      </c>
      <c r="D1270" s="1">
        <v>0.04</v>
      </c>
      <c r="E1270" s="1">
        <v>0.04</v>
      </c>
      <c r="F1270" s="1">
        <v>5</v>
      </c>
      <c r="G1270" s="1">
        <v>0</v>
      </c>
      <c r="H1270" s="1">
        <v>1.44228789549</v>
      </c>
      <c r="I1270" s="1">
        <v>2.01588962754</v>
      </c>
      <c r="J1270" s="1">
        <v>0.93180010415699999</v>
      </c>
      <c r="K1270" s="1">
        <v>15568.2829365</v>
      </c>
      <c r="L1270" s="1">
        <v>4194.8475939</v>
      </c>
      <c r="M1270" s="1" t="s">
        <v>198</v>
      </c>
      <c r="N1270" s="1" t="b">
        <v>1</v>
      </c>
    </row>
    <row r="1271" spans="1:14" ht="19" customHeight="1" x14ac:dyDescent="0.3">
      <c r="A1271">
        <v>1266</v>
      </c>
      <c r="B1271" s="1">
        <v>5</v>
      </c>
      <c r="C1271" s="1">
        <v>70</v>
      </c>
      <c r="D1271" s="1">
        <v>0.04</v>
      </c>
      <c r="E1271" s="1">
        <v>0.04</v>
      </c>
      <c r="F1271" s="1">
        <v>5</v>
      </c>
      <c r="G1271" s="1">
        <v>1</v>
      </c>
      <c r="H1271" s="1">
        <v>1.44228789549</v>
      </c>
      <c r="I1271" s="1">
        <v>1.51191722065</v>
      </c>
      <c r="J1271" s="1">
        <v>0.76407608540899996</v>
      </c>
      <c r="K1271" s="1">
        <v>13299.4621572</v>
      </c>
      <c r="L1271" s="1">
        <v>3439.7750270000001</v>
      </c>
      <c r="M1271" s="1" t="s">
        <v>198</v>
      </c>
      <c r="N1271" s="1" t="b">
        <v>1</v>
      </c>
    </row>
    <row r="1272" spans="1:14" ht="19" customHeight="1" x14ac:dyDescent="0.3">
      <c r="A1272">
        <v>1267</v>
      </c>
      <c r="B1272" s="1">
        <v>5</v>
      </c>
      <c r="C1272" s="1">
        <v>70</v>
      </c>
      <c r="D1272" s="1">
        <v>0.04</v>
      </c>
      <c r="E1272" s="1">
        <v>0.06</v>
      </c>
      <c r="F1272" s="1">
        <v>-5</v>
      </c>
      <c r="G1272" s="1">
        <v>0</v>
      </c>
      <c r="H1272" s="1">
        <v>1.4834837110400001</v>
      </c>
      <c r="I1272" s="1">
        <v>2.0776833508700001</v>
      </c>
      <c r="J1272" s="1">
        <v>0.93548676158499999</v>
      </c>
      <c r="K1272" s="1">
        <v>16031.928966900001</v>
      </c>
      <c r="L1272" s="1">
        <v>4211.4444648099998</v>
      </c>
      <c r="M1272" s="1" t="s">
        <v>198</v>
      </c>
      <c r="N1272" s="1" t="b">
        <v>1</v>
      </c>
    </row>
    <row r="1273" spans="1:14" ht="19" customHeight="1" x14ac:dyDescent="0.3">
      <c r="A1273">
        <v>1268</v>
      </c>
      <c r="B1273" s="1">
        <v>5</v>
      </c>
      <c r="C1273" s="1">
        <v>70</v>
      </c>
      <c r="D1273" s="1">
        <v>0.04</v>
      </c>
      <c r="E1273" s="1">
        <v>0.06</v>
      </c>
      <c r="F1273" s="1">
        <v>-5</v>
      </c>
      <c r="G1273" s="1">
        <v>1</v>
      </c>
      <c r="H1273" s="1">
        <v>1.4834837110400001</v>
      </c>
      <c r="I1273" s="1">
        <v>1.5582625131500001</v>
      </c>
      <c r="J1273" s="1">
        <v>0.76709914450000005</v>
      </c>
      <c r="K1273" s="1">
        <v>13693.5612831</v>
      </c>
      <c r="L1273" s="1">
        <v>3453.38446114</v>
      </c>
      <c r="M1273" s="1" t="s">
        <v>198</v>
      </c>
      <c r="N1273" s="1" t="b">
        <v>1</v>
      </c>
    </row>
    <row r="1274" spans="1:14" ht="19" customHeight="1" x14ac:dyDescent="0.3">
      <c r="A1274">
        <v>1269</v>
      </c>
      <c r="B1274" s="1">
        <v>5</v>
      </c>
      <c r="C1274" s="1">
        <v>70</v>
      </c>
      <c r="D1274" s="1">
        <v>0.04</v>
      </c>
      <c r="E1274" s="1">
        <v>0.06</v>
      </c>
      <c r="F1274" s="1">
        <v>0</v>
      </c>
      <c r="G1274" s="1">
        <v>0</v>
      </c>
      <c r="H1274" s="1">
        <v>1.51724043357</v>
      </c>
      <c r="I1274" s="1">
        <v>2.1249611064999998</v>
      </c>
      <c r="J1274" s="1">
        <v>0.92798676158500004</v>
      </c>
      <c r="K1274" s="1">
        <v>16396.7360582</v>
      </c>
      <c r="L1274" s="1">
        <v>4177.6804023100003</v>
      </c>
      <c r="M1274" s="1" t="s">
        <v>198</v>
      </c>
      <c r="N1274" s="1" t="b">
        <v>1</v>
      </c>
    </row>
    <row r="1275" spans="1:14" ht="19" customHeight="1" x14ac:dyDescent="0.3">
      <c r="A1275">
        <v>1270</v>
      </c>
      <c r="B1275" s="1">
        <v>5</v>
      </c>
      <c r="C1275" s="1">
        <v>70</v>
      </c>
      <c r="D1275" s="1">
        <v>0.04</v>
      </c>
      <c r="E1275" s="1">
        <v>0.06</v>
      </c>
      <c r="F1275" s="1">
        <v>0</v>
      </c>
      <c r="G1275" s="1">
        <v>1</v>
      </c>
      <c r="H1275" s="1">
        <v>1.51724043357</v>
      </c>
      <c r="I1275" s="1">
        <v>1.5937208298800001</v>
      </c>
      <c r="J1275" s="1">
        <v>0.76094914449999995</v>
      </c>
      <c r="K1275" s="1">
        <v>14005.158737899999</v>
      </c>
      <c r="L1275" s="1">
        <v>3425.6979298900001</v>
      </c>
      <c r="M1275" s="1" t="s">
        <v>198</v>
      </c>
      <c r="N1275" s="1" t="b">
        <v>1</v>
      </c>
    </row>
    <row r="1276" spans="1:14" ht="19" customHeight="1" x14ac:dyDescent="0.3">
      <c r="A1276">
        <v>1271</v>
      </c>
      <c r="B1276" s="1">
        <v>5</v>
      </c>
      <c r="C1276" s="1">
        <v>70</v>
      </c>
      <c r="D1276" s="1">
        <v>0.04</v>
      </c>
      <c r="E1276" s="1">
        <v>0.06</v>
      </c>
      <c r="F1276" s="1">
        <v>5</v>
      </c>
      <c r="G1276" s="1">
        <v>0</v>
      </c>
      <c r="H1276" s="1">
        <v>1.4834837110400001</v>
      </c>
      <c r="I1276" s="1">
        <v>2.0776833508700001</v>
      </c>
      <c r="J1276" s="1">
        <v>0.93548676158499999</v>
      </c>
      <c r="K1276" s="1">
        <v>16031.928966900001</v>
      </c>
      <c r="L1276" s="1">
        <v>4211.4444648099998</v>
      </c>
      <c r="M1276" s="1" t="s">
        <v>198</v>
      </c>
      <c r="N1276" s="1" t="b">
        <v>1</v>
      </c>
    </row>
    <row r="1277" spans="1:14" ht="19" customHeight="1" x14ac:dyDescent="0.3">
      <c r="A1277">
        <v>1272</v>
      </c>
      <c r="B1277" s="1">
        <v>5</v>
      </c>
      <c r="C1277" s="1">
        <v>70</v>
      </c>
      <c r="D1277" s="1">
        <v>0.04</v>
      </c>
      <c r="E1277" s="1">
        <v>0.06</v>
      </c>
      <c r="F1277" s="1">
        <v>5</v>
      </c>
      <c r="G1277" s="1">
        <v>1</v>
      </c>
      <c r="H1277" s="1">
        <v>1.4834837110400001</v>
      </c>
      <c r="I1277" s="1">
        <v>1.5582625131500001</v>
      </c>
      <c r="J1277" s="1">
        <v>0.76709914450000005</v>
      </c>
      <c r="K1277" s="1">
        <v>13693.5612831</v>
      </c>
      <c r="L1277" s="1">
        <v>3453.38446114</v>
      </c>
      <c r="M1277" s="1" t="s">
        <v>198</v>
      </c>
      <c r="N1277" s="1" t="b">
        <v>1</v>
      </c>
    </row>
    <row r="1278" spans="1:14" ht="19" customHeight="1" x14ac:dyDescent="0.3">
      <c r="A1278">
        <v>1273</v>
      </c>
      <c r="B1278" s="1">
        <v>5</v>
      </c>
      <c r="C1278" s="1">
        <v>70</v>
      </c>
      <c r="D1278" s="1">
        <v>0.04</v>
      </c>
      <c r="E1278" s="1">
        <v>8.5000000000000006E-2</v>
      </c>
      <c r="F1278" s="1">
        <v>-5</v>
      </c>
      <c r="G1278" s="1">
        <v>0</v>
      </c>
      <c r="H1278" s="1">
        <v>1.37816739305</v>
      </c>
      <c r="I1278" s="1">
        <v>1.9197088738800001</v>
      </c>
      <c r="J1278" s="1">
        <v>0.92606189207400003</v>
      </c>
      <c r="K1278" s="1">
        <v>14846.6267192</v>
      </c>
      <c r="L1278" s="1">
        <v>4169.0148803800002</v>
      </c>
      <c r="M1278" s="1" t="s">
        <v>198</v>
      </c>
      <c r="N1278" s="1" t="b">
        <v>1</v>
      </c>
    </row>
    <row r="1279" spans="1:14" ht="19" customHeight="1" x14ac:dyDescent="0.3">
      <c r="A1279">
        <v>1274</v>
      </c>
      <c r="B1279" s="1">
        <v>5</v>
      </c>
      <c r="C1279" s="1">
        <v>70</v>
      </c>
      <c r="D1279" s="1">
        <v>0.04</v>
      </c>
      <c r="E1279" s="1">
        <v>8.5000000000000006E-2</v>
      </c>
      <c r="F1279" s="1">
        <v>-5</v>
      </c>
      <c r="G1279" s="1">
        <v>1</v>
      </c>
      <c r="H1279" s="1">
        <v>1.37816739305</v>
      </c>
      <c r="I1279" s="1">
        <v>1.43978165541</v>
      </c>
      <c r="J1279" s="1">
        <v>0.75937075150099997</v>
      </c>
      <c r="K1279" s="1">
        <v>12686.054372500001</v>
      </c>
      <c r="L1279" s="1">
        <v>3418.5922019099999</v>
      </c>
      <c r="M1279" s="1" t="s">
        <v>198</v>
      </c>
      <c r="N1279" s="1" t="b">
        <v>1</v>
      </c>
    </row>
    <row r="1280" spans="1:14" ht="19" customHeight="1" x14ac:dyDescent="0.3">
      <c r="A1280">
        <v>1275</v>
      </c>
      <c r="B1280" s="1">
        <v>5</v>
      </c>
      <c r="C1280" s="1">
        <v>70</v>
      </c>
      <c r="D1280" s="1">
        <v>0.04</v>
      </c>
      <c r="E1280" s="1">
        <v>8.5000000000000006E-2</v>
      </c>
      <c r="F1280" s="1">
        <v>0</v>
      </c>
      <c r="G1280" s="1">
        <v>0</v>
      </c>
      <c r="H1280" s="1">
        <v>1.40952763916</v>
      </c>
      <c r="I1280" s="1">
        <v>1.9633919148900001</v>
      </c>
      <c r="J1280" s="1">
        <v>0.91856189207399996</v>
      </c>
      <c r="K1280" s="1">
        <v>15184.4622174</v>
      </c>
      <c r="L1280" s="1">
        <v>4135.2508178799999</v>
      </c>
      <c r="M1280" s="1" t="s">
        <v>198</v>
      </c>
      <c r="N1280" s="1" t="b">
        <v>1</v>
      </c>
    </row>
    <row r="1281" spans="1:14" ht="19" customHeight="1" x14ac:dyDescent="0.3">
      <c r="A1281">
        <v>1276</v>
      </c>
      <c r="B1281" s="1">
        <v>5</v>
      </c>
      <c r="C1281" s="1">
        <v>70</v>
      </c>
      <c r="D1281" s="1">
        <v>0.04</v>
      </c>
      <c r="E1281" s="1">
        <v>8.5000000000000006E-2</v>
      </c>
      <c r="F1281" s="1">
        <v>0</v>
      </c>
      <c r="G1281" s="1">
        <v>1</v>
      </c>
      <c r="H1281" s="1">
        <v>1.40952763916</v>
      </c>
      <c r="I1281" s="1">
        <v>1.4725439361699999</v>
      </c>
      <c r="J1281" s="1">
        <v>0.75322075150099999</v>
      </c>
      <c r="K1281" s="1">
        <v>12974.7259732</v>
      </c>
      <c r="L1281" s="1">
        <v>3390.9056706599999</v>
      </c>
      <c r="M1281" s="1" t="s">
        <v>198</v>
      </c>
      <c r="N1281" s="1" t="b">
        <v>1</v>
      </c>
    </row>
    <row r="1282" spans="1:14" ht="19" customHeight="1" x14ac:dyDescent="0.3">
      <c r="A1282">
        <v>1277</v>
      </c>
      <c r="B1282" s="1">
        <v>5</v>
      </c>
      <c r="C1282" s="1">
        <v>70</v>
      </c>
      <c r="D1282" s="1">
        <v>0.04</v>
      </c>
      <c r="E1282" s="1">
        <v>8.5000000000000006E-2</v>
      </c>
      <c r="F1282" s="1">
        <v>5</v>
      </c>
      <c r="G1282" s="1">
        <v>0</v>
      </c>
      <c r="H1282" s="1">
        <v>1.37816739305</v>
      </c>
      <c r="I1282" s="1">
        <v>1.9197088738800001</v>
      </c>
      <c r="J1282" s="1">
        <v>0.92606189207400003</v>
      </c>
      <c r="K1282" s="1">
        <v>14846.6267192</v>
      </c>
      <c r="L1282" s="1">
        <v>4169.0148803800002</v>
      </c>
      <c r="M1282" s="1" t="s">
        <v>198</v>
      </c>
      <c r="N1282" s="1" t="b">
        <v>1</v>
      </c>
    </row>
    <row r="1283" spans="1:14" ht="19" customHeight="1" x14ac:dyDescent="0.3">
      <c r="A1283">
        <v>1278</v>
      </c>
      <c r="B1283" s="1">
        <v>5</v>
      </c>
      <c r="C1283" s="1">
        <v>70</v>
      </c>
      <c r="D1283" s="1">
        <v>0.04</v>
      </c>
      <c r="E1283" s="1">
        <v>8.5000000000000006E-2</v>
      </c>
      <c r="F1283" s="1">
        <v>5</v>
      </c>
      <c r="G1283" s="1">
        <v>1</v>
      </c>
      <c r="H1283" s="1">
        <v>1.37816739305</v>
      </c>
      <c r="I1283" s="1">
        <v>1.43978165541</v>
      </c>
      <c r="J1283" s="1">
        <v>0.75937075150099997</v>
      </c>
      <c r="K1283" s="1">
        <v>12686.054372500001</v>
      </c>
      <c r="L1283" s="1">
        <v>3418.5922019099999</v>
      </c>
      <c r="M1283" s="1" t="s">
        <v>198</v>
      </c>
      <c r="N1283" s="1" t="b">
        <v>1</v>
      </c>
    </row>
    <row r="1284" spans="1:14" ht="19" customHeight="1" x14ac:dyDescent="0.3">
      <c r="A1284">
        <v>1279</v>
      </c>
      <c r="B1284" s="1">
        <v>5</v>
      </c>
      <c r="C1284" s="1">
        <v>70</v>
      </c>
      <c r="D1284" s="1">
        <v>5.5E-2</v>
      </c>
      <c r="E1284" s="1">
        <v>0.04</v>
      </c>
      <c r="F1284" s="1">
        <v>-5</v>
      </c>
      <c r="G1284" s="1">
        <v>0</v>
      </c>
      <c r="H1284" s="1">
        <v>1.30240279342</v>
      </c>
      <c r="I1284" s="1">
        <v>1.8060619744399999</v>
      </c>
      <c r="J1284" s="1">
        <v>0.91928163732699997</v>
      </c>
      <c r="K1284" s="1">
        <v>13993.9198268</v>
      </c>
      <c r="L1284" s="1">
        <v>4138.4910210400003</v>
      </c>
      <c r="M1284" s="1" t="s">
        <v>198</v>
      </c>
      <c r="N1284" s="1" t="b">
        <v>1</v>
      </c>
    </row>
    <row r="1285" spans="1:14" ht="19" customHeight="1" x14ac:dyDescent="0.3">
      <c r="A1285">
        <v>1280</v>
      </c>
      <c r="B1285" s="1">
        <v>5</v>
      </c>
      <c r="C1285" s="1">
        <v>70</v>
      </c>
      <c r="D1285" s="1">
        <v>5.5E-2</v>
      </c>
      <c r="E1285" s="1">
        <v>0.04</v>
      </c>
      <c r="F1285" s="1">
        <v>-5</v>
      </c>
      <c r="G1285" s="1">
        <v>1</v>
      </c>
      <c r="H1285" s="1">
        <v>1.30240279342</v>
      </c>
      <c r="I1285" s="1">
        <v>1.3545464808300001</v>
      </c>
      <c r="J1285" s="1">
        <v>0.75381094260799997</v>
      </c>
      <c r="K1285" s="1">
        <v>11961.253514</v>
      </c>
      <c r="L1285" s="1">
        <v>3393.56263726</v>
      </c>
      <c r="M1285" s="1" t="s">
        <v>198</v>
      </c>
      <c r="N1285" s="1" t="b">
        <v>1</v>
      </c>
    </row>
    <row r="1286" spans="1:14" ht="19" customHeight="1" x14ac:dyDescent="0.3">
      <c r="A1286">
        <v>1281</v>
      </c>
      <c r="B1286" s="1">
        <v>5</v>
      </c>
      <c r="C1286" s="1">
        <v>70</v>
      </c>
      <c r="D1286" s="1">
        <v>5.5E-2</v>
      </c>
      <c r="E1286" s="1">
        <v>0.04</v>
      </c>
      <c r="F1286" s="1">
        <v>0</v>
      </c>
      <c r="G1286" s="1">
        <v>0</v>
      </c>
      <c r="H1286" s="1">
        <v>1.33203901348</v>
      </c>
      <c r="I1286" s="1">
        <v>1.84715897637</v>
      </c>
      <c r="J1286" s="1">
        <v>0.91178163732700002</v>
      </c>
      <c r="K1286" s="1">
        <v>14312.351950599999</v>
      </c>
      <c r="L1286" s="1">
        <v>4104.7269585399999</v>
      </c>
      <c r="M1286" s="1" t="s">
        <v>198</v>
      </c>
      <c r="N1286" s="1" t="b">
        <v>1</v>
      </c>
    </row>
    <row r="1287" spans="1:14" ht="19" customHeight="1" x14ac:dyDescent="0.3">
      <c r="A1287">
        <v>1282</v>
      </c>
      <c r="B1287" s="1">
        <v>5</v>
      </c>
      <c r="C1287" s="1">
        <v>70</v>
      </c>
      <c r="D1287" s="1">
        <v>5.5E-2</v>
      </c>
      <c r="E1287" s="1">
        <v>0.04</v>
      </c>
      <c r="F1287" s="1">
        <v>0</v>
      </c>
      <c r="G1287" s="1">
        <v>1</v>
      </c>
      <c r="H1287" s="1">
        <v>1.33203901348</v>
      </c>
      <c r="I1287" s="1">
        <v>1.38536923228</v>
      </c>
      <c r="J1287" s="1">
        <v>0.74766094260799998</v>
      </c>
      <c r="K1287" s="1">
        <v>12233.4322464</v>
      </c>
      <c r="L1287" s="1">
        <v>3365.8761060100001</v>
      </c>
      <c r="M1287" s="1" t="s">
        <v>198</v>
      </c>
      <c r="N1287" s="1" t="b">
        <v>1</v>
      </c>
    </row>
    <row r="1288" spans="1:14" ht="19" customHeight="1" x14ac:dyDescent="0.3">
      <c r="A1288">
        <v>1283</v>
      </c>
      <c r="B1288" s="1">
        <v>5</v>
      </c>
      <c r="C1288" s="1">
        <v>70</v>
      </c>
      <c r="D1288" s="1">
        <v>5.5E-2</v>
      </c>
      <c r="E1288" s="1">
        <v>0.04</v>
      </c>
      <c r="F1288" s="1">
        <v>5</v>
      </c>
      <c r="G1288" s="1">
        <v>0</v>
      </c>
      <c r="H1288" s="1">
        <v>1.30240279342</v>
      </c>
      <c r="I1288" s="1">
        <v>1.8060619744399999</v>
      </c>
      <c r="J1288" s="1">
        <v>0.91928163732699997</v>
      </c>
      <c r="K1288" s="1">
        <v>13993.9198268</v>
      </c>
      <c r="L1288" s="1">
        <v>4138.4910210400003</v>
      </c>
      <c r="M1288" s="1" t="s">
        <v>198</v>
      </c>
      <c r="N1288" s="1" t="b">
        <v>1</v>
      </c>
    </row>
    <row r="1289" spans="1:14" ht="19" customHeight="1" x14ac:dyDescent="0.3">
      <c r="A1289">
        <v>1284</v>
      </c>
      <c r="B1289" s="1">
        <v>5</v>
      </c>
      <c r="C1289" s="1">
        <v>70</v>
      </c>
      <c r="D1289" s="1">
        <v>5.5E-2</v>
      </c>
      <c r="E1289" s="1">
        <v>0.04</v>
      </c>
      <c r="F1289" s="1">
        <v>5</v>
      </c>
      <c r="G1289" s="1">
        <v>1</v>
      </c>
      <c r="H1289" s="1">
        <v>1.30240279342</v>
      </c>
      <c r="I1289" s="1">
        <v>1.3545464808300001</v>
      </c>
      <c r="J1289" s="1">
        <v>0.75381094260799997</v>
      </c>
      <c r="K1289" s="1">
        <v>11961.253514</v>
      </c>
      <c r="L1289" s="1">
        <v>3393.56263726</v>
      </c>
      <c r="M1289" s="1" t="s">
        <v>198</v>
      </c>
      <c r="N1289" s="1" t="b">
        <v>1</v>
      </c>
    </row>
    <row r="1290" spans="1:14" ht="19" customHeight="1" x14ac:dyDescent="0.3">
      <c r="A1290">
        <v>1285</v>
      </c>
      <c r="B1290" s="1">
        <v>5</v>
      </c>
      <c r="C1290" s="1">
        <v>70</v>
      </c>
      <c r="D1290" s="1">
        <v>5.5E-2</v>
      </c>
      <c r="E1290" s="1">
        <v>0.06</v>
      </c>
      <c r="F1290" s="1">
        <v>-5</v>
      </c>
      <c r="G1290" s="1">
        <v>0</v>
      </c>
      <c r="H1290" s="1">
        <v>1.33003239313</v>
      </c>
      <c r="I1290" s="1">
        <v>1.847506374</v>
      </c>
      <c r="J1290" s="1">
        <v>0.92175423964400005</v>
      </c>
      <c r="K1290" s="1">
        <v>14304.8823373</v>
      </c>
      <c r="L1290" s="1">
        <v>4149.6223676</v>
      </c>
      <c r="M1290" s="1" t="s">
        <v>198</v>
      </c>
      <c r="N1290" s="1" t="b">
        <v>1</v>
      </c>
    </row>
    <row r="1291" spans="1:14" ht="19" customHeight="1" x14ac:dyDescent="0.3">
      <c r="A1291">
        <v>1286</v>
      </c>
      <c r="B1291" s="1">
        <v>5</v>
      </c>
      <c r="C1291" s="1">
        <v>70</v>
      </c>
      <c r="D1291" s="1">
        <v>5.5E-2</v>
      </c>
      <c r="E1291" s="1">
        <v>0.06</v>
      </c>
      <c r="F1291" s="1">
        <v>-5</v>
      </c>
      <c r="G1291" s="1">
        <v>1</v>
      </c>
      <c r="H1291" s="1">
        <v>1.33003239313</v>
      </c>
      <c r="I1291" s="1">
        <v>1.3856297805</v>
      </c>
      <c r="J1291" s="1">
        <v>0.75583847650799996</v>
      </c>
      <c r="K1291" s="1">
        <v>12225.5716479</v>
      </c>
      <c r="L1291" s="1">
        <v>3402.69034143</v>
      </c>
      <c r="M1291" s="1" t="s">
        <v>198</v>
      </c>
      <c r="N1291" s="1" t="b">
        <v>1</v>
      </c>
    </row>
    <row r="1292" spans="1:14" ht="19" customHeight="1" x14ac:dyDescent="0.3">
      <c r="A1292">
        <v>1287</v>
      </c>
      <c r="B1292" s="1">
        <v>5</v>
      </c>
      <c r="C1292" s="1">
        <v>70</v>
      </c>
      <c r="D1292" s="1">
        <v>5.5E-2</v>
      </c>
      <c r="E1292" s="1">
        <v>0.06</v>
      </c>
      <c r="F1292" s="1">
        <v>0</v>
      </c>
      <c r="G1292" s="1">
        <v>0</v>
      </c>
      <c r="H1292" s="1">
        <v>1.3602973256799999</v>
      </c>
      <c r="I1292" s="1">
        <v>1.8895464446600001</v>
      </c>
      <c r="J1292" s="1">
        <v>0.91425423964399999</v>
      </c>
      <c r="K1292" s="1">
        <v>14630.3904236</v>
      </c>
      <c r="L1292" s="1">
        <v>4115.8583050999996</v>
      </c>
      <c r="M1292" s="1" t="s">
        <v>198</v>
      </c>
      <c r="N1292" s="1" t="b">
        <v>1</v>
      </c>
    </row>
    <row r="1293" spans="1:14" ht="19" customHeight="1" x14ac:dyDescent="0.3">
      <c r="A1293">
        <v>1288</v>
      </c>
      <c r="B1293" s="1">
        <v>5</v>
      </c>
      <c r="C1293" s="1">
        <v>70</v>
      </c>
      <c r="D1293" s="1">
        <v>5.5E-2</v>
      </c>
      <c r="E1293" s="1">
        <v>0.06</v>
      </c>
      <c r="F1293" s="1">
        <v>0</v>
      </c>
      <c r="G1293" s="1">
        <v>1</v>
      </c>
      <c r="H1293" s="1">
        <v>1.3602973256799999</v>
      </c>
      <c r="I1293" s="1">
        <v>1.4171598335</v>
      </c>
      <c r="J1293" s="1">
        <v>0.74968847650799997</v>
      </c>
      <c r="K1293" s="1">
        <v>12503.764948399999</v>
      </c>
      <c r="L1293" s="1">
        <v>3375.0038101800001</v>
      </c>
      <c r="M1293" s="1" t="s">
        <v>198</v>
      </c>
      <c r="N1293" s="1" t="b">
        <v>1</v>
      </c>
    </row>
    <row r="1294" spans="1:14" ht="19" customHeight="1" x14ac:dyDescent="0.3">
      <c r="A1294">
        <v>1289</v>
      </c>
      <c r="B1294" s="1">
        <v>5</v>
      </c>
      <c r="C1294" s="1">
        <v>70</v>
      </c>
      <c r="D1294" s="1">
        <v>5.5E-2</v>
      </c>
      <c r="E1294" s="1">
        <v>0.06</v>
      </c>
      <c r="F1294" s="1">
        <v>5</v>
      </c>
      <c r="G1294" s="1">
        <v>0</v>
      </c>
      <c r="H1294" s="1">
        <v>1.33003239313</v>
      </c>
      <c r="I1294" s="1">
        <v>1.847506374</v>
      </c>
      <c r="J1294" s="1">
        <v>0.92175423964400005</v>
      </c>
      <c r="K1294" s="1">
        <v>14304.8823373</v>
      </c>
      <c r="L1294" s="1">
        <v>4149.6223676</v>
      </c>
      <c r="M1294" s="1" t="s">
        <v>198</v>
      </c>
      <c r="N1294" s="1" t="b">
        <v>1</v>
      </c>
    </row>
    <row r="1295" spans="1:14" ht="19" customHeight="1" x14ac:dyDescent="0.3">
      <c r="A1295">
        <v>1290</v>
      </c>
      <c r="B1295" s="1">
        <v>5</v>
      </c>
      <c r="C1295" s="1">
        <v>70</v>
      </c>
      <c r="D1295" s="1">
        <v>5.5E-2</v>
      </c>
      <c r="E1295" s="1">
        <v>0.06</v>
      </c>
      <c r="F1295" s="1">
        <v>5</v>
      </c>
      <c r="G1295" s="1">
        <v>1</v>
      </c>
      <c r="H1295" s="1">
        <v>1.33003239313</v>
      </c>
      <c r="I1295" s="1">
        <v>1.3856297805</v>
      </c>
      <c r="J1295" s="1">
        <v>0.75583847650799996</v>
      </c>
      <c r="K1295" s="1">
        <v>12225.5716479</v>
      </c>
      <c r="L1295" s="1">
        <v>3402.69034143</v>
      </c>
      <c r="M1295" s="1" t="s">
        <v>198</v>
      </c>
      <c r="N1295" s="1" t="b">
        <v>1</v>
      </c>
    </row>
    <row r="1296" spans="1:14" ht="19" customHeight="1" x14ac:dyDescent="0.3">
      <c r="A1296">
        <v>1291</v>
      </c>
      <c r="B1296" s="1">
        <v>5</v>
      </c>
      <c r="C1296" s="1">
        <v>70</v>
      </c>
      <c r="D1296" s="1">
        <v>5.5E-2</v>
      </c>
      <c r="E1296" s="1">
        <v>8.5000000000000006E-2</v>
      </c>
      <c r="F1296" s="1">
        <v>-5</v>
      </c>
      <c r="G1296" s="1">
        <v>0</v>
      </c>
      <c r="H1296" s="1">
        <v>1.2593978476200001</v>
      </c>
      <c r="I1296" s="1">
        <v>1.7415545557300001</v>
      </c>
      <c r="J1296" s="1">
        <v>0.91543307890600001</v>
      </c>
      <c r="K1296" s="1">
        <v>13509.9126008</v>
      </c>
      <c r="L1296" s="1">
        <v>4121.1652921000004</v>
      </c>
      <c r="M1296" s="1" t="s">
        <v>198</v>
      </c>
      <c r="N1296" s="1" t="b">
        <v>1</v>
      </c>
    </row>
    <row r="1297" spans="1:14" ht="19" customHeight="1" x14ac:dyDescent="0.3">
      <c r="A1297">
        <v>1292</v>
      </c>
      <c r="B1297" s="1">
        <v>5</v>
      </c>
      <c r="C1297" s="1">
        <v>70</v>
      </c>
      <c r="D1297" s="1">
        <v>5.5E-2</v>
      </c>
      <c r="E1297" s="1">
        <v>8.5000000000000006E-2</v>
      </c>
      <c r="F1297" s="1">
        <v>-5</v>
      </c>
      <c r="G1297" s="1">
        <v>1</v>
      </c>
      <c r="H1297" s="1">
        <v>1.2593978476200001</v>
      </c>
      <c r="I1297" s="1">
        <v>1.3061659167999999</v>
      </c>
      <c r="J1297" s="1">
        <v>0.750655124703</v>
      </c>
      <c r="K1297" s="1">
        <v>11549.847371899999</v>
      </c>
      <c r="L1297" s="1">
        <v>3379.3555395200001</v>
      </c>
      <c r="M1297" s="1" t="s">
        <v>198</v>
      </c>
      <c r="N1297" s="1" t="b">
        <v>1</v>
      </c>
    </row>
    <row r="1298" spans="1:14" ht="19" customHeight="1" x14ac:dyDescent="0.3">
      <c r="A1298">
        <v>1293</v>
      </c>
      <c r="B1298" s="1">
        <v>5</v>
      </c>
      <c r="C1298" s="1">
        <v>70</v>
      </c>
      <c r="D1298" s="1">
        <v>5.5E-2</v>
      </c>
      <c r="E1298" s="1">
        <v>8.5000000000000006E-2</v>
      </c>
      <c r="F1298" s="1">
        <v>0</v>
      </c>
      <c r="G1298" s="1">
        <v>0</v>
      </c>
      <c r="H1298" s="1">
        <v>1.28805548867</v>
      </c>
      <c r="I1298" s="1">
        <v>1.7811836891499999</v>
      </c>
      <c r="J1298" s="1">
        <v>0.90793307890599995</v>
      </c>
      <c r="K1298" s="1">
        <v>13817.331123600001</v>
      </c>
      <c r="L1298" s="1">
        <v>4087.4012296000001</v>
      </c>
      <c r="M1298" s="1" t="s">
        <v>198</v>
      </c>
      <c r="N1298" s="1" t="b">
        <v>1</v>
      </c>
    </row>
    <row r="1299" spans="1:14" ht="19" customHeight="1" x14ac:dyDescent="0.3">
      <c r="A1299">
        <v>1294</v>
      </c>
      <c r="B1299" s="1">
        <v>5</v>
      </c>
      <c r="C1299" s="1">
        <v>70</v>
      </c>
      <c r="D1299" s="1">
        <v>5.5E-2</v>
      </c>
      <c r="E1299" s="1">
        <v>8.5000000000000006E-2</v>
      </c>
      <c r="F1299" s="1">
        <v>0</v>
      </c>
      <c r="G1299" s="1">
        <v>1</v>
      </c>
      <c r="H1299" s="1">
        <v>1.28805548867</v>
      </c>
      <c r="I1299" s="1">
        <v>1.33588776686</v>
      </c>
      <c r="J1299" s="1">
        <v>0.74450512470300001</v>
      </c>
      <c r="K1299" s="1">
        <v>11812.664543499999</v>
      </c>
      <c r="L1299" s="1">
        <v>3351.6690082700002</v>
      </c>
      <c r="M1299" s="1" t="s">
        <v>198</v>
      </c>
      <c r="N1299" s="1" t="b">
        <v>1</v>
      </c>
    </row>
    <row r="1300" spans="1:14" ht="19" customHeight="1" x14ac:dyDescent="0.3">
      <c r="A1300">
        <v>1295</v>
      </c>
      <c r="B1300" s="1">
        <v>5</v>
      </c>
      <c r="C1300" s="1">
        <v>70</v>
      </c>
      <c r="D1300" s="1">
        <v>5.5E-2</v>
      </c>
      <c r="E1300" s="1">
        <v>8.5000000000000006E-2</v>
      </c>
      <c r="F1300" s="1">
        <v>5</v>
      </c>
      <c r="G1300" s="1">
        <v>0</v>
      </c>
      <c r="H1300" s="1">
        <v>1.2593978476200001</v>
      </c>
      <c r="I1300" s="1">
        <v>1.7415545557300001</v>
      </c>
      <c r="J1300" s="1">
        <v>0.91543307890600001</v>
      </c>
      <c r="K1300" s="1">
        <v>13509.9126008</v>
      </c>
      <c r="L1300" s="1">
        <v>4121.1652921000004</v>
      </c>
      <c r="M1300" s="1" t="s">
        <v>198</v>
      </c>
      <c r="N1300" s="1" t="b">
        <v>1</v>
      </c>
    </row>
    <row r="1301" spans="1:14" ht="19" customHeight="1" x14ac:dyDescent="0.3">
      <c r="A1301">
        <v>1296</v>
      </c>
      <c r="B1301" s="1">
        <v>5</v>
      </c>
      <c r="C1301" s="1">
        <v>70</v>
      </c>
      <c r="D1301" s="1">
        <v>5.5E-2</v>
      </c>
      <c r="E1301" s="1">
        <v>8.5000000000000006E-2</v>
      </c>
      <c r="F1301" s="1">
        <v>5</v>
      </c>
      <c r="G1301" s="1">
        <v>1</v>
      </c>
      <c r="H1301" s="1">
        <v>1.2593978476200001</v>
      </c>
      <c r="I1301" s="1">
        <v>1.3061659167999999</v>
      </c>
      <c r="J1301" s="1">
        <v>0.750655124703</v>
      </c>
      <c r="K1301" s="1">
        <v>11549.847371899999</v>
      </c>
      <c r="L1301" s="1">
        <v>3379.3555395200001</v>
      </c>
      <c r="M1301" s="1" t="s">
        <v>198</v>
      </c>
      <c r="N1301" s="1" t="b">
        <v>1</v>
      </c>
    </row>
    <row r="1302" spans="1:14" ht="19" customHeight="1" x14ac:dyDescent="0.3">
      <c r="A1302">
        <v>1297</v>
      </c>
      <c r="B1302" s="1">
        <v>5</v>
      </c>
      <c r="C1302" s="1">
        <v>90</v>
      </c>
      <c r="D1302" s="1">
        <v>2.5000000000000001E-2</v>
      </c>
      <c r="E1302" s="1">
        <v>0.04</v>
      </c>
      <c r="F1302" s="1">
        <v>-5</v>
      </c>
      <c r="G1302" s="1">
        <v>0</v>
      </c>
      <c r="H1302" s="1">
        <v>1.4362990820299999</v>
      </c>
      <c r="I1302" s="1">
        <v>2.0069064073599998</v>
      </c>
      <c r="J1302" s="1">
        <v>0.93126415886000002</v>
      </c>
      <c r="K1302" s="1">
        <v>25623.904851399999</v>
      </c>
      <c r="L1302" s="1">
        <v>6930.35146222</v>
      </c>
      <c r="M1302" s="1" t="s">
        <v>198</v>
      </c>
      <c r="N1302" s="1" t="b">
        <v>1</v>
      </c>
    </row>
    <row r="1303" spans="1:14" ht="19" customHeight="1" x14ac:dyDescent="0.3">
      <c r="A1303">
        <v>1298</v>
      </c>
      <c r="B1303" s="1">
        <v>5</v>
      </c>
      <c r="C1303" s="1">
        <v>90</v>
      </c>
      <c r="D1303" s="1">
        <v>2.5000000000000001E-2</v>
      </c>
      <c r="E1303" s="1">
        <v>0.04</v>
      </c>
      <c r="F1303" s="1">
        <v>-5</v>
      </c>
      <c r="G1303" s="1">
        <v>1</v>
      </c>
      <c r="H1303" s="1">
        <v>1.4362990820299999</v>
      </c>
      <c r="I1303" s="1">
        <v>1.5051798055200001</v>
      </c>
      <c r="J1303" s="1">
        <v>0.76363661026499996</v>
      </c>
      <c r="K1303" s="1">
        <v>21890.118196300002</v>
      </c>
      <c r="L1303" s="1">
        <v>5682.8881990199998</v>
      </c>
      <c r="M1303" s="1" t="s">
        <v>198</v>
      </c>
      <c r="N1303" s="1" t="b">
        <v>1</v>
      </c>
    </row>
    <row r="1304" spans="1:14" ht="19" customHeight="1" x14ac:dyDescent="0.3">
      <c r="A1304">
        <v>1299</v>
      </c>
      <c r="B1304" s="1">
        <v>5</v>
      </c>
      <c r="C1304" s="1">
        <v>90</v>
      </c>
      <c r="D1304" s="1">
        <v>2.5000000000000001E-2</v>
      </c>
      <c r="E1304" s="1">
        <v>0.04</v>
      </c>
      <c r="F1304" s="1">
        <v>0</v>
      </c>
      <c r="G1304" s="1">
        <v>0</v>
      </c>
      <c r="H1304" s="1">
        <v>1.4689821167199999</v>
      </c>
      <c r="I1304" s="1">
        <v>2.05257363122</v>
      </c>
      <c r="J1304" s="1">
        <v>0.92376415885999996</v>
      </c>
      <c r="K1304" s="1">
        <v>26206.977681699998</v>
      </c>
      <c r="L1304" s="1">
        <v>6874.5373997200004</v>
      </c>
      <c r="M1304" s="1" t="s">
        <v>198</v>
      </c>
      <c r="N1304" s="1" t="b">
        <v>1</v>
      </c>
    </row>
    <row r="1305" spans="1:14" ht="19" customHeight="1" x14ac:dyDescent="0.3">
      <c r="A1305">
        <v>1300</v>
      </c>
      <c r="B1305" s="1">
        <v>5</v>
      </c>
      <c r="C1305" s="1">
        <v>90</v>
      </c>
      <c r="D1305" s="1">
        <v>2.5000000000000001E-2</v>
      </c>
      <c r="E1305" s="1">
        <v>0.04</v>
      </c>
      <c r="F1305" s="1">
        <v>0</v>
      </c>
      <c r="G1305" s="1">
        <v>1</v>
      </c>
      <c r="H1305" s="1">
        <v>1.4689821167199999</v>
      </c>
      <c r="I1305" s="1">
        <v>1.5394302234199999</v>
      </c>
      <c r="J1305" s="1">
        <v>0.75748661026499997</v>
      </c>
      <c r="K1305" s="1">
        <v>22388.228583700002</v>
      </c>
      <c r="L1305" s="1">
        <v>5637.1206677700002</v>
      </c>
      <c r="M1305" s="1" t="s">
        <v>198</v>
      </c>
      <c r="N1305" s="1" t="b">
        <v>1</v>
      </c>
    </row>
    <row r="1306" spans="1:14" ht="19" customHeight="1" x14ac:dyDescent="0.3">
      <c r="A1306">
        <v>1301</v>
      </c>
      <c r="B1306" s="1">
        <v>5</v>
      </c>
      <c r="C1306" s="1">
        <v>90</v>
      </c>
      <c r="D1306" s="1">
        <v>2.5000000000000001E-2</v>
      </c>
      <c r="E1306" s="1">
        <v>0.04</v>
      </c>
      <c r="F1306" s="1">
        <v>5</v>
      </c>
      <c r="G1306" s="1">
        <v>0</v>
      </c>
      <c r="H1306" s="1">
        <v>1.4362990820299999</v>
      </c>
      <c r="I1306" s="1">
        <v>2.0069064073599998</v>
      </c>
      <c r="J1306" s="1">
        <v>0.93126415886000002</v>
      </c>
      <c r="K1306" s="1">
        <v>25623.904851399999</v>
      </c>
      <c r="L1306" s="1">
        <v>6930.35146222</v>
      </c>
      <c r="M1306" s="1" t="s">
        <v>198</v>
      </c>
      <c r="N1306" s="1" t="b">
        <v>1</v>
      </c>
    </row>
    <row r="1307" spans="1:14" ht="19" customHeight="1" x14ac:dyDescent="0.3">
      <c r="A1307">
        <v>1302</v>
      </c>
      <c r="B1307" s="1">
        <v>5</v>
      </c>
      <c r="C1307" s="1">
        <v>90</v>
      </c>
      <c r="D1307" s="1">
        <v>2.5000000000000001E-2</v>
      </c>
      <c r="E1307" s="1">
        <v>0.04</v>
      </c>
      <c r="F1307" s="1">
        <v>5</v>
      </c>
      <c r="G1307" s="1">
        <v>1</v>
      </c>
      <c r="H1307" s="1">
        <v>1.4362990820299999</v>
      </c>
      <c r="I1307" s="1">
        <v>1.5051798055200001</v>
      </c>
      <c r="J1307" s="1">
        <v>0.76363661026499996</v>
      </c>
      <c r="K1307" s="1">
        <v>21890.118196300002</v>
      </c>
      <c r="L1307" s="1">
        <v>5682.8881990199998</v>
      </c>
      <c r="M1307" s="1" t="s">
        <v>198</v>
      </c>
      <c r="N1307" s="1" t="b">
        <v>1</v>
      </c>
    </row>
    <row r="1308" spans="1:14" ht="19" customHeight="1" x14ac:dyDescent="0.3">
      <c r="A1308">
        <v>1303</v>
      </c>
      <c r="B1308" s="1">
        <v>5</v>
      </c>
      <c r="C1308" s="1">
        <v>90</v>
      </c>
      <c r="D1308" s="1">
        <v>2.5000000000000001E-2</v>
      </c>
      <c r="E1308" s="1">
        <v>0.06</v>
      </c>
      <c r="F1308" s="1">
        <v>-5</v>
      </c>
      <c r="G1308" s="1">
        <v>0</v>
      </c>
      <c r="H1308" s="1">
        <v>1.47691409567</v>
      </c>
      <c r="I1308" s="1">
        <v>2.0678289278099999</v>
      </c>
      <c r="J1308" s="1">
        <v>0.93489883970499998</v>
      </c>
      <c r="K1308" s="1">
        <v>26379.5344879</v>
      </c>
      <c r="L1308" s="1">
        <v>6957.4003027299996</v>
      </c>
      <c r="M1308" s="1" t="s">
        <v>198</v>
      </c>
      <c r="N1308" s="1" t="b">
        <v>1</v>
      </c>
    </row>
    <row r="1309" spans="1:14" ht="19" customHeight="1" x14ac:dyDescent="0.3">
      <c r="A1309">
        <v>1304</v>
      </c>
      <c r="B1309" s="1">
        <v>5</v>
      </c>
      <c r="C1309" s="1">
        <v>90</v>
      </c>
      <c r="D1309" s="1">
        <v>2.5000000000000001E-2</v>
      </c>
      <c r="E1309" s="1">
        <v>0.06</v>
      </c>
      <c r="F1309" s="1">
        <v>-5</v>
      </c>
      <c r="G1309" s="1">
        <v>1</v>
      </c>
      <c r="H1309" s="1">
        <v>1.47691409567</v>
      </c>
      <c r="I1309" s="1">
        <v>1.55087169586</v>
      </c>
      <c r="J1309" s="1">
        <v>0.76661704855799995</v>
      </c>
      <c r="K1309" s="1">
        <v>22532.403387300001</v>
      </c>
      <c r="L1309" s="1">
        <v>5705.0682482399998</v>
      </c>
      <c r="M1309" s="1" t="s">
        <v>198</v>
      </c>
      <c r="N1309" s="1" t="b">
        <v>1</v>
      </c>
    </row>
    <row r="1310" spans="1:14" ht="19" customHeight="1" x14ac:dyDescent="0.3">
      <c r="A1310">
        <v>1305</v>
      </c>
      <c r="B1310" s="1">
        <v>5</v>
      </c>
      <c r="C1310" s="1">
        <v>90</v>
      </c>
      <c r="D1310" s="1">
        <v>2.5000000000000001E-2</v>
      </c>
      <c r="E1310" s="1">
        <v>0.06</v>
      </c>
      <c r="F1310" s="1">
        <v>0</v>
      </c>
      <c r="G1310" s="1">
        <v>0</v>
      </c>
      <c r="H1310" s="1">
        <v>1.5105213263699999</v>
      </c>
      <c r="I1310" s="1">
        <v>2.1148824457100002</v>
      </c>
      <c r="J1310" s="1">
        <v>0.92739883970500003</v>
      </c>
      <c r="K1310" s="1">
        <v>26979.801696400002</v>
      </c>
      <c r="L1310" s="1">
        <v>6901.5862402299999</v>
      </c>
      <c r="M1310" s="1" t="s">
        <v>198</v>
      </c>
      <c r="N1310" s="1" t="b">
        <v>1</v>
      </c>
    </row>
    <row r="1311" spans="1:14" ht="19" customHeight="1" x14ac:dyDescent="0.3">
      <c r="A1311">
        <v>1306</v>
      </c>
      <c r="B1311" s="1">
        <v>5</v>
      </c>
      <c r="C1311" s="1">
        <v>90</v>
      </c>
      <c r="D1311" s="1">
        <v>2.5000000000000001E-2</v>
      </c>
      <c r="E1311" s="1">
        <v>0.06</v>
      </c>
      <c r="F1311" s="1">
        <v>0</v>
      </c>
      <c r="G1311" s="1">
        <v>1</v>
      </c>
      <c r="H1311" s="1">
        <v>1.5105213263699999</v>
      </c>
      <c r="I1311" s="1">
        <v>1.5861618342799999</v>
      </c>
      <c r="J1311" s="1">
        <v>0.76046704855799996</v>
      </c>
      <c r="K1311" s="1">
        <v>23045.128996200001</v>
      </c>
      <c r="L1311" s="1">
        <v>5659.3007169900002</v>
      </c>
      <c r="M1311" s="1" t="s">
        <v>198</v>
      </c>
      <c r="N1311" s="1" t="b">
        <v>1</v>
      </c>
    </row>
    <row r="1312" spans="1:14" ht="19" customHeight="1" x14ac:dyDescent="0.3">
      <c r="A1312">
        <v>1307</v>
      </c>
      <c r="B1312" s="1">
        <v>5</v>
      </c>
      <c r="C1312" s="1">
        <v>90</v>
      </c>
      <c r="D1312" s="1">
        <v>2.5000000000000001E-2</v>
      </c>
      <c r="E1312" s="1">
        <v>0.06</v>
      </c>
      <c r="F1312" s="1">
        <v>5</v>
      </c>
      <c r="G1312" s="1">
        <v>0</v>
      </c>
      <c r="H1312" s="1">
        <v>1.47691409567</v>
      </c>
      <c r="I1312" s="1">
        <v>2.0678289278099999</v>
      </c>
      <c r="J1312" s="1">
        <v>0.93489883970499998</v>
      </c>
      <c r="K1312" s="1">
        <v>26379.5344879</v>
      </c>
      <c r="L1312" s="1">
        <v>6957.4003027299996</v>
      </c>
      <c r="M1312" s="1" t="s">
        <v>198</v>
      </c>
      <c r="N1312" s="1" t="b">
        <v>1</v>
      </c>
    </row>
    <row r="1313" spans="1:14" ht="19" customHeight="1" x14ac:dyDescent="0.3">
      <c r="A1313">
        <v>1308</v>
      </c>
      <c r="B1313" s="1">
        <v>5</v>
      </c>
      <c r="C1313" s="1">
        <v>90</v>
      </c>
      <c r="D1313" s="1">
        <v>2.5000000000000001E-2</v>
      </c>
      <c r="E1313" s="1">
        <v>0.06</v>
      </c>
      <c r="F1313" s="1">
        <v>5</v>
      </c>
      <c r="G1313" s="1">
        <v>1</v>
      </c>
      <c r="H1313" s="1">
        <v>1.47691409567</v>
      </c>
      <c r="I1313" s="1">
        <v>1.55087169586</v>
      </c>
      <c r="J1313" s="1">
        <v>0.76661704855799995</v>
      </c>
      <c r="K1313" s="1">
        <v>22532.403387300001</v>
      </c>
      <c r="L1313" s="1">
        <v>5705.0682482399998</v>
      </c>
      <c r="M1313" s="1" t="s">
        <v>198</v>
      </c>
      <c r="N1313" s="1" t="b">
        <v>1</v>
      </c>
    </row>
    <row r="1314" spans="1:14" ht="19" customHeight="1" x14ac:dyDescent="0.3">
      <c r="A1314">
        <v>1309</v>
      </c>
      <c r="B1314" s="1">
        <v>5</v>
      </c>
      <c r="C1314" s="1">
        <v>90</v>
      </c>
      <c r="D1314" s="1">
        <v>2.5000000000000001E-2</v>
      </c>
      <c r="E1314" s="1">
        <v>8.5000000000000006E-2</v>
      </c>
      <c r="F1314" s="1">
        <v>-5</v>
      </c>
      <c r="G1314" s="1">
        <v>0</v>
      </c>
      <c r="H1314" s="1">
        <v>1.3730825867300001</v>
      </c>
      <c r="I1314" s="1">
        <v>1.91208166439</v>
      </c>
      <c r="J1314" s="1">
        <v>0.92560684733900001</v>
      </c>
      <c r="K1314" s="1">
        <v>24447.781711299998</v>
      </c>
      <c r="L1314" s="1">
        <v>6888.2504570399997</v>
      </c>
      <c r="M1314" s="1" t="s">
        <v>198</v>
      </c>
      <c r="N1314" s="1" t="b">
        <v>1</v>
      </c>
    </row>
    <row r="1315" spans="1:14" ht="19" customHeight="1" x14ac:dyDescent="0.3">
      <c r="A1315">
        <v>1310</v>
      </c>
      <c r="B1315" s="1">
        <v>5</v>
      </c>
      <c r="C1315" s="1">
        <v>90</v>
      </c>
      <c r="D1315" s="1">
        <v>2.5000000000000001E-2</v>
      </c>
      <c r="E1315" s="1">
        <v>8.5000000000000006E-2</v>
      </c>
      <c r="F1315" s="1">
        <v>-5</v>
      </c>
      <c r="G1315" s="1">
        <v>1</v>
      </c>
      <c r="H1315" s="1">
        <v>1.3730825867300001</v>
      </c>
      <c r="I1315" s="1">
        <v>1.4340612482999999</v>
      </c>
      <c r="J1315" s="1">
        <v>0.75899761481799999</v>
      </c>
      <c r="K1315" s="1">
        <v>20890.413527199998</v>
      </c>
      <c r="L1315" s="1">
        <v>5648.36537477</v>
      </c>
      <c r="M1315" s="1" t="s">
        <v>198</v>
      </c>
      <c r="N1315" s="1" t="b">
        <v>1</v>
      </c>
    </row>
    <row r="1316" spans="1:14" ht="19" customHeight="1" x14ac:dyDescent="0.3">
      <c r="A1316">
        <v>1311</v>
      </c>
      <c r="B1316" s="1">
        <v>5</v>
      </c>
      <c r="C1316" s="1">
        <v>90</v>
      </c>
      <c r="D1316" s="1">
        <v>2.5000000000000001E-2</v>
      </c>
      <c r="E1316" s="1">
        <v>8.5000000000000006E-2</v>
      </c>
      <c r="F1316" s="1">
        <v>0</v>
      </c>
      <c r="G1316" s="1">
        <v>0</v>
      </c>
      <c r="H1316" s="1">
        <v>1.4043271279</v>
      </c>
      <c r="I1316" s="1">
        <v>1.9555911479899999</v>
      </c>
      <c r="J1316" s="1">
        <v>0.91810684733900005</v>
      </c>
      <c r="K1316" s="1">
        <v>25004.091819400001</v>
      </c>
      <c r="L1316" s="1">
        <v>6832.43639454</v>
      </c>
      <c r="M1316" s="1" t="s">
        <v>198</v>
      </c>
      <c r="N1316" s="1" t="b">
        <v>1</v>
      </c>
    </row>
    <row r="1317" spans="1:14" ht="19" customHeight="1" x14ac:dyDescent="0.3">
      <c r="A1317">
        <v>1312</v>
      </c>
      <c r="B1317" s="1">
        <v>5</v>
      </c>
      <c r="C1317" s="1">
        <v>90</v>
      </c>
      <c r="D1317" s="1">
        <v>2.5000000000000001E-2</v>
      </c>
      <c r="E1317" s="1">
        <v>8.5000000000000006E-2</v>
      </c>
      <c r="F1317" s="1">
        <v>0</v>
      </c>
      <c r="G1317" s="1">
        <v>1</v>
      </c>
      <c r="H1317" s="1">
        <v>1.4043271279</v>
      </c>
      <c r="I1317" s="1">
        <v>1.4666933609899999</v>
      </c>
      <c r="J1317" s="1">
        <v>0.752847614818</v>
      </c>
      <c r="K1317" s="1">
        <v>21365.7756008</v>
      </c>
      <c r="L1317" s="1">
        <v>5602.5978435200004</v>
      </c>
      <c r="M1317" s="1" t="s">
        <v>198</v>
      </c>
      <c r="N1317" s="1" t="b">
        <v>1</v>
      </c>
    </row>
    <row r="1318" spans="1:14" ht="19" customHeight="1" x14ac:dyDescent="0.3">
      <c r="A1318">
        <v>1313</v>
      </c>
      <c r="B1318" s="1">
        <v>5</v>
      </c>
      <c r="C1318" s="1">
        <v>90</v>
      </c>
      <c r="D1318" s="1">
        <v>2.5000000000000001E-2</v>
      </c>
      <c r="E1318" s="1">
        <v>8.5000000000000006E-2</v>
      </c>
      <c r="F1318" s="1">
        <v>5</v>
      </c>
      <c r="G1318" s="1">
        <v>0</v>
      </c>
      <c r="H1318" s="1">
        <v>1.3730825867300001</v>
      </c>
      <c r="I1318" s="1">
        <v>1.91208166439</v>
      </c>
      <c r="J1318" s="1">
        <v>0.92560684733900001</v>
      </c>
      <c r="K1318" s="1">
        <v>24447.781711299998</v>
      </c>
      <c r="L1318" s="1">
        <v>6888.2504570399997</v>
      </c>
      <c r="M1318" s="1" t="s">
        <v>198</v>
      </c>
      <c r="N1318" s="1" t="b">
        <v>1</v>
      </c>
    </row>
    <row r="1319" spans="1:14" ht="19" customHeight="1" x14ac:dyDescent="0.3">
      <c r="A1319">
        <v>1314</v>
      </c>
      <c r="B1319" s="1">
        <v>5</v>
      </c>
      <c r="C1319" s="1">
        <v>90</v>
      </c>
      <c r="D1319" s="1">
        <v>2.5000000000000001E-2</v>
      </c>
      <c r="E1319" s="1">
        <v>8.5000000000000006E-2</v>
      </c>
      <c r="F1319" s="1">
        <v>5</v>
      </c>
      <c r="G1319" s="1">
        <v>1</v>
      </c>
      <c r="H1319" s="1">
        <v>1.3730825867300001</v>
      </c>
      <c r="I1319" s="1">
        <v>1.4340612482999999</v>
      </c>
      <c r="J1319" s="1">
        <v>0.75899761481799999</v>
      </c>
      <c r="K1319" s="1">
        <v>20890.413527199998</v>
      </c>
      <c r="L1319" s="1">
        <v>5648.36537477</v>
      </c>
      <c r="M1319" s="1" t="s">
        <v>198</v>
      </c>
      <c r="N1319" s="1" t="b">
        <v>1</v>
      </c>
    </row>
    <row r="1320" spans="1:14" ht="19" customHeight="1" x14ac:dyDescent="0.3">
      <c r="A1320">
        <v>1315</v>
      </c>
      <c r="B1320" s="1">
        <v>5</v>
      </c>
      <c r="C1320" s="1">
        <v>90</v>
      </c>
      <c r="D1320" s="1">
        <v>0.04</v>
      </c>
      <c r="E1320" s="1">
        <v>0.04</v>
      </c>
      <c r="F1320" s="1">
        <v>-5</v>
      </c>
      <c r="G1320" s="1">
        <v>0</v>
      </c>
      <c r="H1320" s="1">
        <v>1.44228789549</v>
      </c>
      <c r="I1320" s="1">
        <v>2.01588962754</v>
      </c>
      <c r="J1320" s="1">
        <v>0.93180010415699999</v>
      </c>
      <c r="K1320" s="1">
        <v>25735.3248542</v>
      </c>
      <c r="L1320" s="1">
        <v>6934.3399001199996</v>
      </c>
      <c r="M1320" s="1" t="s">
        <v>198</v>
      </c>
      <c r="N1320" s="1" t="b">
        <v>1</v>
      </c>
    </row>
    <row r="1321" spans="1:14" ht="19" customHeight="1" x14ac:dyDescent="0.3">
      <c r="A1321">
        <v>1316</v>
      </c>
      <c r="B1321" s="1">
        <v>5</v>
      </c>
      <c r="C1321" s="1">
        <v>90</v>
      </c>
      <c r="D1321" s="1">
        <v>0.04</v>
      </c>
      <c r="E1321" s="1">
        <v>0.04</v>
      </c>
      <c r="F1321" s="1">
        <v>-5</v>
      </c>
      <c r="G1321" s="1">
        <v>1</v>
      </c>
      <c r="H1321" s="1">
        <v>1.44228789549</v>
      </c>
      <c r="I1321" s="1">
        <v>1.51191722065</v>
      </c>
      <c r="J1321" s="1">
        <v>0.76407608540899996</v>
      </c>
      <c r="K1321" s="1">
        <v>21984.8251987</v>
      </c>
      <c r="L1321" s="1">
        <v>5686.1587181000004</v>
      </c>
      <c r="M1321" s="1" t="s">
        <v>198</v>
      </c>
      <c r="N1321" s="1" t="b">
        <v>1</v>
      </c>
    </row>
    <row r="1322" spans="1:14" ht="19" customHeight="1" x14ac:dyDescent="0.3">
      <c r="A1322">
        <v>1317</v>
      </c>
      <c r="B1322" s="1">
        <v>5</v>
      </c>
      <c r="C1322" s="1">
        <v>90</v>
      </c>
      <c r="D1322" s="1">
        <v>0.04</v>
      </c>
      <c r="E1322" s="1">
        <v>0.04</v>
      </c>
      <c r="F1322" s="1">
        <v>0</v>
      </c>
      <c r="G1322" s="1">
        <v>0</v>
      </c>
      <c r="H1322" s="1">
        <v>1.4751072058200001</v>
      </c>
      <c r="I1322" s="1">
        <v>2.0617612648799999</v>
      </c>
      <c r="J1322" s="1">
        <v>0.92430010415700004</v>
      </c>
      <c r="K1322" s="1">
        <v>26320.933050399999</v>
      </c>
      <c r="L1322" s="1">
        <v>6878.5258376199999</v>
      </c>
      <c r="M1322" s="1" t="s">
        <v>198</v>
      </c>
      <c r="N1322" s="1" t="b">
        <v>1</v>
      </c>
    </row>
    <row r="1323" spans="1:14" ht="19" customHeight="1" x14ac:dyDescent="0.3">
      <c r="A1323">
        <v>1318</v>
      </c>
      <c r="B1323" s="1">
        <v>5</v>
      </c>
      <c r="C1323" s="1">
        <v>90</v>
      </c>
      <c r="D1323" s="1">
        <v>0.04</v>
      </c>
      <c r="E1323" s="1">
        <v>0.04</v>
      </c>
      <c r="F1323" s="1">
        <v>0</v>
      </c>
      <c r="G1323" s="1">
        <v>1</v>
      </c>
      <c r="H1323" s="1">
        <v>1.4751072058200001</v>
      </c>
      <c r="I1323" s="1">
        <v>1.54632094866</v>
      </c>
      <c r="J1323" s="1">
        <v>0.75792608540899997</v>
      </c>
      <c r="K1323" s="1">
        <v>22485.090647199999</v>
      </c>
      <c r="L1323" s="1">
        <v>5640.3911868499999</v>
      </c>
      <c r="M1323" s="1" t="s">
        <v>198</v>
      </c>
      <c r="N1323" s="1" t="b">
        <v>1</v>
      </c>
    </row>
    <row r="1324" spans="1:14" ht="19" customHeight="1" x14ac:dyDescent="0.3">
      <c r="A1324">
        <v>1319</v>
      </c>
      <c r="B1324" s="1">
        <v>5</v>
      </c>
      <c r="C1324" s="1">
        <v>90</v>
      </c>
      <c r="D1324" s="1">
        <v>0.04</v>
      </c>
      <c r="E1324" s="1">
        <v>0.04</v>
      </c>
      <c r="F1324" s="1">
        <v>5</v>
      </c>
      <c r="G1324" s="1">
        <v>0</v>
      </c>
      <c r="H1324" s="1">
        <v>1.44228789549</v>
      </c>
      <c r="I1324" s="1">
        <v>2.01588962754</v>
      </c>
      <c r="J1324" s="1">
        <v>0.93180010415699999</v>
      </c>
      <c r="K1324" s="1">
        <v>25735.3248542</v>
      </c>
      <c r="L1324" s="1">
        <v>6934.3399001199996</v>
      </c>
      <c r="M1324" s="1" t="s">
        <v>198</v>
      </c>
      <c r="N1324" s="1" t="b">
        <v>1</v>
      </c>
    </row>
    <row r="1325" spans="1:14" ht="19" customHeight="1" x14ac:dyDescent="0.3">
      <c r="A1325">
        <v>1320</v>
      </c>
      <c r="B1325" s="1">
        <v>5</v>
      </c>
      <c r="C1325" s="1">
        <v>90</v>
      </c>
      <c r="D1325" s="1">
        <v>0.04</v>
      </c>
      <c r="E1325" s="1">
        <v>0.04</v>
      </c>
      <c r="F1325" s="1">
        <v>5</v>
      </c>
      <c r="G1325" s="1">
        <v>1</v>
      </c>
      <c r="H1325" s="1">
        <v>1.44228789549</v>
      </c>
      <c r="I1325" s="1">
        <v>1.51191722065</v>
      </c>
      <c r="J1325" s="1">
        <v>0.76407608540899996</v>
      </c>
      <c r="K1325" s="1">
        <v>21984.8251987</v>
      </c>
      <c r="L1325" s="1">
        <v>5686.1587181000004</v>
      </c>
      <c r="M1325" s="1" t="s">
        <v>198</v>
      </c>
      <c r="N1325" s="1" t="b">
        <v>1</v>
      </c>
    </row>
    <row r="1326" spans="1:14" ht="19" customHeight="1" x14ac:dyDescent="0.3">
      <c r="A1326">
        <v>1321</v>
      </c>
      <c r="B1326" s="1">
        <v>5</v>
      </c>
      <c r="C1326" s="1">
        <v>90</v>
      </c>
      <c r="D1326" s="1">
        <v>0.04</v>
      </c>
      <c r="E1326" s="1">
        <v>0.06</v>
      </c>
      <c r="F1326" s="1">
        <v>-5</v>
      </c>
      <c r="G1326" s="1">
        <v>0</v>
      </c>
      <c r="H1326" s="1">
        <v>1.4834837110400001</v>
      </c>
      <c r="I1326" s="1">
        <v>2.0776833508700001</v>
      </c>
      <c r="J1326" s="1">
        <v>0.93548676158499999</v>
      </c>
      <c r="K1326" s="1">
        <v>26501.760128900001</v>
      </c>
      <c r="L1326" s="1">
        <v>6961.7755438699996</v>
      </c>
      <c r="M1326" s="1" t="s">
        <v>198</v>
      </c>
      <c r="N1326" s="1" t="b">
        <v>1</v>
      </c>
    </row>
    <row r="1327" spans="1:14" ht="19" customHeight="1" x14ac:dyDescent="0.3">
      <c r="A1327">
        <v>1322</v>
      </c>
      <c r="B1327" s="1">
        <v>5</v>
      </c>
      <c r="C1327" s="1">
        <v>90</v>
      </c>
      <c r="D1327" s="1">
        <v>0.04</v>
      </c>
      <c r="E1327" s="1">
        <v>0.06</v>
      </c>
      <c r="F1327" s="1">
        <v>-5</v>
      </c>
      <c r="G1327" s="1">
        <v>1</v>
      </c>
      <c r="H1327" s="1">
        <v>1.4834837110400001</v>
      </c>
      <c r="I1327" s="1">
        <v>1.5582625131500001</v>
      </c>
      <c r="J1327" s="1">
        <v>0.76709914450000005</v>
      </c>
      <c r="K1327" s="1">
        <v>22636.2951822</v>
      </c>
      <c r="L1327" s="1">
        <v>5708.6559459700002</v>
      </c>
      <c r="M1327" s="1" t="s">
        <v>198</v>
      </c>
      <c r="N1327" s="1" t="b">
        <v>1</v>
      </c>
    </row>
    <row r="1328" spans="1:14" ht="19" customHeight="1" x14ac:dyDescent="0.3">
      <c r="A1328">
        <v>1323</v>
      </c>
      <c r="B1328" s="1">
        <v>5</v>
      </c>
      <c r="C1328" s="1">
        <v>90</v>
      </c>
      <c r="D1328" s="1">
        <v>0.04</v>
      </c>
      <c r="E1328" s="1">
        <v>0.06</v>
      </c>
      <c r="F1328" s="1">
        <v>0</v>
      </c>
      <c r="G1328" s="1">
        <v>0</v>
      </c>
      <c r="H1328" s="1">
        <v>1.51724043357</v>
      </c>
      <c r="I1328" s="1">
        <v>2.1249611064999998</v>
      </c>
      <c r="J1328" s="1">
        <v>0.92798676158500004</v>
      </c>
      <c r="K1328" s="1">
        <v>27104.808585999999</v>
      </c>
      <c r="L1328" s="1">
        <v>6905.96148137</v>
      </c>
      <c r="M1328" s="1" t="s">
        <v>198</v>
      </c>
      <c r="N1328" s="1" t="b">
        <v>1</v>
      </c>
    </row>
    <row r="1329" spans="1:14" ht="19" customHeight="1" x14ac:dyDescent="0.3">
      <c r="A1329">
        <v>1324</v>
      </c>
      <c r="B1329" s="1">
        <v>5</v>
      </c>
      <c r="C1329" s="1">
        <v>90</v>
      </c>
      <c r="D1329" s="1">
        <v>0.04</v>
      </c>
      <c r="E1329" s="1">
        <v>0.06</v>
      </c>
      <c r="F1329" s="1">
        <v>0</v>
      </c>
      <c r="G1329" s="1">
        <v>1</v>
      </c>
      <c r="H1329" s="1">
        <v>1.51724043357</v>
      </c>
      <c r="I1329" s="1">
        <v>1.5937208298800001</v>
      </c>
      <c r="J1329" s="1">
        <v>0.76094914449999995</v>
      </c>
      <c r="K1329" s="1">
        <v>23151.384852399999</v>
      </c>
      <c r="L1329" s="1">
        <v>5662.8884147199997</v>
      </c>
      <c r="M1329" s="1" t="s">
        <v>198</v>
      </c>
      <c r="N1329" s="1" t="b">
        <v>1</v>
      </c>
    </row>
    <row r="1330" spans="1:14" ht="19" customHeight="1" x14ac:dyDescent="0.3">
      <c r="A1330">
        <v>1325</v>
      </c>
      <c r="B1330" s="1">
        <v>5</v>
      </c>
      <c r="C1330" s="1">
        <v>90</v>
      </c>
      <c r="D1330" s="1">
        <v>0.04</v>
      </c>
      <c r="E1330" s="1">
        <v>0.06</v>
      </c>
      <c r="F1330" s="1">
        <v>5</v>
      </c>
      <c r="G1330" s="1">
        <v>0</v>
      </c>
      <c r="H1330" s="1">
        <v>1.4834837110400001</v>
      </c>
      <c r="I1330" s="1">
        <v>2.0776833508700001</v>
      </c>
      <c r="J1330" s="1">
        <v>0.93548676158499999</v>
      </c>
      <c r="K1330" s="1">
        <v>26501.760128900001</v>
      </c>
      <c r="L1330" s="1">
        <v>6961.7755438699996</v>
      </c>
      <c r="M1330" s="1" t="s">
        <v>198</v>
      </c>
      <c r="N1330" s="1" t="b">
        <v>1</v>
      </c>
    </row>
    <row r="1331" spans="1:14" ht="19" customHeight="1" x14ac:dyDescent="0.3">
      <c r="A1331">
        <v>1326</v>
      </c>
      <c r="B1331" s="1">
        <v>5</v>
      </c>
      <c r="C1331" s="1">
        <v>90</v>
      </c>
      <c r="D1331" s="1">
        <v>0.04</v>
      </c>
      <c r="E1331" s="1">
        <v>0.06</v>
      </c>
      <c r="F1331" s="1">
        <v>5</v>
      </c>
      <c r="G1331" s="1">
        <v>1</v>
      </c>
      <c r="H1331" s="1">
        <v>1.4834837110400001</v>
      </c>
      <c r="I1331" s="1">
        <v>1.5582625131500001</v>
      </c>
      <c r="J1331" s="1">
        <v>0.76709914450000005</v>
      </c>
      <c r="K1331" s="1">
        <v>22636.2951822</v>
      </c>
      <c r="L1331" s="1">
        <v>5708.6559459700002</v>
      </c>
      <c r="M1331" s="1" t="s">
        <v>198</v>
      </c>
      <c r="N1331" s="1" t="b">
        <v>1</v>
      </c>
    </row>
    <row r="1332" spans="1:14" ht="19" customHeight="1" x14ac:dyDescent="0.3">
      <c r="A1332">
        <v>1327</v>
      </c>
      <c r="B1332" s="1">
        <v>5</v>
      </c>
      <c r="C1332" s="1">
        <v>90</v>
      </c>
      <c r="D1332" s="1">
        <v>0.04</v>
      </c>
      <c r="E1332" s="1">
        <v>8.5000000000000006E-2</v>
      </c>
      <c r="F1332" s="1">
        <v>-5</v>
      </c>
      <c r="G1332" s="1">
        <v>0</v>
      </c>
      <c r="H1332" s="1">
        <v>1.37816739305</v>
      </c>
      <c r="I1332" s="1">
        <v>1.9197088738800001</v>
      </c>
      <c r="J1332" s="1">
        <v>0.92606189207400003</v>
      </c>
      <c r="K1332" s="1">
        <v>24542.3829439</v>
      </c>
      <c r="L1332" s="1">
        <v>6891.6368430800003</v>
      </c>
      <c r="M1332" s="1" t="s">
        <v>198</v>
      </c>
      <c r="N1332" s="1" t="b">
        <v>1</v>
      </c>
    </row>
    <row r="1333" spans="1:14" ht="19" customHeight="1" x14ac:dyDescent="0.3">
      <c r="A1333">
        <v>1328</v>
      </c>
      <c r="B1333" s="1">
        <v>5</v>
      </c>
      <c r="C1333" s="1">
        <v>90</v>
      </c>
      <c r="D1333" s="1">
        <v>0.04</v>
      </c>
      <c r="E1333" s="1">
        <v>8.5000000000000006E-2</v>
      </c>
      <c r="F1333" s="1">
        <v>-5</v>
      </c>
      <c r="G1333" s="1">
        <v>1</v>
      </c>
      <c r="H1333" s="1">
        <v>1.37816739305</v>
      </c>
      <c r="I1333" s="1">
        <v>1.43978165541</v>
      </c>
      <c r="J1333" s="1">
        <v>0.75937075150099997</v>
      </c>
      <c r="K1333" s="1">
        <v>20970.824574999999</v>
      </c>
      <c r="L1333" s="1">
        <v>5651.1422113299996</v>
      </c>
      <c r="M1333" s="1" t="s">
        <v>198</v>
      </c>
      <c r="N1333" s="1" t="b">
        <v>1</v>
      </c>
    </row>
    <row r="1334" spans="1:14" ht="19" customHeight="1" x14ac:dyDescent="0.3">
      <c r="A1334">
        <v>1329</v>
      </c>
      <c r="B1334" s="1">
        <v>5</v>
      </c>
      <c r="C1334" s="1">
        <v>90</v>
      </c>
      <c r="D1334" s="1">
        <v>0.04</v>
      </c>
      <c r="E1334" s="1">
        <v>8.5000000000000006E-2</v>
      </c>
      <c r="F1334" s="1">
        <v>0</v>
      </c>
      <c r="G1334" s="1">
        <v>0</v>
      </c>
      <c r="H1334" s="1">
        <v>1.40952763916</v>
      </c>
      <c r="I1334" s="1">
        <v>1.9633919148900001</v>
      </c>
      <c r="J1334" s="1">
        <v>0.91856189207399996</v>
      </c>
      <c r="K1334" s="1">
        <v>25100.845706299999</v>
      </c>
      <c r="L1334" s="1">
        <v>6835.8227805799997</v>
      </c>
      <c r="M1334" s="1" t="s">
        <v>198</v>
      </c>
      <c r="N1334" s="1" t="b">
        <v>1</v>
      </c>
    </row>
    <row r="1335" spans="1:14" ht="19" customHeight="1" x14ac:dyDescent="0.3">
      <c r="A1335">
        <v>1330</v>
      </c>
      <c r="B1335" s="1">
        <v>5</v>
      </c>
      <c r="C1335" s="1">
        <v>90</v>
      </c>
      <c r="D1335" s="1">
        <v>0.04</v>
      </c>
      <c r="E1335" s="1">
        <v>8.5000000000000006E-2</v>
      </c>
      <c r="F1335" s="1">
        <v>0</v>
      </c>
      <c r="G1335" s="1">
        <v>1</v>
      </c>
      <c r="H1335" s="1">
        <v>1.40952763916</v>
      </c>
      <c r="I1335" s="1">
        <v>1.4725439361699999</v>
      </c>
      <c r="J1335" s="1">
        <v>0.75322075150099999</v>
      </c>
      <c r="K1335" s="1">
        <v>21448.0164047</v>
      </c>
      <c r="L1335" s="1">
        <v>5605.37468008</v>
      </c>
      <c r="M1335" s="1" t="s">
        <v>198</v>
      </c>
      <c r="N1335" s="1" t="b">
        <v>1</v>
      </c>
    </row>
    <row r="1336" spans="1:14" ht="19" customHeight="1" x14ac:dyDescent="0.3">
      <c r="A1336">
        <v>1331</v>
      </c>
      <c r="B1336" s="1">
        <v>5</v>
      </c>
      <c r="C1336" s="1">
        <v>90</v>
      </c>
      <c r="D1336" s="1">
        <v>0.04</v>
      </c>
      <c r="E1336" s="1">
        <v>8.5000000000000006E-2</v>
      </c>
      <c r="F1336" s="1">
        <v>5</v>
      </c>
      <c r="G1336" s="1">
        <v>0</v>
      </c>
      <c r="H1336" s="1">
        <v>1.37816739305</v>
      </c>
      <c r="I1336" s="1">
        <v>1.9197088738800001</v>
      </c>
      <c r="J1336" s="1">
        <v>0.92606189207400003</v>
      </c>
      <c r="K1336" s="1">
        <v>24542.3829439</v>
      </c>
      <c r="L1336" s="1">
        <v>6891.6368430800003</v>
      </c>
      <c r="M1336" s="1" t="s">
        <v>198</v>
      </c>
      <c r="N1336" s="1" t="b">
        <v>1</v>
      </c>
    </row>
    <row r="1337" spans="1:14" ht="19" customHeight="1" x14ac:dyDescent="0.3">
      <c r="A1337">
        <v>1332</v>
      </c>
      <c r="B1337" s="1">
        <v>5</v>
      </c>
      <c r="C1337" s="1">
        <v>90</v>
      </c>
      <c r="D1337" s="1">
        <v>0.04</v>
      </c>
      <c r="E1337" s="1">
        <v>8.5000000000000006E-2</v>
      </c>
      <c r="F1337" s="1">
        <v>5</v>
      </c>
      <c r="G1337" s="1">
        <v>1</v>
      </c>
      <c r="H1337" s="1">
        <v>1.37816739305</v>
      </c>
      <c r="I1337" s="1">
        <v>1.43978165541</v>
      </c>
      <c r="J1337" s="1">
        <v>0.75937075150099997</v>
      </c>
      <c r="K1337" s="1">
        <v>20970.824574999999</v>
      </c>
      <c r="L1337" s="1">
        <v>5651.1422113299996</v>
      </c>
      <c r="M1337" s="1" t="s">
        <v>198</v>
      </c>
      <c r="N1337" s="1" t="b">
        <v>1</v>
      </c>
    </row>
    <row r="1338" spans="1:14" ht="19" customHeight="1" x14ac:dyDescent="0.3">
      <c r="A1338">
        <v>1333</v>
      </c>
      <c r="B1338" s="1">
        <v>5</v>
      </c>
      <c r="C1338" s="1">
        <v>90</v>
      </c>
      <c r="D1338" s="1">
        <v>5.5E-2</v>
      </c>
      <c r="E1338" s="1">
        <v>0.04</v>
      </c>
      <c r="F1338" s="1">
        <v>-5</v>
      </c>
      <c r="G1338" s="1">
        <v>0</v>
      </c>
      <c r="H1338" s="1">
        <v>1.30240279342</v>
      </c>
      <c r="I1338" s="1">
        <v>1.8060619744399999</v>
      </c>
      <c r="J1338" s="1">
        <v>0.91928163732699997</v>
      </c>
      <c r="K1338" s="1">
        <v>23132.806244300002</v>
      </c>
      <c r="L1338" s="1">
        <v>6841.1790347899996</v>
      </c>
      <c r="M1338" s="1" t="s">
        <v>198</v>
      </c>
      <c r="N1338" s="1" t="b">
        <v>1</v>
      </c>
    </row>
    <row r="1339" spans="1:14" ht="19" customHeight="1" x14ac:dyDescent="0.3">
      <c r="A1339">
        <v>1334</v>
      </c>
      <c r="B1339" s="1">
        <v>5</v>
      </c>
      <c r="C1339" s="1">
        <v>90</v>
      </c>
      <c r="D1339" s="1">
        <v>5.5E-2</v>
      </c>
      <c r="E1339" s="1">
        <v>0.04</v>
      </c>
      <c r="F1339" s="1">
        <v>-5</v>
      </c>
      <c r="G1339" s="1">
        <v>1</v>
      </c>
      <c r="H1339" s="1">
        <v>1.30240279342</v>
      </c>
      <c r="I1339" s="1">
        <v>1.3545464808300001</v>
      </c>
      <c r="J1339" s="1">
        <v>0.75381094260799997</v>
      </c>
      <c r="K1339" s="1">
        <v>19772.684380300001</v>
      </c>
      <c r="L1339" s="1">
        <v>5609.7668085200003</v>
      </c>
      <c r="M1339" s="1" t="s">
        <v>198</v>
      </c>
      <c r="N1339" s="1" t="b">
        <v>1</v>
      </c>
    </row>
    <row r="1340" spans="1:14" ht="19" customHeight="1" x14ac:dyDescent="0.3">
      <c r="A1340">
        <v>1335</v>
      </c>
      <c r="B1340" s="1">
        <v>5</v>
      </c>
      <c r="C1340" s="1">
        <v>90</v>
      </c>
      <c r="D1340" s="1">
        <v>5.5E-2</v>
      </c>
      <c r="E1340" s="1">
        <v>0.04</v>
      </c>
      <c r="F1340" s="1">
        <v>0</v>
      </c>
      <c r="G1340" s="1">
        <v>0</v>
      </c>
      <c r="H1340" s="1">
        <v>1.33203901348</v>
      </c>
      <c r="I1340" s="1">
        <v>1.84715897637</v>
      </c>
      <c r="J1340" s="1">
        <v>0.91178163732700002</v>
      </c>
      <c r="K1340" s="1">
        <v>23659.194040800001</v>
      </c>
      <c r="L1340" s="1">
        <v>6785.36497229</v>
      </c>
      <c r="M1340" s="1" t="s">
        <v>198</v>
      </c>
      <c r="N1340" s="1" t="b">
        <v>1</v>
      </c>
    </row>
    <row r="1341" spans="1:14" ht="19" customHeight="1" x14ac:dyDescent="0.3">
      <c r="A1341">
        <v>1336</v>
      </c>
      <c r="B1341" s="1">
        <v>5</v>
      </c>
      <c r="C1341" s="1">
        <v>90</v>
      </c>
      <c r="D1341" s="1">
        <v>5.5E-2</v>
      </c>
      <c r="E1341" s="1">
        <v>0.04</v>
      </c>
      <c r="F1341" s="1">
        <v>0</v>
      </c>
      <c r="G1341" s="1">
        <v>1</v>
      </c>
      <c r="H1341" s="1">
        <v>1.33203901348</v>
      </c>
      <c r="I1341" s="1">
        <v>1.38536923228</v>
      </c>
      <c r="J1341" s="1">
        <v>0.74766094260799998</v>
      </c>
      <c r="K1341" s="1">
        <v>20222.612488899998</v>
      </c>
      <c r="L1341" s="1">
        <v>5563.9992772699998</v>
      </c>
      <c r="M1341" s="1" t="s">
        <v>198</v>
      </c>
      <c r="N1341" s="1" t="b">
        <v>1</v>
      </c>
    </row>
    <row r="1342" spans="1:14" ht="19" customHeight="1" x14ac:dyDescent="0.3">
      <c r="A1342">
        <v>1337</v>
      </c>
      <c r="B1342" s="1">
        <v>5</v>
      </c>
      <c r="C1342" s="1">
        <v>90</v>
      </c>
      <c r="D1342" s="1">
        <v>5.5E-2</v>
      </c>
      <c r="E1342" s="1">
        <v>0.04</v>
      </c>
      <c r="F1342" s="1">
        <v>5</v>
      </c>
      <c r="G1342" s="1">
        <v>0</v>
      </c>
      <c r="H1342" s="1">
        <v>1.30240279342</v>
      </c>
      <c r="I1342" s="1">
        <v>1.8060619744399999</v>
      </c>
      <c r="J1342" s="1">
        <v>0.91928163732699997</v>
      </c>
      <c r="K1342" s="1">
        <v>23132.806244300002</v>
      </c>
      <c r="L1342" s="1">
        <v>6841.1790347899996</v>
      </c>
      <c r="M1342" s="1" t="s">
        <v>198</v>
      </c>
      <c r="N1342" s="1" t="b">
        <v>1</v>
      </c>
    </row>
    <row r="1343" spans="1:14" ht="19" customHeight="1" x14ac:dyDescent="0.3">
      <c r="A1343">
        <v>1338</v>
      </c>
      <c r="B1343" s="1">
        <v>5</v>
      </c>
      <c r="C1343" s="1">
        <v>90</v>
      </c>
      <c r="D1343" s="1">
        <v>5.5E-2</v>
      </c>
      <c r="E1343" s="1">
        <v>0.04</v>
      </c>
      <c r="F1343" s="1">
        <v>5</v>
      </c>
      <c r="G1343" s="1">
        <v>1</v>
      </c>
      <c r="H1343" s="1">
        <v>1.30240279342</v>
      </c>
      <c r="I1343" s="1">
        <v>1.3545464808300001</v>
      </c>
      <c r="J1343" s="1">
        <v>0.75381094260799997</v>
      </c>
      <c r="K1343" s="1">
        <v>19772.684380300001</v>
      </c>
      <c r="L1343" s="1">
        <v>5609.7668085200003</v>
      </c>
      <c r="M1343" s="1" t="s">
        <v>198</v>
      </c>
      <c r="N1343" s="1" t="b">
        <v>1</v>
      </c>
    </row>
    <row r="1344" spans="1:14" ht="19" customHeight="1" x14ac:dyDescent="0.3">
      <c r="A1344">
        <v>1339</v>
      </c>
      <c r="B1344" s="1">
        <v>5</v>
      </c>
      <c r="C1344" s="1">
        <v>90</v>
      </c>
      <c r="D1344" s="1">
        <v>5.5E-2</v>
      </c>
      <c r="E1344" s="1">
        <v>0.06</v>
      </c>
      <c r="F1344" s="1">
        <v>-5</v>
      </c>
      <c r="G1344" s="1">
        <v>0</v>
      </c>
      <c r="H1344" s="1">
        <v>1.33003239313</v>
      </c>
      <c r="I1344" s="1">
        <v>1.847506374</v>
      </c>
      <c r="J1344" s="1">
        <v>0.92175423964400005</v>
      </c>
      <c r="K1344" s="1">
        <v>23646.8463127</v>
      </c>
      <c r="L1344" s="1">
        <v>6859.5798321499997</v>
      </c>
      <c r="M1344" s="1" t="s">
        <v>198</v>
      </c>
      <c r="N1344" s="1" t="b">
        <v>1</v>
      </c>
    </row>
    <row r="1345" spans="1:14" ht="19" customHeight="1" x14ac:dyDescent="0.3">
      <c r="A1345">
        <v>1340</v>
      </c>
      <c r="B1345" s="1">
        <v>5</v>
      </c>
      <c r="C1345" s="1">
        <v>90</v>
      </c>
      <c r="D1345" s="1">
        <v>5.5E-2</v>
      </c>
      <c r="E1345" s="1">
        <v>0.06</v>
      </c>
      <c r="F1345" s="1">
        <v>-5</v>
      </c>
      <c r="G1345" s="1">
        <v>1</v>
      </c>
      <c r="H1345" s="1">
        <v>1.33003239313</v>
      </c>
      <c r="I1345" s="1">
        <v>1.3856297805</v>
      </c>
      <c r="J1345" s="1">
        <v>0.75583847650799996</v>
      </c>
      <c r="K1345" s="1">
        <v>20209.618438400001</v>
      </c>
      <c r="L1345" s="1">
        <v>5624.8554623700002</v>
      </c>
      <c r="M1345" s="1" t="s">
        <v>198</v>
      </c>
      <c r="N1345" s="1" t="b">
        <v>1</v>
      </c>
    </row>
    <row r="1346" spans="1:14" ht="19" customHeight="1" x14ac:dyDescent="0.3">
      <c r="A1346">
        <v>1341</v>
      </c>
      <c r="B1346" s="1">
        <v>5</v>
      </c>
      <c r="C1346" s="1">
        <v>90</v>
      </c>
      <c r="D1346" s="1">
        <v>5.5E-2</v>
      </c>
      <c r="E1346" s="1">
        <v>0.06</v>
      </c>
      <c r="F1346" s="1">
        <v>0</v>
      </c>
      <c r="G1346" s="1">
        <v>0</v>
      </c>
      <c r="H1346" s="1">
        <v>1.3602973256799999</v>
      </c>
      <c r="I1346" s="1">
        <v>1.8895464446600001</v>
      </c>
      <c r="J1346" s="1">
        <v>0.91425423964399999</v>
      </c>
      <c r="K1346" s="1">
        <v>24184.9311084</v>
      </c>
      <c r="L1346" s="1">
        <v>6803.76576965</v>
      </c>
      <c r="M1346" s="1" t="s">
        <v>198</v>
      </c>
      <c r="N1346" s="1" t="b">
        <v>1</v>
      </c>
    </row>
    <row r="1347" spans="1:14" ht="19" customHeight="1" x14ac:dyDescent="0.3">
      <c r="A1347">
        <v>1342</v>
      </c>
      <c r="B1347" s="1">
        <v>5</v>
      </c>
      <c r="C1347" s="1">
        <v>90</v>
      </c>
      <c r="D1347" s="1">
        <v>5.5E-2</v>
      </c>
      <c r="E1347" s="1">
        <v>0.06</v>
      </c>
      <c r="F1347" s="1">
        <v>0</v>
      </c>
      <c r="G1347" s="1">
        <v>1</v>
      </c>
      <c r="H1347" s="1">
        <v>1.3602973256799999</v>
      </c>
      <c r="I1347" s="1">
        <v>1.4171598335</v>
      </c>
      <c r="J1347" s="1">
        <v>0.74968847650799997</v>
      </c>
      <c r="K1347" s="1">
        <v>20669.488996399999</v>
      </c>
      <c r="L1347" s="1">
        <v>5579.0879311199997</v>
      </c>
      <c r="M1347" s="1" t="s">
        <v>198</v>
      </c>
      <c r="N1347" s="1" t="b">
        <v>1</v>
      </c>
    </row>
    <row r="1348" spans="1:14" ht="19" customHeight="1" x14ac:dyDescent="0.3">
      <c r="A1348">
        <v>1343</v>
      </c>
      <c r="B1348" s="1">
        <v>5</v>
      </c>
      <c r="C1348" s="1">
        <v>90</v>
      </c>
      <c r="D1348" s="1">
        <v>5.5E-2</v>
      </c>
      <c r="E1348" s="1">
        <v>0.06</v>
      </c>
      <c r="F1348" s="1">
        <v>5</v>
      </c>
      <c r="G1348" s="1">
        <v>0</v>
      </c>
      <c r="H1348" s="1">
        <v>1.33003239313</v>
      </c>
      <c r="I1348" s="1">
        <v>1.847506374</v>
      </c>
      <c r="J1348" s="1">
        <v>0.92175423964400005</v>
      </c>
      <c r="K1348" s="1">
        <v>23646.8463127</v>
      </c>
      <c r="L1348" s="1">
        <v>6859.5798321499997</v>
      </c>
      <c r="M1348" s="1" t="s">
        <v>198</v>
      </c>
      <c r="N1348" s="1" t="b">
        <v>1</v>
      </c>
    </row>
    <row r="1349" spans="1:14" ht="19" customHeight="1" x14ac:dyDescent="0.3">
      <c r="A1349">
        <v>1344</v>
      </c>
      <c r="B1349" s="1">
        <v>5</v>
      </c>
      <c r="C1349" s="1">
        <v>90</v>
      </c>
      <c r="D1349" s="1">
        <v>5.5E-2</v>
      </c>
      <c r="E1349" s="1">
        <v>0.06</v>
      </c>
      <c r="F1349" s="1">
        <v>5</v>
      </c>
      <c r="G1349" s="1">
        <v>1</v>
      </c>
      <c r="H1349" s="1">
        <v>1.33003239313</v>
      </c>
      <c r="I1349" s="1">
        <v>1.3856297805</v>
      </c>
      <c r="J1349" s="1">
        <v>0.75583847650799996</v>
      </c>
      <c r="K1349" s="1">
        <v>20209.618438400001</v>
      </c>
      <c r="L1349" s="1">
        <v>5624.8554623700002</v>
      </c>
      <c r="M1349" s="1" t="s">
        <v>198</v>
      </c>
      <c r="N1349" s="1" t="b">
        <v>1</v>
      </c>
    </row>
    <row r="1350" spans="1:14" ht="19" customHeight="1" x14ac:dyDescent="0.3">
      <c r="A1350">
        <v>1345</v>
      </c>
      <c r="B1350" s="1">
        <v>5</v>
      </c>
      <c r="C1350" s="1">
        <v>90</v>
      </c>
      <c r="D1350" s="1">
        <v>5.5E-2</v>
      </c>
      <c r="E1350" s="1">
        <v>8.5000000000000006E-2</v>
      </c>
      <c r="F1350" s="1">
        <v>-5</v>
      </c>
      <c r="G1350" s="1">
        <v>0</v>
      </c>
      <c r="H1350" s="1">
        <v>1.2593978476200001</v>
      </c>
      <c r="I1350" s="1">
        <v>1.7415545557300001</v>
      </c>
      <c r="J1350" s="1">
        <v>0.91543307890600001</v>
      </c>
      <c r="K1350" s="1">
        <v>22332.712666700001</v>
      </c>
      <c r="L1350" s="1">
        <v>6812.5385440800001</v>
      </c>
      <c r="M1350" s="1" t="s">
        <v>198</v>
      </c>
      <c r="N1350" s="1" t="b">
        <v>1</v>
      </c>
    </row>
    <row r="1351" spans="1:14" ht="19" customHeight="1" x14ac:dyDescent="0.3">
      <c r="A1351">
        <v>1346</v>
      </c>
      <c r="B1351" s="1">
        <v>5</v>
      </c>
      <c r="C1351" s="1">
        <v>90</v>
      </c>
      <c r="D1351" s="1">
        <v>5.5E-2</v>
      </c>
      <c r="E1351" s="1">
        <v>8.5000000000000006E-2</v>
      </c>
      <c r="F1351" s="1">
        <v>-5</v>
      </c>
      <c r="G1351" s="1">
        <v>1</v>
      </c>
      <c r="H1351" s="1">
        <v>1.2593978476200001</v>
      </c>
      <c r="I1351" s="1">
        <v>1.3061659167999999</v>
      </c>
      <c r="J1351" s="1">
        <v>0.750655124703</v>
      </c>
      <c r="K1351" s="1">
        <v>19092.604839299998</v>
      </c>
      <c r="L1351" s="1">
        <v>5586.2816061499998</v>
      </c>
      <c r="M1351" s="1" t="s">
        <v>198</v>
      </c>
      <c r="N1351" s="1" t="b">
        <v>1</v>
      </c>
    </row>
    <row r="1352" spans="1:14" ht="19" customHeight="1" x14ac:dyDescent="0.3">
      <c r="A1352">
        <v>1347</v>
      </c>
      <c r="B1352" s="1">
        <v>5</v>
      </c>
      <c r="C1352" s="1">
        <v>90</v>
      </c>
      <c r="D1352" s="1">
        <v>5.5E-2</v>
      </c>
      <c r="E1352" s="1">
        <v>8.5000000000000006E-2</v>
      </c>
      <c r="F1352" s="1">
        <v>0</v>
      </c>
      <c r="G1352" s="1">
        <v>0</v>
      </c>
      <c r="H1352" s="1">
        <v>1.28805548867</v>
      </c>
      <c r="I1352" s="1">
        <v>1.7811836891499999</v>
      </c>
      <c r="J1352" s="1">
        <v>0.90793307890599995</v>
      </c>
      <c r="K1352" s="1">
        <v>22840.894306400001</v>
      </c>
      <c r="L1352" s="1">
        <v>6756.7244815800004</v>
      </c>
      <c r="M1352" s="1" t="s">
        <v>198</v>
      </c>
      <c r="N1352" s="1" t="b">
        <v>1</v>
      </c>
    </row>
    <row r="1353" spans="1:14" ht="19" customHeight="1" x14ac:dyDescent="0.3">
      <c r="A1353">
        <v>1348</v>
      </c>
      <c r="B1353" s="1">
        <v>5</v>
      </c>
      <c r="C1353" s="1">
        <v>90</v>
      </c>
      <c r="D1353" s="1">
        <v>5.5E-2</v>
      </c>
      <c r="E1353" s="1">
        <v>8.5000000000000006E-2</v>
      </c>
      <c r="F1353" s="1">
        <v>0</v>
      </c>
      <c r="G1353" s="1">
        <v>1</v>
      </c>
      <c r="H1353" s="1">
        <v>1.28805548867</v>
      </c>
      <c r="I1353" s="1">
        <v>1.33588776686</v>
      </c>
      <c r="J1353" s="1">
        <v>0.74450512470300001</v>
      </c>
      <c r="K1353" s="1">
        <v>19527.0577147</v>
      </c>
      <c r="L1353" s="1">
        <v>5540.5140749000002</v>
      </c>
      <c r="M1353" s="1" t="s">
        <v>198</v>
      </c>
      <c r="N1353" s="1" t="b">
        <v>1</v>
      </c>
    </row>
    <row r="1354" spans="1:14" ht="19" customHeight="1" x14ac:dyDescent="0.3">
      <c r="A1354">
        <v>1349</v>
      </c>
      <c r="B1354" s="1">
        <v>5</v>
      </c>
      <c r="C1354" s="1">
        <v>90</v>
      </c>
      <c r="D1354" s="1">
        <v>5.5E-2</v>
      </c>
      <c r="E1354" s="1">
        <v>8.5000000000000006E-2</v>
      </c>
      <c r="F1354" s="1">
        <v>5</v>
      </c>
      <c r="G1354" s="1">
        <v>0</v>
      </c>
      <c r="H1354" s="1">
        <v>1.2593978476200001</v>
      </c>
      <c r="I1354" s="1">
        <v>1.7415545557300001</v>
      </c>
      <c r="J1354" s="1">
        <v>0.91543307890600001</v>
      </c>
      <c r="K1354" s="1">
        <v>22332.712666700001</v>
      </c>
      <c r="L1354" s="1">
        <v>6812.5385440800001</v>
      </c>
      <c r="M1354" s="1" t="s">
        <v>198</v>
      </c>
      <c r="N1354" s="1" t="b">
        <v>1</v>
      </c>
    </row>
    <row r="1355" spans="1:14" ht="19" customHeight="1" x14ac:dyDescent="0.3">
      <c r="A1355">
        <v>1350</v>
      </c>
      <c r="B1355" s="1">
        <v>5</v>
      </c>
      <c r="C1355" s="1">
        <v>90</v>
      </c>
      <c r="D1355" s="1">
        <v>5.5E-2</v>
      </c>
      <c r="E1355" s="1">
        <v>8.5000000000000006E-2</v>
      </c>
      <c r="F1355" s="1">
        <v>5</v>
      </c>
      <c r="G1355" s="1">
        <v>1</v>
      </c>
      <c r="H1355" s="1">
        <v>1.2593978476200001</v>
      </c>
      <c r="I1355" s="1">
        <v>1.3061659167999999</v>
      </c>
      <c r="J1355" s="1">
        <v>0.750655124703</v>
      </c>
      <c r="K1355" s="1">
        <v>19092.604839299998</v>
      </c>
      <c r="L1355" s="1">
        <v>5586.2816061499998</v>
      </c>
      <c r="M1355" s="1" t="s">
        <v>198</v>
      </c>
      <c r="N1355" s="1" t="b">
        <v>1</v>
      </c>
    </row>
    <row r="1356" spans="1:14" ht="19" customHeight="1" x14ac:dyDescent="0.3">
      <c r="A1356">
        <v>1351</v>
      </c>
      <c r="B1356" s="1">
        <v>6</v>
      </c>
      <c r="C1356" s="1">
        <v>0</v>
      </c>
      <c r="D1356" s="1">
        <v>2.5000000000000001E-2</v>
      </c>
      <c r="E1356" s="1">
        <v>0.04</v>
      </c>
      <c r="F1356" s="1">
        <v>-5</v>
      </c>
      <c r="G1356" s="1">
        <v>0</v>
      </c>
      <c r="H1356" s="1">
        <v>1.4101108952000001</v>
      </c>
      <c r="I1356" s="1">
        <v>1.6388452504</v>
      </c>
      <c r="J1356" s="1">
        <v>0.63502937573499996</v>
      </c>
      <c r="K1356" s="1">
        <v>0</v>
      </c>
      <c r="L1356" s="1">
        <v>0</v>
      </c>
      <c r="M1356" s="1" t="s">
        <v>198</v>
      </c>
      <c r="N1356" s="1" t="b">
        <v>1</v>
      </c>
    </row>
    <row r="1357" spans="1:14" ht="19" customHeight="1" x14ac:dyDescent="0.3">
      <c r="A1357">
        <v>1352</v>
      </c>
      <c r="B1357" s="1">
        <v>6</v>
      </c>
      <c r="C1357" s="1">
        <v>0</v>
      </c>
      <c r="D1357" s="1">
        <v>2.5000000000000001E-2</v>
      </c>
      <c r="E1357" s="1">
        <v>0.04</v>
      </c>
      <c r="F1357" s="1">
        <v>-5</v>
      </c>
      <c r="G1357" s="1">
        <v>1</v>
      </c>
      <c r="H1357" s="1">
        <v>1.4101108952000001</v>
      </c>
      <c r="I1357" s="1">
        <v>1.2291339377999999</v>
      </c>
      <c r="J1357" s="1">
        <v>0.52072408810299997</v>
      </c>
      <c r="K1357" s="1">
        <v>0</v>
      </c>
      <c r="L1357" s="1">
        <v>0</v>
      </c>
      <c r="M1357" s="1" t="s">
        <v>198</v>
      </c>
      <c r="N1357" s="1" t="b">
        <v>1</v>
      </c>
    </row>
    <row r="1358" spans="1:14" ht="19" customHeight="1" x14ac:dyDescent="0.3">
      <c r="A1358">
        <v>1353</v>
      </c>
      <c r="B1358" s="1">
        <v>6</v>
      </c>
      <c r="C1358" s="1">
        <v>0</v>
      </c>
      <c r="D1358" s="1">
        <v>2.5000000000000001E-2</v>
      </c>
      <c r="E1358" s="1">
        <v>0.04</v>
      </c>
      <c r="F1358" s="1">
        <v>0</v>
      </c>
      <c r="G1358" s="1">
        <v>0</v>
      </c>
      <c r="H1358" s="1">
        <v>1.4421980167999999</v>
      </c>
      <c r="I1358" s="1">
        <v>1.6761372300699999</v>
      </c>
      <c r="J1358" s="1">
        <v>0.62752937573500001</v>
      </c>
      <c r="K1358" s="1">
        <v>0</v>
      </c>
      <c r="L1358" s="1">
        <v>0</v>
      </c>
      <c r="M1358" s="1" t="s">
        <v>198</v>
      </c>
      <c r="N1358" s="1" t="b">
        <v>1</v>
      </c>
    </row>
    <row r="1359" spans="1:14" ht="19" customHeight="1" x14ac:dyDescent="0.3">
      <c r="A1359">
        <v>1354</v>
      </c>
      <c r="B1359" s="1">
        <v>6</v>
      </c>
      <c r="C1359" s="1">
        <v>0</v>
      </c>
      <c r="D1359" s="1">
        <v>2.5000000000000001E-2</v>
      </c>
      <c r="E1359" s="1">
        <v>0.04</v>
      </c>
      <c r="F1359" s="1">
        <v>0</v>
      </c>
      <c r="G1359" s="1">
        <v>1</v>
      </c>
      <c r="H1359" s="1">
        <v>1.4421980167999999</v>
      </c>
      <c r="I1359" s="1">
        <v>1.2571029225499999</v>
      </c>
      <c r="J1359" s="1">
        <v>0.51457408810299998</v>
      </c>
      <c r="K1359" s="1">
        <v>0</v>
      </c>
      <c r="L1359" s="1">
        <v>0</v>
      </c>
      <c r="M1359" s="1" t="s">
        <v>198</v>
      </c>
      <c r="N1359" s="1" t="b">
        <v>1</v>
      </c>
    </row>
    <row r="1360" spans="1:14" ht="19" customHeight="1" x14ac:dyDescent="0.3">
      <c r="A1360">
        <v>1355</v>
      </c>
      <c r="B1360" s="1">
        <v>6</v>
      </c>
      <c r="C1360" s="1">
        <v>0</v>
      </c>
      <c r="D1360" s="1">
        <v>2.5000000000000001E-2</v>
      </c>
      <c r="E1360" s="1">
        <v>0.04</v>
      </c>
      <c r="F1360" s="1">
        <v>5</v>
      </c>
      <c r="G1360" s="1">
        <v>0</v>
      </c>
      <c r="H1360" s="1">
        <v>1.4101108952000001</v>
      </c>
      <c r="I1360" s="1">
        <v>1.6388452504</v>
      </c>
      <c r="J1360" s="1">
        <v>0.63502937573499996</v>
      </c>
      <c r="K1360" s="1">
        <v>0</v>
      </c>
      <c r="L1360" s="1">
        <v>0</v>
      </c>
      <c r="M1360" s="1" t="s">
        <v>198</v>
      </c>
      <c r="N1360" s="1" t="b">
        <v>1</v>
      </c>
    </row>
    <row r="1361" spans="1:14" ht="19" customHeight="1" x14ac:dyDescent="0.3">
      <c r="A1361">
        <v>1356</v>
      </c>
      <c r="B1361" s="1">
        <v>6</v>
      </c>
      <c r="C1361" s="1">
        <v>0</v>
      </c>
      <c r="D1361" s="1">
        <v>2.5000000000000001E-2</v>
      </c>
      <c r="E1361" s="1">
        <v>0.04</v>
      </c>
      <c r="F1361" s="1">
        <v>5</v>
      </c>
      <c r="G1361" s="1">
        <v>1</v>
      </c>
      <c r="H1361" s="1">
        <v>1.4101108952000001</v>
      </c>
      <c r="I1361" s="1">
        <v>1.2291339377999999</v>
      </c>
      <c r="J1361" s="1">
        <v>0.52072408810299997</v>
      </c>
      <c r="K1361" s="1">
        <v>0</v>
      </c>
      <c r="L1361" s="1">
        <v>0</v>
      </c>
      <c r="M1361" s="1" t="s">
        <v>198</v>
      </c>
      <c r="N1361" s="1" t="b">
        <v>1</v>
      </c>
    </row>
    <row r="1362" spans="1:14" ht="19" customHeight="1" x14ac:dyDescent="0.3">
      <c r="A1362">
        <v>1357</v>
      </c>
      <c r="B1362" s="1">
        <v>6</v>
      </c>
      <c r="C1362" s="1">
        <v>0</v>
      </c>
      <c r="D1362" s="1">
        <v>2.5000000000000001E-2</v>
      </c>
      <c r="E1362" s="1">
        <v>0.06</v>
      </c>
      <c r="F1362" s="1">
        <v>-5</v>
      </c>
      <c r="G1362" s="1">
        <v>0</v>
      </c>
      <c r="H1362" s="1">
        <v>1.45072590884</v>
      </c>
      <c r="I1362" s="1">
        <v>1.6997677708600001</v>
      </c>
      <c r="J1362" s="1">
        <v>0.63866405658000003</v>
      </c>
      <c r="K1362" s="1">
        <v>0</v>
      </c>
      <c r="L1362" s="1">
        <v>0</v>
      </c>
      <c r="M1362" s="1" t="s">
        <v>198</v>
      </c>
      <c r="N1362" s="1" t="b">
        <v>1</v>
      </c>
    </row>
    <row r="1363" spans="1:14" ht="19" customHeight="1" x14ac:dyDescent="0.3">
      <c r="A1363">
        <v>1358</v>
      </c>
      <c r="B1363" s="1">
        <v>6</v>
      </c>
      <c r="C1363" s="1">
        <v>0</v>
      </c>
      <c r="D1363" s="1">
        <v>2.5000000000000001E-2</v>
      </c>
      <c r="E1363" s="1">
        <v>0.06</v>
      </c>
      <c r="F1363" s="1">
        <v>-5</v>
      </c>
      <c r="G1363" s="1">
        <v>1</v>
      </c>
      <c r="H1363" s="1">
        <v>1.45072590884</v>
      </c>
      <c r="I1363" s="1">
        <v>1.27482582814</v>
      </c>
      <c r="J1363" s="1">
        <v>0.52370452639599996</v>
      </c>
      <c r="K1363" s="1">
        <v>0</v>
      </c>
      <c r="L1363" s="1">
        <v>0</v>
      </c>
      <c r="M1363" s="1" t="s">
        <v>198</v>
      </c>
      <c r="N1363" s="1" t="b">
        <v>1</v>
      </c>
    </row>
    <row r="1364" spans="1:14" ht="19" customHeight="1" x14ac:dyDescent="0.3">
      <c r="A1364">
        <v>1359</v>
      </c>
      <c r="B1364" s="1">
        <v>6</v>
      </c>
      <c r="C1364" s="1">
        <v>0</v>
      </c>
      <c r="D1364" s="1">
        <v>2.5000000000000001E-2</v>
      </c>
      <c r="E1364" s="1">
        <v>0.06</v>
      </c>
      <c r="F1364" s="1">
        <v>0</v>
      </c>
      <c r="G1364" s="1">
        <v>0</v>
      </c>
      <c r="H1364" s="1">
        <v>1.4837372264599999</v>
      </c>
      <c r="I1364" s="1">
        <v>1.7384460445500001</v>
      </c>
      <c r="J1364" s="1">
        <v>0.63116405657999997</v>
      </c>
      <c r="K1364" s="1">
        <v>0</v>
      </c>
      <c r="L1364" s="1">
        <v>0</v>
      </c>
      <c r="M1364" s="1" t="s">
        <v>198</v>
      </c>
      <c r="N1364" s="1" t="b">
        <v>1</v>
      </c>
    </row>
    <row r="1365" spans="1:14" ht="19" customHeight="1" x14ac:dyDescent="0.3">
      <c r="A1365">
        <v>1360</v>
      </c>
      <c r="B1365" s="1">
        <v>6</v>
      </c>
      <c r="C1365" s="1">
        <v>0</v>
      </c>
      <c r="D1365" s="1">
        <v>2.5000000000000001E-2</v>
      </c>
      <c r="E1365" s="1">
        <v>0.06</v>
      </c>
      <c r="F1365" s="1">
        <v>0</v>
      </c>
      <c r="G1365" s="1">
        <v>1</v>
      </c>
      <c r="H1365" s="1">
        <v>1.4837372264599999</v>
      </c>
      <c r="I1365" s="1">
        <v>1.3038345334200001</v>
      </c>
      <c r="J1365" s="1">
        <v>0.51755452639599997</v>
      </c>
      <c r="K1365" s="1">
        <v>0</v>
      </c>
      <c r="L1365" s="1">
        <v>0</v>
      </c>
      <c r="M1365" s="1" t="s">
        <v>198</v>
      </c>
      <c r="N1365" s="1" t="b">
        <v>1</v>
      </c>
    </row>
    <row r="1366" spans="1:14" ht="19" customHeight="1" x14ac:dyDescent="0.3">
      <c r="A1366">
        <v>1361</v>
      </c>
      <c r="B1366" s="1">
        <v>6</v>
      </c>
      <c r="C1366" s="1">
        <v>0</v>
      </c>
      <c r="D1366" s="1">
        <v>2.5000000000000001E-2</v>
      </c>
      <c r="E1366" s="1">
        <v>0.06</v>
      </c>
      <c r="F1366" s="1">
        <v>5</v>
      </c>
      <c r="G1366" s="1">
        <v>0</v>
      </c>
      <c r="H1366" s="1">
        <v>1.45072590884</v>
      </c>
      <c r="I1366" s="1">
        <v>1.6997677708600001</v>
      </c>
      <c r="J1366" s="1">
        <v>0.63866405658000003</v>
      </c>
      <c r="K1366" s="1">
        <v>0</v>
      </c>
      <c r="L1366" s="1">
        <v>0</v>
      </c>
      <c r="M1366" s="1" t="s">
        <v>198</v>
      </c>
      <c r="N1366" s="1" t="b">
        <v>1</v>
      </c>
    </row>
    <row r="1367" spans="1:14" ht="19" customHeight="1" x14ac:dyDescent="0.3">
      <c r="A1367">
        <v>1362</v>
      </c>
      <c r="B1367" s="1">
        <v>6</v>
      </c>
      <c r="C1367" s="1">
        <v>0</v>
      </c>
      <c r="D1367" s="1">
        <v>2.5000000000000001E-2</v>
      </c>
      <c r="E1367" s="1">
        <v>0.06</v>
      </c>
      <c r="F1367" s="1">
        <v>5</v>
      </c>
      <c r="G1367" s="1">
        <v>1</v>
      </c>
      <c r="H1367" s="1">
        <v>1.45072590884</v>
      </c>
      <c r="I1367" s="1">
        <v>1.27482582814</v>
      </c>
      <c r="J1367" s="1">
        <v>0.52370452639599996</v>
      </c>
      <c r="K1367" s="1">
        <v>0</v>
      </c>
      <c r="L1367" s="1">
        <v>0</v>
      </c>
      <c r="M1367" s="1" t="s">
        <v>198</v>
      </c>
      <c r="N1367" s="1" t="b">
        <v>1</v>
      </c>
    </row>
    <row r="1368" spans="1:14" ht="19" customHeight="1" x14ac:dyDescent="0.3">
      <c r="A1368">
        <v>1363</v>
      </c>
      <c r="B1368" s="1">
        <v>6</v>
      </c>
      <c r="C1368" s="1">
        <v>0</v>
      </c>
      <c r="D1368" s="1">
        <v>2.5000000000000001E-2</v>
      </c>
      <c r="E1368" s="1">
        <v>8.5000000000000006E-2</v>
      </c>
      <c r="F1368" s="1">
        <v>-5</v>
      </c>
      <c r="G1368" s="1">
        <v>0</v>
      </c>
      <c r="H1368" s="1">
        <v>1.34689439989</v>
      </c>
      <c r="I1368" s="1">
        <v>1.54402050744</v>
      </c>
      <c r="J1368" s="1">
        <v>0.62937206421299996</v>
      </c>
      <c r="K1368" s="1">
        <v>0</v>
      </c>
      <c r="L1368" s="1">
        <v>0</v>
      </c>
      <c r="M1368" s="1" t="s">
        <v>198</v>
      </c>
      <c r="N1368" s="1" t="b">
        <v>1</v>
      </c>
    </row>
    <row r="1369" spans="1:14" ht="19" customHeight="1" x14ac:dyDescent="0.3">
      <c r="A1369">
        <v>1364</v>
      </c>
      <c r="B1369" s="1">
        <v>6</v>
      </c>
      <c r="C1369" s="1">
        <v>0</v>
      </c>
      <c r="D1369" s="1">
        <v>2.5000000000000001E-2</v>
      </c>
      <c r="E1369" s="1">
        <v>8.5000000000000006E-2</v>
      </c>
      <c r="F1369" s="1">
        <v>-5</v>
      </c>
      <c r="G1369" s="1">
        <v>1</v>
      </c>
      <c r="H1369" s="1">
        <v>1.34689439989</v>
      </c>
      <c r="I1369" s="1">
        <v>1.15801538058</v>
      </c>
      <c r="J1369" s="1">
        <v>0.51608509265500002</v>
      </c>
      <c r="K1369" s="1">
        <v>0</v>
      </c>
      <c r="L1369" s="1">
        <v>0</v>
      </c>
      <c r="M1369" s="1" t="s">
        <v>198</v>
      </c>
      <c r="N1369" s="1" t="b">
        <v>1</v>
      </c>
    </row>
    <row r="1370" spans="1:14" ht="19" customHeight="1" x14ac:dyDescent="0.3">
      <c r="A1370">
        <v>1365</v>
      </c>
      <c r="B1370" s="1">
        <v>6</v>
      </c>
      <c r="C1370" s="1">
        <v>0</v>
      </c>
      <c r="D1370" s="1">
        <v>2.5000000000000001E-2</v>
      </c>
      <c r="E1370" s="1">
        <v>8.5000000000000006E-2</v>
      </c>
      <c r="F1370" s="1">
        <v>0</v>
      </c>
      <c r="G1370" s="1">
        <v>0</v>
      </c>
      <c r="H1370" s="1">
        <v>1.3775430279800001</v>
      </c>
      <c r="I1370" s="1">
        <v>1.57915474684</v>
      </c>
      <c r="J1370" s="1">
        <v>0.62187206421300001</v>
      </c>
      <c r="K1370" s="1">
        <v>0</v>
      </c>
      <c r="L1370" s="1">
        <v>0</v>
      </c>
      <c r="M1370" s="1" t="s">
        <v>198</v>
      </c>
      <c r="N1370" s="1" t="b">
        <v>1</v>
      </c>
    </row>
    <row r="1371" spans="1:14" ht="19" customHeight="1" x14ac:dyDescent="0.3">
      <c r="A1371">
        <v>1366</v>
      </c>
      <c r="B1371" s="1">
        <v>6</v>
      </c>
      <c r="C1371" s="1">
        <v>0</v>
      </c>
      <c r="D1371" s="1">
        <v>2.5000000000000001E-2</v>
      </c>
      <c r="E1371" s="1">
        <v>8.5000000000000006E-2</v>
      </c>
      <c r="F1371" s="1">
        <v>0</v>
      </c>
      <c r="G1371" s="1">
        <v>1</v>
      </c>
      <c r="H1371" s="1">
        <v>1.3775430279800001</v>
      </c>
      <c r="I1371" s="1">
        <v>1.1843660601299999</v>
      </c>
      <c r="J1371" s="1">
        <v>0.50993509265500003</v>
      </c>
      <c r="K1371" s="1">
        <v>0</v>
      </c>
      <c r="L1371" s="1">
        <v>0</v>
      </c>
      <c r="M1371" s="1" t="s">
        <v>198</v>
      </c>
      <c r="N1371" s="1" t="b">
        <v>1</v>
      </c>
    </row>
    <row r="1372" spans="1:14" ht="19" customHeight="1" x14ac:dyDescent="0.3">
      <c r="A1372">
        <v>1367</v>
      </c>
      <c r="B1372" s="1">
        <v>6</v>
      </c>
      <c r="C1372" s="1">
        <v>0</v>
      </c>
      <c r="D1372" s="1">
        <v>2.5000000000000001E-2</v>
      </c>
      <c r="E1372" s="1">
        <v>8.5000000000000006E-2</v>
      </c>
      <c r="F1372" s="1">
        <v>5</v>
      </c>
      <c r="G1372" s="1">
        <v>0</v>
      </c>
      <c r="H1372" s="1">
        <v>1.34689439989</v>
      </c>
      <c r="I1372" s="1">
        <v>1.54402050744</v>
      </c>
      <c r="J1372" s="1">
        <v>0.62937206421299996</v>
      </c>
      <c r="K1372" s="1">
        <v>0</v>
      </c>
      <c r="L1372" s="1">
        <v>0</v>
      </c>
      <c r="M1372" s="1" t="s">
        <v>198</v>
      </c>
      <c r="N1372" s="1" t="b">
        <v>1</v>
      </c>
    </row>
    <row r="1373" spans="1:14" ht="19" customHeight="1" x14ac:dyDescent="0.3">
      <c r="A1373">
        <v>1368</v>
      </c>
      <c r="B1373" s="1">
        <v>6</v>
      </c>
      <c r="C1373" s="1">
        <v>0</v>
      </c>
      <c r="D1373" s="1">
        <v>2.5000000000000001E-2</v>
      </c>
      <c r="E1373" s="1">
        <v>8.5000000000000006E-2</v>
      </c>
      <c r="F1373" s="1">
        <v>5</v>
      </c>
      <c r="G1373" s="1">
        <v>1</v>
      </c>
      <c r="H1373" s="1">
        <v>1.34689439989</v>
      </c>
      <c r="I1373" s="1">
        <v>1.15801538058</v>
      </c>
      <c r="J1373" s="1">
        <v>0.51608509265500002</v>
      </c>
      <c r="K1373" s="1">
        <v>0</v>
      </c>
      <c r="L1373" s="1">
        <v>0</v>
      </c>
      <c r="M1373" s="1" t="s">
        <v>198</v>
      </c>
      <c r="N1373" s="1" t="b">
        <v>1</v>
      </c>
    </row>
    <row r="1374" spans="1:14" ht="19" customHeight="1" x14ac:dyDescent="0.3">
      <c r="A1374">
        <v>1369</v>
      </c>
      <c r="B1374" s="1">
        <v>6</v>
      </c>
      <c r="C1374" s="1">
        <v>0</v>
      </c>
      <c r="D1374" s="1">
        <v>0.04</v>
      </c>
      <c r="E1374" s="1">
        <v>0.04</v>
      </c>
      <c r="F1374" s="1">
        <v>-5</v>
      </c>
      <c r="G1374" s="1">
        <v>0</v>
      </c>
      <c r="H1374" s="1">
        <v>1.41609970865</v>
      </c>
      <c r="I1374" s="1">
        <v>1.6478284705799999</v>
      </c>
      <c r="J1374" s="1">
        <v>0.63556532103200003</v>
      </c>
      <c r="K1374" s="1">
        <v>0</v>
      </c>
      <c r="L1374" s="1">
        <v>0</v>
      </c>
      <c r="M1374" s="1" t="s">
        <v>198</v>
      </c>
      <c r="N1374" s="1" t="b">
        <v>1</v>
      </c>
    </row>
    <row r="1375" spans="1:14" ht="19" customHeight="1" x14ac:dyDescent="0.3">
      <c r="A1375">
        <v>1370</v>
      </c>
      <c r="B1375" s="1">
        <v>6</v>
      </c>
      <c r="C1375" s="1">
        <v>0</v>
      </c>
      <c r="D1375" s="1">
        <v>0.04</v>
      </c>
      <c r="E1375" s="1">
        <v>0.04</v>
      </c>
      <c r="F1375" s="1">
        <v>-5</v>
      </c>
      <c r="G1375" s="1">
        <v>1</v>
      </c>
      <c r="H1375" s="1">
        <v>1.41609970865</v>
      </c>
      <c r="I1375" s="1">
        <v>1.2358713529400001</v>
      </c>
      <c r="J1375" s="1">
        <v>0.52116356324599999</v>
      </c>
      <c r="K1375" s="1">
        <v>0</v>
      </c>
      <c r="L1375" s="1">
        <v>0</v>
      </c>
      <c r="M1375" s="1" t="s">
        <v>198</v>
      </c>
      <c r="N1375" s="1" t="b">
        <v>1</v>
      </c>
    </row>
    <row r="1376" spans="1:14" ht="19" customHeight="1" x14ac:dyDescent="0.3">
      <c r="A1376">
        <v>1371</v>
      </c>
      <c r="B1376" s="1">
        <v>6</v>
      </c>
      <c r="C1376" s="1">
        <v>0</v>
      </c>
      <c r="D1376" s="1">
        <v>0.04</v>
      </c>
      <c r="E1376" s="1">
        <v>0.04</v>
      </c>
      <c r="F1376" s="1">
        <v>0</v>
      </c>
      <c r="G1376" s="1">
        <v>0</v>
      </c>
      <c r="H1376" s="1">
        <v>1.4483231058999999</v>
      </c>
      <c r="I1376" s="1">
        <v>1.68532486373</v>
      </c>
      <c r="J1376" s="1">
        <v>0.62806532103199997</v>
      </c>
      <c r="K1376" s="1">
        <v>0</v>
      </c>
      <c r="L1376" s="1">
        <v>0</v>
      </c>
      <c r="M1376" s="1" t="s">
        <v>198</v>
      </c>
      <c r="N1376" s="1" t="b">
        <v>1</v>
      </c>
    </row>
    <row r="1377" spans="1:14" ht="19" customHeight="1" x14ac:dyDescent="0.3">
      <c r="A1377">
        <v>1372</v>
      </c>
      <c r="B1377" s="1">
        <v>6</v>
      </c>
      <c r="C1377" s="1">
        <v>0</v>
      </c>
      <c r="D1377" s="1">
        <v>0.04</v>
      </c>
      <c r="E1377" s="1">
        <v>0.04</v>
      </c>
      <c r="F1377" s="1">
        <v>0</v>
      </c>
      <c r="G1377" s="1">
        <v>1</v>
      </c>
      <c r="H1377" s="1">
        <v>1.4483231058999999</v>
      </c>
      <c r="I1377" s="1">
        <v>1.2639936478</v>
      </c>
      <c r="J1377" s="1">
        <v>0.51501356324600001</v>
      </c>
      <c r="K1377" s="1">
        <v>0</v>
      </c>
      <c r="L1377" s="1">
        <v>0</v>
      </c>
      <c r="M1377" s="1" t="s">
        <v>198</v>
      </c>
      <c r="N1377" s="1" t="b">
        <v>1</v>
      </c>
    </row>
    <row r="1378" spans="1:14" ht="19" customHeight="1" x14ac:dyDescent="0.3">
      <c r="A1378">
        <v>1373</v>
      </c>
      <c r="B1378" s="1">
        <v>6</v>
      </c>
      <c r="C1378" s="1">
        <v>0</v>
      </c>
      <c r="D1378" s="1">
        <v>0.04</v>
      </c>
      <c r="E1378" s="1">
        <v>0.04</v>
      </c>
      <c r="F1378" s="1">
        <v>5</v>
      </c>
      <c r="G1378" s="1">
        <v>0</v>
      </c>
      <c r="H1378" s="1">
        <v>1.41609970865</v>
      </c>
      <c r="I1378" s="1">
        <v>1.6478284705799999</v>
      </c>
      <c r="J1378" s="1">
        <v>0.63556532103200003</v>
      </c>
      <c r="K1378" s="1">
        <v>0</v>
      </c>
      <c r="L1378" s="1">
        <v>0</v>
      </c>
      <c r="M1378" s="1" t="s">
        <v>198</v>
      </c>
      <c r="N1378" s="1" t="b">
        <v>1</v>
      </c>
    </row>
    <row r="1379" spans="1:14" ht="19" customHeight="1" x14ac:dyDescent="0.3">
      <c r="A1379">
        <v>1374</v>
      </c>
      <c r="B1379" s="1">
        <v>6</v>
      </c>
      <c r="C1379" s="1">
        <v>0</v>
      </c>
      <c r="D1379" s="1">
        <v>0.04</v>
      </c>
      <c r="E1379" s="1">
        <v>0.04</v>
      </c>
      <c r="F1379" s="1">
        <v>5</v>
      </c>
      <c r="G1379" s="1">
        <v>1</v>
      </c>
      <c r="H1379" s="1">
        <v>1.41609970865</v>
      </c>
      <c r="I1379" s="1">
        <v>1.2358713529400001</v>
      </c>
      <c r="J1379" s="1">
        <v>0.52116356324599999</v>
      </c>
      <c r="K1379" s="1">
        <v>0</v>
      </c>
      <c r="L1379" s="1">
        <v>0</v>
      </c>
      <c r="M1379" s="1" t="s">
        <v>198</v>
      </c>
      <c r="N1379" s="1" t="b">
        <v>1</v>
      </c>
    </row>
    <row r="1380" spans="1:14" ht="19" customHeight="1" x14ac:dyDescent="0.3">
      <c r="A1380">
        <v>1375</v>
      </c>
      <c r="B1380" s="1">
        <v>6</v>
      </c>
      <c r="C1380" s="1">
        <v>0</v>
      </c>
      <c r="D1380" s="1">
        <v>0.04</v>
      </c>
      <c r="E1380" s="1">
        <v>0.06</v>
      </c>
      <c r="F1380" s="1">
        <v>-5</v>
      </c>
      <c r="G1380" s="1">
        <v>0</v>
      </c>
      <c r="H1380" s="1">
        <v>1.4572955242100001</v>
      </c>
      <c r="I1380" s="1">
        <v>1.70962219392</v>
      </c>
      <c r="J1380" s="1">
        <v>0.63925197846000004</v>
      </c>
      <c r="K1380" s="1">
        <v>0</v>
      </c>
      <c r="L1380" s="1">
        <v>0</v>
      </c>
      <c r="M1380" s="1" t="s">
        <v>198</v>
      </c>
      <c r="N1380" s="1" t="b">
        <v>1</v>
      </c>
    </row>
    <row r="1381" spans="1:14" ht="19" customHeight="1" x14ac:dyDescent="0.3">
      <c r="A1381">
        <v>1376</v>
      </c>
      <c r="B1381" s="1">
        <v>6</v>
      </c>
      <c r="C1381" s="1">
        <v>0</v>
      </c>
      <c r="D1381" s="1">
        <v>0.04</v>
      </c>
      <c r="E1381" s="1">
        <v>0.06</v>
      </c>
      <c r="F1381" s="1">
        <v>-5</v>
      </c>
      <c r="G1381" s="1">
        <v>1</v>
      </c>
      <c r="H1381" s="1">
        <v>1.4572955242100001</v>
      </c>
      <c r="I1381" s="1">
        <v>1.2822166454399999</v>
      </c>
      <c r="J1381" s="1">
        <v>0.52418662233699997</v>
      </c>
      <c r="K1381" s="1">
        <v>0</v>
      </c>
      <c r="L1381" s="1">
        <v>0</v>
      </c>
      <c r="M1381" s="1" t="s">
        <v>198</v>
      </c>
      <c r="N1381" s="1" t="b">
        <v>1</v>
      </c>
    </row>
    <row r="1382" spans="1:14" ht="19" customHeight="1" x14ac:dyDescent="0.3">
      <c r="A1382">
        <v>1377</v>
      </c>
      <c r="B1382" s="1">
        <v>6</v>
      </c>
      <c r="C1382" s="1">
        <v>0</v>
      </c>
      <c r="D1382" s="1">
        <v>0.04</v>
      </c>
      <c r="E1382" s="1">
        <v>0.06</v>
      </c>
      <c r="F1382" s="1">
        <v>0</v>
      </c>
      <c r="G1382" s="1">
        <v>0</v>
      </c>
      <c r="H1382" s="1">
        <v>1.4904563336500001</v>
      </c>
      <c r="I1382" s="1">
        <v>1.7485247053499999</v>
      </c>
      <c r="J1382" s="1">
        <v>0.63175197845999997</v>
      </c>
      <c r="K1382" s="1">
        <v>0</v>
      </c>
      <c r="L1382" s="1">
        <v>0</v>
      </c>
      <c r="M1382" s="1" t="s">
        <v>198</v>
      </c>
      <c r="N1382" s="1" t="b">
        <v>1</v>
      </c>
    </row>
    <row r="1383" spans="1:14" ht="19" customHeight="1" x14ac:dyDescent="0.3">
      <c r="A1383">
        <v>1378</v>
      </c>
      <c r="B1383" s="1">
        <v>6</v>
      </c>
      <c r="C1383" s="1">
        <v>0</v>
      </c>
      <c r="D1383" s="1">
        <v>0.04</v>
      </c>
      <c r="E1383" s="1">
        <v>0.06</v>
      </c>
      <c r="F1383" s="1">
        <v>0</v>
      </c>
      <c r="G1383" s="1">
        <v>1</v>
      </c>
      <c r="H1383" s="1">
        <v>1.4904563336500001</v>
      </c>
      <c r="I1383" s="1">
        <v>1.3113935290100001</v>
      </c>
      <c r="J1383" s="1">
        <v>0.51803662233699999</v>
      </c>
      <c r="K1383" s="1">
        <v>0</v>
      </c>
      <c r="L1383" s="1">
        <v>0</v>
      </c>
      <c r="M1383" s="1" t="s">
        <v>198</v>
      </c>
      <c r="N1383" s="1" t="b">
        <v>1</v>
      </c>
    </row>
    <row r="1384" spans="1:14" ht="19" customHeight="1" x14ac:dyDescent="0.3">
      <c r="A1384">
        <v>1379</v>
      </c>
      <c r="B1384" s="1">
        <v>6</v>
      </c>
      <c r="C1384" s="1">
        <v>0</v>
      </c>
      <c r="D1384" s="1">
        <v>0.04</v>
      </c>
      <c r="E1384" s="1">
        <v>0.06</v>
      </c>
      <c r="F1384" s="1">
        <v>5</v>
      </c>
      <c r="G1384" s="1">
        <v>0</v>
      </c>
      <c r="H1384" s="1">
        <v>1.4572955242100001</v>
      </c>
      <c r="I1384" s="1">
        <v>1.70962219392</v>
      </c>
      <c r="J1384" s="1">
        <v>0.63925197846000004</v>
      </c>
      <c r="K1384" s="1">
        <v>0</v>
      </c>
      <c r="L1384" s="1">
        <v>0</v>
      </c>
      <c r="M1384" s="1" t="s">
        <v>198</v>
      </c>
      <c r="N1384" s="1" t="b">
        <v>1</v>
      </c>
    </row>
    <row r="1385" spans="1:14" ht="19" customHeight="1" x14ac:dyDescent="0.3">
      <c r="A1385">
        <v>1380</v>
      </c>
      <c r="B1385" s="1">
        <v>6</v>
      </c>
      <c r="C1385" s="1">
        <v>0</v>
      </c>
      <c r="D1385" s="1">
        <v>0.04</v>
      </c>
      <c r="E1385" s="1">
        <v>0.06</v>
      </c>
      <c r="F1385" s="1">
        <v>5</v>
      </c>
      <c r="G1385" s="1">
        <v>1</v>
      </c>
      <c r="H1385" s="1">
        <v>1.4572955242100001</v>
      </c>
      <c r="I1385" s="1">
        <v>1.2822166454399999</v>
      </c>
      <c r="J1385" s="1">
        <v>0.52418662233699997</v>
      </c>
      <c r="K1385" s="1">
        <v>0</v>
      </c>
      <c r="L1385" s="1">
        <v>0</v>
      </c>
      <c r="M1385" s="1" t="s">
        <v>198</v>
      </c>
      <c r="N1385" s="1" t="b">
        <v>1</v>
      </c>
    </row>
    <row r="1386" spans="1:14" ht="19" customHeight="1" x14ac:dyDescent="0.3">
      <c r="A1386">
        <v>1381</v>
      </c>
      <c r="B1386" s="1">
        <v>6</v>
      </c>
      <c r="C1386" s="1">
        <v>0</v>
      </c>
      <c r="D1386" s="1">
        <v>0.04</v>
      </c>
      <c r="E1386" s="1">
        <v>8.5000000000000006E-2</v>
      </c>
      <c r="F1386" s="1">
        <v>-5</v>
      </c>
      <c r="G1386" s="1">
        <v>0</v>
      </c>
      <c r="H1386" s="1">
        <v>1.35197920622</v>
      </c>
      <c r="I1386" s="1">
        <v>1.55164771692</v>
      </c>
      <c r="J1386" s="1">
        <v>0.62982710894899996</v>
      </c>
      <c r="K1386" s="1">
        <v>0</v>
      </c>
      <c r="L1386" s="1">
        <v>0</v>
      </c>
      <c r="M1386" s="1" t="s">
        <v>198</v>
      </c>
      <c r="N1386" s="1" t="b">
        <v>1</v>
      </c>
    </row>
    <row r="1387" spans="1:14" ht="19" customHeight="1" x14ac:dyDescent="0.3">
      <c r="A1387">
        <v>1382</v>
      </c>
      <c r="B1387" s="1">
        <v>6</v>
      </c>
      <c r="C1387" s="1">
        <v>0</v>
      </c>
      <c r="D1387" s="1">
        <v>0.04</v>
      </c>
      <c r="E1387" s="1">
        <v>8.5000000000000006E-2</v>
      </c>
      <c r="F1387" s="1">
        <v>-5</v>
      </c>
      <c r="G1387" s="1">
        <v>1</v>
      </c>
      <c r="H1387" s="1">
        <v>1.35197920622</v>
      </c>
      <c r="I1387" s="1">
        <v>1.1637357876900001</v>
      </c>
      <c r="J1387" s="1">
        <v>0.51645822933800001</v>
      </c>
      <c r="K1387" s="1">
        <v>0</v>
      </c>
      <c r="L1387" s="1">
        <v>0</v>
      </c>
      <c r="M1387" s="1" t="s">
        <v>198</v>
      </c>
      <c r="N1387" s="1" t="b">
        <v>1</v>
      </c>
    </row>
    <row r="1388" spans="1:14" ht="19" customHeight="1" x14ac:dyDescent="0.3">
      <c r="A1388">
        <v>1383</v>
      </c>
      <c r="B1388" s="1">
        <v>6</v>
      </c>
      <c r="C1388" s="1">
        <v>0</v>
      </c>
      <c r="D1388" s="1">
        <v>0.04</v>
      </c>
      <c r="E1388" s="1">
        <v>8.5000000000000006E-2</v>
      </c>
      <c r="F1388" s="1">
        <v>0</v>
      </c>
      <c r="G1388" s="1">
        <v>0</v>
      </c>
      <c r="H1388" s="1">
        <v>1.38274353924</v>
      </c>
      <c r="I1388" s="1">
        <v>1.58695551373</v>
      </c>
      <c r="J1388" s="1">
        <v>0.62232710894900001</v>
      </c>
      <c r="K1388" s="1">
        <v>0</v>
      </c>
      <c r="L1388" s="1">
        <v>0</v>
      </c>
      <c r="M1388" s="1" t="s">
        <v>198</v>
      </c>
      <c r="N1388" s="1" t="b">
        <v>1</v>
      </c>
    </row>
    <row r="1389" spans="1:14" ht="19" customHeight="1" x14ac:dyDescent="0.3">
      <c r="A1389">
        <v>1384</v>
      </c>
      <c r="B1389" s="1">
        <v>6</v>
      </c>
      <c r="C1389" s="1">
        <v>0</v>
      </c>
      <c r="D1389" s="1">
        <v>0.04</v>
      </c>
      <c r="E1389" s="1">
        <v>8.5000000000000006E-2</v>
      </c>
      <c r="F1389" s="1">
        <v>0</v>
      </c>
      <c r="G1389" s="1">
        <v>1</v>
      </c>
      <c r="H1389" s="1">
        <v>1.38274353924</v>
      </c>
      <c r="I1389" s="1">
        <v>1.1902166353000001</v>
      </c>
      <c r="J1389" s="1">
        <v>0.51030822933800002</v>
      </c>
      <c r="K1389" s="1">
        <v>0</v>
      </c>
      <c r="L1389" s="1">
        <v>0</v>
      </c>
      <c r="M1389" s="1" t="s">
        <v>198</v>
      </c>
      <c r="N1389" s="1" t="b">
        <v>1</v>
      </c>
    </row>
    <row r="1390" spans="1:14" ht="19" customHeight="1" x14ac:dyDescent="0.3">
      <c r="A1390">
        <v>1385</v>
      </c>
      <c r="B1390" s="1">
        <v>6</v>
      </c>
      <c r="C1390" s="1">
        <v>0</v>
      </c>
      <c r="D1390" s="1">
        <v>0.04</v>
      </c>
      <c r="E1390" s="1">
        <v>8.5000000000000006E-2</v>
      </c>
      <c r="F1390" s="1">
        <v>5</v>
      </c>
      <c r="G1390" s="1">
        <v>0</v>
      </c>
      <c r="H1390" s="1">
        <v>1.35197920622</v>
      </c>
      <c r="I1390" s="1">
        <v>1.55164771692</v>
      </c>
      <c r="J1390" s="1">
        <v>0.62982710894899996</v>
      </c>
      <c r="K1390" s="1">
        <v>0</v>
      </c>
      <c r="L1390" s="1">
        <v>0</v>
      </c>
      <c r="M1390" s="1" t="s">
        <v>198</v>
      </c>
      <c r="N1390" s="1" t="b">
        <v>1</v>
      </c>
    </row>
    <row r="1391" spans="1:14" ht="19" customHeight="1" x14ac:dyDescent="0.3">
      <c r="A1391">
        <v>1386</v>
      </c>
      <c r="B1391" s="1">
        <v>6</v>
      </c>
      <c r="C1391" s="1">
        <v>0</v>
      </c>
      <c r="D1391" s="1">
        <v>0.04</v>
      </c>
      <c r="E1391" s="1">
        <v>8.5000000000000006E-2</v>
      </c>
      <c r="F1391" s="1">
        <v>5</v>
      </c>
      <c r="G1391" s="1">
        <v>1</v>
      </c>
      <c r="H1391" s="1">
        <v>1.35197920622</v>
      </c>
      <c r="I1391" s="1">
        <v>1.1637357876900001</v>
      </c>
      <c r="J1391" s="1">
        <v>0.51645822933800001</v>
      </c>
      <c r="K1391" s="1">
        <v>0</v>
      </c>
      <c r="L1391" s="1">
        <v>0</v>
      </c>
      <c r="M1391" s="1" t="s">
        <v>198</v>
      </c>
      <c r="N1391" s="1" t="b">
        <v>1</v>
      </c>
    </row>
    <row r="1392" spans="1:14" ht="19" customHeight="1" x14ac:dyDescent="0.3">
      <c r="A1392">
        <v>1387</v>
      </c>
      <c r="B1392" s="1">
        <v>6</v>
      </c>
      <c r="C1392" s="1">
        <v>0</v>
      </c>
      <c r="D1392" s="1">
        <v>5.5E-2</v>
      </c>
      <c r="E1392" s="1">
        <v>0.04</v>
      </c>
      <c r="F1392" s="1">
        <v>-5</v>
      </c>
      <c r="G1392" s="1">
        <v>0</v>
      </c>
      <c r="H1392" s="1">
        <v>1.27621460659</v>
      </c>
      <c r="I1392" s="1">
        <v>1.4380008174900001</v>
      </c>
      <c r="J1392" s="1">
        <v>0.62304685420200001</v>
      </c>
      <c r="K1392" s="1">
        <v>0</v>
      </c>
      <c r="L1392" s="1">
        <v>0</v>
      </c>
      <c r="M1392" s="1" t="s">
        <v>198</v>
      </c>
      <c r="N1392" s="1" t="b">
        <v>1</v>
      </c>
    </row>
    <row r="1393" spans="1:14" ht="19" customHeight="1" x14ac:dyDescent="0.3">
      <c r="A1393">
        <v>1388</v>
      </c>
      <c r="B1393" s="1">
        <v>6</v>
      </c>
      <c r="C1393" s="1">
        <v>0</v>
      </c>
      <c r="D1393" s="1">
        <v>5.5E-2</v>
      </c>
      <c r="E1393" s="1">
        <v>0.04</v>
      </c>
      <c r="F1393" s="1">
        <v>-5</v>
      </c>
      <c r="G1393" s="1">
        <v>1</v>
      </c>
      <c r="H1393" s="1">
        <v>1.27621460659</v>
      </c>
      <c r="I1393" s="1">
        <v>1.0785006131199999</v>
      </c>
      <c r="J1393" s="1">
        <v>0.51089842044599998</v>
      </c>
      <c r="K1393" s="1">
        <v>0</v>
      </c>
      <c r="L1393" s="1">
        <v>0</v>
      </c>
      <c r="M1393" s="1" t="s">
        <v>198</v>
      </c>
      <c r="N1393" s="1" t="b">
        <v>1</v>
      </c>
    </row>
    <row r="1394" spans="1:14" ht="19" customHeight="1" x14ac:dyDescent="0.3">
      <c r="A1394">
        <v>1389</v>
      </c>
      <c r="B1394" s="1">
        <v>6</v>
      </c>
      <c r="C1394" s="1">
        <v>0</v>
      </c>
      <c r="D1394" s="1">
        <v>5.5E-2</v>
      </c>
      <c r="E1394" s="1">
        <v>0.04</v>
      </c>
      <c r="F1394" s="1">
        <v>0</v>
      </c>
      <c r="G1394" s="1">
        <v>0</v>
      </c>
      <c r="H1394" s="1">
        <v>1.30525491356</v>
      </c>
      <c r="I1394" s="1">
        <v>1.4707225752199999</v>
      </c>
      <c r="J1394" s="1">
        <v>0.61554685420199995</v>
      </c>
      <c r="K1394" s="1">
        <v>0</v>
      </c>
      <c r="L1394" s="1">
        <v>0</v>
      </c>
      <c r="M1394" s="1" t="s">
        <v>198</v>
      </c>
      <c r="N1394" s="1" t="b">
        <v>1</v>
      </c>
    </row>
    <row r="1395" spans="1:14" ht="19" customHeight="1" x14ac:dyDescent="0.3">
      <c r="A1395">
        <v>1390</v>
      </c>
      <c r="B1395" s="1">
        <v>6</v>
      </c>
      <c r="C1395" s="1">
        <v>0</v>
      </c>
      <c r="D1395" s="1">
        <v>5.5E-2</v>
      </c>
      <c r="E1395" s="1">
        <v>0.04</v>
      </c>
      <c r="F1395" s="1">
        <v>0</v>
      </c>
      <c r="G1395" s="1">
        <v>1</v>
      </c>
      <c r="H1395" s="1">
        <v>1.30525491356</v>
      </c>
      <c r="I1395" s="1">
        <v>1.10304193141</v>
      </c>
      <c r="J1395" s="1">
        <v>0.50474842044599999</v>
      </c>
      <c r="K1395" s="1">
        <v>0</v>
      </c>
      <c r="L1395" s="1">
        <v>0</v>
      </c>
      <c r="M1395" s="1" t="s">
        <v>198</v>
      </c>
      <c r="N1395" s="1" t="b">
        <v>1</v>
      </c>
    </row>
    <row r="1396" spans="1:14" ht="19" customHeight="1" x14ac:dyDescent="0.3">
      <c r="A1396">
        <v>1391</v>
      </c>
      <c r="B1396" s="1">
        <v>6</v>
      </c>
      <c r="C1396" s="1">
        <v>0</v>
      </c>
      <c r="D1396" s="1">
        <v>5.5E-2</v>
      </c>
      <c r="E1396" s="1">
        <v>0.04</v>
      </c>
      <c r="F1396" s="1">
        <v>5</v>
      </c>
      <c r="G1396" s="1">
        <v>0</v>
      </c>
      <c r="H1396" s="1">
        <v>1.27621460659</v>
      </c>
      <c r="I1396" s="1">
        <v>1.4380008174900001</v>
      </c>
      <c r="J1396" s="1">
        <v>0.62304685420200001</v>
      </c>
      <c r="K1396" s="1">
        <v>0</v>
      </c>
      <c r="L1396" s="1">
        <v>0</v>
      </c>
      <c r="M1396" s="1" t="s">
        <v>198</v>
      </c>
      <c r="N1396" s="1" t="b">
        <v>1</v>
      </c>
    </row>
    <row r="1397" spans="1:14" ht="19" customHeight="1" x14ac:dyDescent="0.3">
      <c r="A1397">
        <v>1392</v>
      </c>
      <c r="B1397" s="1">
        <v>6</v>
      </c>
      <c r="C1397" s="1">
        <v>0</v>
      </c>
      <c r="D1397" s="1">
        <v>5.5E-2</v>
      </c>
      <c r="E1397" s="1">
        <v>0.04</v>
      </c>
      <c r="F1397" s="1">
        <v>5</v>
      </c>
      <c r="G1397" s="1">
        <v>1</v>
      </c>
      <c r="H1397" s="1">
        <v>1.27621460659</v>
      </c>
      <c r="I1397" s="1">
        <v>1.0785006131199999</v>
      </c>
      <c r="J1397" s="1">
        <v>0.51089842044599998</v>
      </c>
      <c r="K1397" s="1">
        <v>0</v>
      </c>
      <c r="L1397" s="1">
        <v>0</v>
      </c>
      <c r="M1397" s="1" t="s">
        <v>198</v>
      </c>
      <c r="N1397" s="1" t="b">
        <v>1</v>
      </c>
    </row>
    <row r="1398" spans="1:14" ht="19" customHeight="1" x14ac:dyDescent="0.3">
      <c r="A1398">
        <v>1393</v>
      </c>
      <c r="B1398" s="1">
        <v>6</v>
      </c>
      <c r="C1398" s="1">
        <v>0</v>
      </c>
      <c r="D1398" s="1">
        <v>5.5E-2</v>
      </c>
      <c r="E1398" s="1">
        <v>0.06</v>
      </c>
      <c r="F1398" s="1">
        <v>-5</v>
      </c>
      <c r="G1398" s="1">
        <v>0</v>
      </c>
      <c r="H1398" s="1">
        <v>1.3038442063</v>
      </c>
      <c r="I1398" s="1">
        <v>1.4794452170500001</v>
      </c>
      <c r="J1398" s="1">
        <v>0.62551945651899998</v>
      </c>
      <c r="K1398" s="1">
        <v>0</v>
      </c>
      <c r="L1398" s="1">
        <v>0</v>
      </c>
      <c r="M1398" s="1" t="s">
        <v>198</v>
      </c>
      <c r="N1398" s="1" t="b">
        <v>1</v>
      </c>
    </row>
    <row r="1399" spans="1:14" ht="19" customHeight="1" x14ac:dyDescent="0.3">
      <c r="A1399">
        <v>1394</v>
      </c>
      <c r="B1399" s="1">
        <v>6</v>
      </c>
      <c r="C1399" s="1">
        <v>0</v>
      </c>
      <c r="D1399" s="1">
        <v>5.5E-2</v>
      </c>
      <c r="E1399" s="1">
        <v>0.06</v>
      </c>
      <c r="F1399" s="1">
        <v>-5</v>
      </c>
      <c r="G1399" s="1">
        <v>1</v>
      </c>
      <c r="H1399" s="1">
        <v>1.3038442063</v>
      </c>
      <c r="I1399" s="1">
        <v>1.10958391279</v>
      </c>
      <c r="J1399" s="1">
        <v>0.51292595434499999</v>
      </c>
      <c r="K1399" s="1">
        <v>0</v>
      </c>
      <c r="L1399" s="1">
        <v>0</v>
      </c>
      <c r="M1399" s="1" t="s">
        <v>198</v>
      </c>
      <c r="N1399" s="1" t="b">
        <v>1</v>
      </c>
    </row>
    <row r="1400" spans="1:14" ht="19" customHeight="1" x14ac:dyDescent="0.3">
      <c r="A1400">
        <v>1395</v>
      </c>
      <c r="B1400" s="1">
        <v>6</v>
      </c>
      <c r="C1400" s="1">
        <v>0</v>
      </c>
      <c r="D1400" s="1">
        <v>5.5E-2</v>
      </c>
      <c r="E1400" s="1">
        <v>0.06</v>
      </c>
      <c r="F1400" s="1">
        <v>0</v>
      </c>
      <c r="G1400" s="1">
        <v>0</v>
      </c>
      <c r="H1400" s="1">
        <v>1.33351322576</v>
      </c>
      <c r="I1400" s="1">
        <v>1.51311004351</v>
      </c>
      <c r="J1400" s="1">
        <v>0.61801945651900003</v>
      </c>
      <c r="K1400" s="1">
        <v>0</v>
      </c>
      <c r="L1400" s="1">
        <v>0</v>
      </c>
      <c r="M1400" s="1" t="s">
        <v>198</v>
      </c>
      <c r="N1400" s="1" t="b">
        <v>1</v>
      </c>
    </row>
    <row r="1401" spans="1:14" ht="19" customHeight="1" x14ac:dyDescent="0.3">
      <c r="A1401">
        <v>1396</v>
      </c>
      <c r="B1401" s="1">
        <v>6</v>
      </c>
      <c r="C1401" s="1">
        <v>0</v>
      </c>
      <c r="D1401" s="1">
        <v>5.5E-2</v>
      </c>
      <c r="E1401" s="1">
        <v>0.06</v>
      </c>
      <c r="F1401" s="1">
        <v>0</v>
      </c>
      <c r="G1401" s="1">
        <v>1</v>
      </c>
      <c r="H1401" s="1">
        <v>1.33351322576</v>
      </c>
      <c r="I1401" s="1">
        <v>1.1348325326299999</v>
      </c>
      <c r="J1401" s="1">
        <v>0.506775954345</v>
      </c>
      <c r="K1401" s="1">
        <v>0</v>
      </c>
      <c r="L1401" s="1">
        <v>0</v>
      </c>
      <c r="M1401" s="1" t="s">
        <v>198</v>
      </c>
      <c r="N1401" s="1" t="b">
        <v>1</v>
      </c>
    </row>
    <row r="1402" spans="1:14" ht="19" customHeight="1" x14ac:dyDescent="0.3">
      <c r="A1402">
        <v>1397</v>
      </c>
      <c r="B1402" s="1">
        <v>6</v>
      </c>
      <c r="C1402" s="1">
        <v>0</v>
      </c>
      <c r="D1402" s="1">
        <v>5.5E-2</v>
      </c>
      <c r="E1402" s="1">
        <v>0.06</v>
      </c>
      <c r="F1402" s="1">
        <v>5</v>
      </c>
      <c r="G1402" s="1">
        <v>0</v>
      </c>
      <c r="H1402" s="1">
        <v>1.3038442063</v>
      </c>
      <c r="I1402" s="1">
        <v>1.4794452170500001</v>
      </c>
      <c r="J1402" s="1">
        <v>0.62551945651899998</v>
      </c>
      <c r="K1402" s="1">
        <v>0</v>
      </c>
      <c r="L1402" s="1">
        <v>0</v>
      </c>
      <c r="M1402" s="1" t="s">
        <v>198</v>
      </c>
      <c r="N1402" s="1" t="b">
        <v>1</v>
      </c>
    </row>
    <row r="1403" spans="1:14" ht="19" customHeight="1" x14ac:dyDescent="0.3">
      <c r="A1403">
        <v>1398</v>
      </c>
      <c r="B1403" s="1">
        <v>6</v>
      </c>
      <c r="C1403" s="1">
        <v>0</v>
      </c>
      <c r="D1403" s="1">
        <v>5.5E-2</v>
      </c>
      <c r="E1403" s="1">
        <v>0.06</v>
      </c>
      <c r="F1403" s="1">
        <v>5</v>
      </c>
      <c r="G1403" s="1">
        <v>1</v>
      </c>
      <c r="H1403" s="1">
        <v>1.3038442063</v>
      </c>
      <c r="I1403" s="1">
        <v>1.10958391279</v>
      </c>
      <c r="J1403" s="1">
        <v>0.51292595434499999</v>
      </c>
      <c r="K1403" s="1">
        <v>0</v>
      </c>
      <c r="L1403" s="1">
        <v>0</v>
      </c>
      <c r="M1403" s="1" t="s">
        <v>198</v>
      </c>
      <c r="N1403" s="1" t="b">
        <v>1</v>
      </c>
    </row>
    <row r="1404" spans="1:14" ht="19" customHeight="1" x14ac:dyDescent="0.3">
      <c r="A1404">
        <v>1399</v>
      </c>
      <c r="B1404" s="1">
        <v>6</v>
      </c>
      <c r="C1404" s="1">
        <v>0</v>
      </c>
      <c r="D1404" s="1">
        <v>5.5E-2</v>
      </c>
      <c r="E1404" s="1">
        <v>8.5000000000000006E-2</v>
      </c>
      <c r="F1404" s="1">
        <v>-5</v>
      </c>
      <c r="G1404" s="1">
        <v>0</v>
      </c>
      <c r="H1404" s="1">
        <v>1.2332096607900001</v>
      </c>
      <c r="I1404" s="1">
        <v>1.37349339878</v>
      </c>
      <c r="J1404" s="1">
        <v>0.61919829578100005</v>
      </c>
      <c r="K1404" s="1">
        <v>0</v>
      </c>
      <c r="L1404" s="1">
        <v>0</v>
      </c>
      <c r="M1404" s="1" t="s">
        <v>198</v>
      </c>
      <c r="N1404" s="1" t="b">
        <v>1</v>
      </c>
    </row>
    <row r="1405" spans="1:14" ht="19" customHeight="1" x14ac:dyDescent="0.3">
      <c r="A1405">
        <v>1400</v>
      </c>
      <c r="B1405" s="1">
        <v>6</v>
      </c>
      <c r="C1405" s="1">
        <v>0</v>
      </c>
      <c r="D1405" s="1">
        <v>5.5E-2</v>
      </c>
      <c r="E1405" s="1">
        <v>8.5000000000000006E-2</v>
      </c>
      <c r="F1405" s="1">
        <v>-5</v>
      </c>
      <c r="G1405" s="1">
        <v>1</v>
      </c>
      <c r="H1405" s="1">
        <v>1.2332096607900001</v>
      </c>
      <c r="I1405" s="1">
        <v>1.03012004908</v>
      </c>
      <c r="J1405" s="1">
        <v>0.50774260254000003</v>
      </c>
      <c r="K1405" s="1">
        <v>0</v>
      </c>
      <c r="L1405" s="1">
        <v>0</v>
      </c>
      <c r="M1405" s="1" t="s">
        <v>198</v>
      </c>
      <c r="N1405" s="1" t="b">
        <v>1</v>
      </c>
    </row>
    <row r="1406" spans="1:14" ht="19" customHeight="1" x14ac:dyDescent="0.3">
      <c r="A1406">
        <v>1401</v>
      </c>
      <c r="B1406" s="1">
        <v>6</v>
      </c>
      <c r="C1406" s="1">
        <v>0</v>
      </c>
      <c r="D1406" s="1">
        <v>5.5E-2</v>
      </c>
      <c r="E1406" s="1">
        <v>8.5000000000000006E-2</v>
      </c>
      <c r="F1406" s="1">
        <v>0</v>
      </c>
      <c r="G1406" s="1">
        <v>0</v>
      </c>
      <c r="H1406" s="1">
        <v>1.26127138875</v>
      </c>
      <c r="I1406" s="1">
        <v>1.40474728799</v>
      </c>
      <c r="J1406" s="1">
        <v>0.61169829578099999</v>
      </c>
      <c r="K1406" s="1">
        <v>0</v>
      </c>
      <c r="L1406" s="1">
        <v>0</v>
      </c>
      <c r="M1406" s="1" t="s">
        <v>198</v>
      </c>
      <c r="N1406" s="1" t="b">
        <v>1</v>
      </c>
    </row>
    <row r="1407" spans="1:14" ht="19" customHeight="1" x14ac:dyDescent="0.3">
      <c r="A1407">
        <v>1402</v>
      </c>
      <c r="B1407" s="1">
        <v>6</v>
      </c>
      <c r="C1407" s="1">
        <v>0</v>
      </c>
      <c r="D1407" s="1">
        <v>5.5E-2</v>
      </c>
      <c r="E1407" s="1">
        <v>8.5000000000000006E-2</v>
      </c>
      <c r="F1407" s="1">
        <v>0</v>
      </c>
      <c r="G1407" s="1">
        <v>1</v>
      </c>
      <c r="H1407" s="1">
        <v>1.26127138875</v>
      </c>
      <c r="I1407" s="1">
        <v>1.05356046599</v>
      </c>
      <c r="J1407" s="1">
        <v>0.50159260254000004</v>
      </c>
      <c r="K1407" s="1">
        <v>0</v>
      </c>
      <c r="L1407" s="1">
        <v>0</v>
      </c>
      <c r="M1407" s="1" t="s">
        <v>198</v>
      </c>
      <c r="N1407" s="1" t="b">
        <v>1</v>
      </c>
    </row>
    <row r="1408" spans="1:14" ht="19" customHeight="1" x14ac:dyDescent="0.3">
      <c r="A1408">
        <v>1403</v>
      </c>
      <c r="B1408" s="1">
        <v>6</v>
      </c>
      <c r="C1408" s="1">
        <v>0</v>
      </c>
      <c r="D1408" s="1">
        <v>5.5E-2</v>
      </c>
      <c r="E1408" s="1">
        <v>8.5000000000000006E-2</v>
      </c>
      <c r="F1408" s="1">
        <v>5</v>
      </c>
      <c r="G1408" s="1">
        <v>0</v>
      </c>
      <c r="H1408" s="1">
        <v>1.2332096607900001</v>
      </c>
      <c r="I1408" s="1">
        <v>1.37349339878</v>
      </c>
      <c r="J1408" s="1">
        <v>0.61919829578100005</v>
      </c>
      <c r="K1408" s="1">
        <v>0</v>
      </c>
      <c r="L1408" s="1">
        <v>0</v>
      </c>
      <c r="M1408" s="1" t="s">
        <v>198</v>
      </c>
      <c r="N1408" s="1" t="b">
        <v>1</v>
      </c>
    </row>
    <row r="1409" spans="1:14" ht="19" customHeight="1" x14ac:dyDescent="0.3">
      <c r="A1409">
        <v>1404</v>
      </c>
      <c r="B1409" s="1">
        <v>6</v>
      </c>
      <c r="C1409" s="1">
        <v>0</v>
      </c>
      <c r="D1409" s="1">
        <v>5.5E-2</v>
      </c>
      <c r="E1409" s="1">
        <v>8.5000000000000006E-2</v>
      </c>
      <c r="F1409" s="1">
        <v>5</v>
      </c>
      <c r="G1409" s="1">
        <v>1</v>
      </c>
      <c r="H1409" s="1">
        <v>1.2332096607900001</v>
      </c>
      <c r="I1409" s="1">
        <v>1.03012004908</v>
      </c>
      <c r="J1409" s="1">
        <v>0.50774260254000003</v>
      </c>
      <c r="K1409" s="1">
        <v>0</v>
      </c>
      <c r="L1409" s="1">
        <v>0</v>
      </c>
      <c r="M1409" s="1" t="s">
        <v>198</v>
      </c>
      <c r="N1409" s="1" t="b">
        <v>1</v>
      </c>
    </row>
    <row r="1410" spans="1:14" ht="19" customHeight="1" x14ac:dyDescent="0.3">
      <c r="A1410">
        <v>1405</v>
      </c>
      <c r="B1410" s="1">
        <v>6</v>
      </c>
      <c r="C1410" s="1">
        <v>30</v>
      </c>
      <c r="D1410" s="1">
        <v>2.5000000000000001E-2</v>
      </c>
      <c r="E1410" s="1">
        <v>0.04</v>
      </c>
      <c r="F1410" s="1">
        <v>-5</v>
      </c>
      <c r="G1410" s="1">
        <v>0</v>
      </c>
      <c r="H1410" s="1">
        <v>1.4101108952000001</v>
      </c>
      <c r="I1410" s="1">
        <v>1.6388452504</v>
      </c>
      <c r="J1410" s="1">
        <v>0.63502937573499996</v>
      </c>
      <c r="K1410" s="1">
        <v>2521.1056128999999</v>
      </c>
      <c r="L1410" s="1">
        <v>525.08991506100006</v>
      </c>
      <c r="M1410" s="1" t="s">
        <v>198</v>
      </c>
      <c r="N1410" s="1" t="b">
        <v>1</v>
      </c>
    </row>
    <row r="1411" spans="1:14" ht="19" customHeight="1" x14ac:dyDescent="0.3">
      <c r="A1411">
        <v>1406</v>
      </c>
      <c r="B1411" s="1">
        <v>6</v>
      </c>
      <c r="C1411" s="1">
        <v>30</v>
      </c>
      <c r="D1411" s="1">
        <v>2.5000000000000001E-2</v>
      </c>
      <c r="E1411" s="1">
        <v>0.04</v>
      </c>
      <c r="F1411" s="1">
        <v>-5</v>
      </c>
      <c r="G1411" s="1">
        <v>1</v>
      </c>
      <c r="H1411" s="1">
        <v>1.4101108952000001</v>
      </c>
      <c r="I1411" s="1">
        <v>1.2291339377999999</v>
      </c>
      <c r="J1411" s="1">
        <v>0.52072408810299997</v>
      </c>
      <c r="K1411" s="1">
        <v>2182.32557129</v>
      </c>
      <c r="L1411" s="1">
        <v>430.57373035000001</v>
      </c>
      <c r="M1411" s="1" t="s">
        <v>198</v>
      </c>
      <c r="N1411" s="1" t="b">
        <v>1</v>
      </c>
    </row>
    <row r="1412" spans="1:14" ht="19" customHeight="1" x14ac:dyDescent="0.3">
      <c r="A1412">
        <v>1407</v>
      </c>
      <c r="B1412" s="1">
        <v>6</v>
      </c>
      <c r="C1412" s="1">
        <v>30</v>
      </c>
      <c r="D1412" s="1">
        <v>2.5000000000000001E-2</v>
      </c>
      <c r="E1412" s="1">
        <v>0.04</v>
      </c>
      <c r="F1412" s="1">
        <v>0</v>
      </c>
      <c r="G1412" s="1">
        <v>0</v>
      </c>
      <c r="H1412" s="1">
        <v>1.4421980167999999</v>
      </c>
      <c r="I1412" s="1">
        <v>1.6761372300699999</v>
      </c>
      <c r="J1412" s="1">
        <v>0.62752937573500001</v>
      </c>
      <c r="K1412" s="1">
        <v>2578.4734572500001</v>
      </c>
      <c r="L1412" s="1">
        <v>518.88835256100003</v>
      </c>
      <c r="M1412" s="1" t="s">
        <v>198</v>
      </c>
      <c r="N1412" s="1" t="b">
        <v>1</v>
      </c>
    </row>
    <row r="1413" spans="1:14" ht="19" customHeight="1" x14ac:dyDescent="0.3">
      <c r="A1413">
        <v>1408</v>
      </c>
      <c r="B1413" s="1">
        <v>6</v>
      </c>
      <c r="C1413" s="1">
        <v>30</v>
      </c>
      <c r="D1413" s="1">
        <v>2.5000000000000001E-2</v>
      </c>
      <c r="E1413" s="1">
        <v>0.04</v>
      </c>
      <c r="F1413" s="1">
        <v>0</v>
      </c>
      <c r="G1413" s="1">
        <v>1</v>
      </c>
      <c r="H1413" s="1">
        <v>1.4421980167999999</v>
      </c>
      <c r="I1413" s="1">
        <v>1.2571029225499999</v>
      </c>
      <c r="J1413" s="1">
        <v>0.51457408810299998</v>
      </c>
      <c r="K1413" s="1">
        <v>2231.9844642200001</v>
      </c>
      <c r="L1413" s="1">
        <v>425.48844910000003</v>
      </c>
      <c r="M1413" s="1" t="s">
        <v>198</v>
      </c>
      <c r="N1413" s="1" t="b">
        <v>1</v>
      </c>
    </row>
    <row r="1414" spans="1:14" ht="19" customHeight="1" x14ac:dyDescent="0.3">
      <c r="A1414">
        <v>1409</v>
      </c>
      <c r="B1414" s="1">
        <v>6</v>
      </c>
      <c r="C1414" s="1">
        <v>30</v>
      </c>
      <c r="D1414" s="1">
        <v>2.5000000000000001E-2</v>
      </c>
      <c r="E1414" s="1">
        <v>0.04</v>
      </c>
      <c r="F1414" s="1">
        <v>5</v>
      </c>
      <c r="G1414" s="1">
        <v>0</v>
      </c>
      <c r="H1414" s="1">
        <v>1.4101108952000001</v>
      </c>
      <c r="I1414" s="1">
        <v>1.6388452504</v>
      </c>
      <c r="J1414" s="1">
        <v>0.63502937573499996</v>
      </c>
      <c r="K1414" s="1">
        <v>2521.1056128999999</v>
      </c>
      <c r="L1414" s="1">
        <v>525.08991506100006</v>
      </c>
      <c r="M1414" s="1" t="s">
        <v>198</v>
      </c>
      <c r="N1414" s="1" t="b">
        <v>1</v>
      </c>
    </row>
    <row r="1415" spans="1:14" ht="19" customHeight="1" x14ac:dyDescent="0.3">
      <c r="A1415">
        <v>1410</v>
      </c>
      <c r="B1415" s="1">
        <v>6</v>
      </c>
      <c r="C1415" s="1">
        <v>30</v>
      </c>
      <c r="D1415" s="1">
        <v>2.5000000000000001E-2</v>
      </c>
      <c r="E1415" s="1">
        <v>0.04</v>
      </c>
      <c r="F1415" s="1">
        <v>5</v>
      </c>
      <c r="G1415" s="1">
        <v>1</v>
      </c>
      <c r="H1415" s="1">
        <v>1.4101108952000001</v>
      </c>
      <c r="I1415" s="1">
        <v>1.2291339377999999</v>
      </c>
      <c r="J1415" s="1">
        <v>0.52072408810299997</v>
      </c>
      <c r="K1415" s="1">
        <v>2182.32557129</v>
      </c>
      <c r="L1415" s="1">
        <v>430.57373035000001</v>
      </c>
      <c r="M1415" s="1" t="s">
        <v>198</v>
      </c>
      <c r="N1415" s="1" t="b">
        <v>1</v>
      </c>
    </row>
    <row r="1416" spans="1:14" ht="19" customHeight="1" x14ac:dyDescent="0.3">
      <c r="A1416">
        <v>1411</v>
      </c>
      <c r="B1416" s="1">
        <v>6</v>
      </c>
      <c r="C1416" s="1">
        <v>30</v>
      </c>
      <c r="D1416" s="1">
        <v>2.5000000000000001E-2</v>
      </c>
      <c r="E1416" s="1">
        <v>0.06</v>
      </c>
      <c r="F1416" s="1">
        <v>-5</v>
      </c>
      <c r="G1416" s="1">
        <v>0</v>
      </c>
      <c r="H1416" s="1">
        <v>1.45072590884</v>
      </c>
      <c r="I1416" s="1">
        <v>1.6997677708600001</v>
      </c>
      <c r="J1416" s="1">
        <v>0.63866405658000003</v>
      </c>
      <c r="K1416" s="1">
        <v>2605.0644613999998</v>
      </c>
      <c r="L1416" s="1">
        <v>528.09534178399997</v>
      </c>
      <c r="M1416" s="1" t="s">
        <v>198</v>
      </c>
      <c r="N1416" s="1" t="b">
        <v>1</v>
      </c>
    </row>
    <row r="1417" spans="1:14" ht="19" customHeight="1" x14ac:dyDescent="0.3">
      <c r="A1417">
        <v>1412</v>
      </c>
      <c r="B1417" s="1">
        <v>6</v>
      </c>
      <c r="C1417" s="1">
        <v>30</v>
      </c>
      <c r="D1417" s="1">
        <v>2.5000000000000001E-2</v>
      </c>
      <c r="E1417" s="1">
        <v>0.06</v>
      </c>
      <c r="F1417" s="1">
        <v>-5</v>
      </c>
      <c r="G1417" s="1">
        <v>1</v>
      </c>
      <c r="H1417" s="1">
        <v>1.45072590884</v>
      </c>
      <c r="I1417" s="1">
        <v>1.27482582814</v>
      </c>
      <c r="J1417" s="1">
        <v>0.52370452639599996</v>
      </c>
      <c r="K1417" s="1">
        <v>2253.69059251</v>
      </c>
      <c r="L1417" s="1">
        <v>433.03818026300002</v>
      </c>
      <c r="M1417" s="1" t="s">
        <v>198</v>
      </c>
      <c r="N1417" s="1" t="b">
        <v>1</v>
      </c>
    </row>
    <row r="1418" spans="1:14" ht="19" customHeight="1" x14ac:dyDescent="0.3">
      <c r="A1418">
        <v>1413</v>
      </c>
      <c r="B1418" s="1">
        <v>6</v>
      </c>
      <c r="C1418" s="1">
        <v>30</v>
      </c>
      <c r="D1418" s="1">
        <v>2.5000000000000001E-2</v>
      </c>
      <c r="E1418" s="1">
        <v>0.06</v>
      </c>
      <c r="F1418" s="1">
        <v>0</v>
      </c>
      <c r="G1418" s="1">
        <v>0</v>
      </c>
      <c r="H1418" s="1">
        <v>1.4837372264599999</v>
      </c>
      <c r="I1418" s="1">
        <v>1.7384460445500001</v>
      </c>
      <c r="J1418" s="1">
        <v>0.63116405657999997</v>
      </c>
      <c r="K1418" s="1">
        <v>2664.3427922199999</v>
      </c>
      <c r="L1418" s="1">
        <v>521.89377928399995</v>
      </c>
      <c r="M1418" s="1" t="s">
        <v>198</v>
      </c>
      <c r="N1418" s="1" t="b">
        <v>1</v>
      </c>
    </row>
    <row r="1419" spans="1:14" ht="19" customHeight="1" x14ac:dyDescent="0.3">
      <c r="A1419">
        <v>1414</v>
      </c>
      <c r="B1419" s="1">
        <v>6</v>
      </c>
      <c r="C1419" s="1">
        <v>30</v>
      </c>
      <c r="D1419" s="1">
        <v>2.5000000000000001E-2</v>
      </c>
      <c r="E1419" s="1">
        <v>0.06</v>
      </c>
      <c r="F1419" s="1">
        <v>0</v>
      </c>
      <c r="G1419" s="1">
        <v>1</v>
      </c>
      <c r="H1419" s="1">
        <v>1.4837372264599999</v>
      </c>
      <c r="I1419" s="1">
        <v>1.3038345334200001</v>
      </c>
      <c r="J1419" s="1">
        <v>0.51755452639599997</v>
      </c>
      <c r="K1419" s="1">
        <v>2304.9733989400002</v>
      </c>
      <c r="L1419" s="1">
        <v>427.95289901299998</v>
      </c>
      <c r="M1419" s="1" t="s">
        <v>198</v>
      </c>
      <c r="N1419" s="1" t="b">
        <v>1</v>
      </c>
    </row>
    <row r="1420" spans="1:14" ht="19" customHeight="1" x14ac:dyDescent="0.3">
      <c r="A1420">
        <v>1415</v>
      </c>
      <c r="B1420" s="1">
        <v>6</v>
      </c>
      <c r="C1420" s="1">
        <v>30</v>
      </c>
      <c r="D1420" s="1">
        <v>2.5000000000000001E-2</v>
      </c>
      <c r="E1420" s="1">
        <v>0.06</v>
      </c>
      <c r="F1420" s="1">
        <v>5</v>
      </c>
      <c r="G1420" s="1">
        <v>0</v>
      </c>
      <c r="H1420" s="1">
        <v>1.45072590884</v>
      </c>
      <c r="I1420" s="1">
        <v>1.6997677708600001</v>
      </c>
      <c r="J1420" s="1">
        <v>0.63866405658000003</v>
      </c>
      <c r="K1420" s="1">
        <v>2605.0644613999998</v>
      </c>
      <c r="L1420" s="1">
        <v>528.09534178399997</v>
      </c>
      <c r="M1420" s="1" t="s">
        <v>198</v>
      </c>
      <c r="N1420" s="1" t="b">
        <v>1</v>
      </c>
    </row>
    <row r="1421" spans="1:14" ht="19" customHeight="1" x14ac:dyDescent="0.3">
      <c r="A1421">
        <v>1416</v>
      </c>
      <c r="B1421" s="1">
        <v>6</v>
      </c>
      <c r="C1421" s="1">
        <v>30</v>
      </c>
      <c r="D1421" s="1">
        <v>2.5000000000000001E-2</v>
      </c>
      <c r="E1421" s="1">
        <v>0.06</v>
      </c>
      <c r="F1421" s="1">
        <v>5</v>
      </c>
      <c r="G1421" s="1">
        <v>1</v>
      </c>
      <c r="H1421" s="1">
        <v>1.45072590884</v>
      </c>
      <c r="I1421" s="1">
        <v>1.27482582814</v>
      </c>
      <c r="J1421" s="1">
        <v>0.52370452639599996</v>
      </c>
      <c r="K1421" s="1">
        <v>2253.69059251</v>
      </c>
      <c r="L1421" s="1">
        <v>433.03818026300002</v>
      </c>
      <c r="M1421" s="1" t="s">
        <v>198</v>
      </c>
      <c r="N1421" s="1" t="b">
        <v>1</v>
      </c>
    </row>
    <row r="1422" spans="1:14" ht="19" customHeight="1" x14ac:dyDescent="0.3">
      <c r="A1422">
        <v>1417</v>
      </c>
      <c r="B1422" s="1">
        <v>6</v>
      </c>
      <c r="C1422" s="1">
        <v>30</v>
      </c>
      <c r="D1422" s="1">
        <v>2.5000000000000001E-2</v>
      </c>
      <c r="E1422" s="1">
        <v>8.5000000000000006E-2</v>
      </c>
      <c r="F1422" s="1">
        <v>-5</v>
      </c>
      <c r="G1422" s="1">
        <v>0</v>
      </c>
      <c r="H1422" s="1">
        <v>1.34689439989</v>
      </c>
      <c r="I1422" s="1">
        <v>1.54402050744</v>
      </c>
      <c r="J1422" s="1">
        <v>0.62937206421299996</v>
      </c>
      <c r="K1422" s="1">
        <v>2390.425264</v>
      </c>
      <c r="L1422" s="1">
        <v>520.41202559600003</v>
      </c>
      <c r="M1422" s="1" t="s">
        <v>198</v>
      </c>
      <c r="N1422" s="1" t="b">
        <v>1</v>
      </c>
    </row>
    <row r="1423" spans="1:14" ht="19" customHeight="1" x14ac:dyDescent="0.3">
      <c r="A1423">
        <v>1418</v>
      </c>
      <c r="B1423" s="1">
        <v>6</v>
      </c>
      <c r="C1423" s="1">
        <v>30</v>
      </c>
      <c r="D1423" s="1">
        <v>2.5000000000000001E-2</v>
      </c>
      <c r="E1423" s="1">
        <v>8.5000000000000006E-2</v>
      </c>
      <c r="F1423" s="1">
        <v>-5</v>
      </c>
      <c r="G1423" s="1">
        <v>1</v>
      </c>
      <c r="H1423" s="1">
        <v>1.34689439989</v>
      </c>
      <c r="I1423" s="1">
        <v>1.15801538058</v>
      </c>
      <c r="J1423" s="1">
        <v>0.51608509265500002</v>
      </c>
      <c r="K1423" s="1">
        <v>2071.2472747299998</v>
      </c>
      <c r="L1423" s="1">
        <v>426.73786098900001</v>
      </c>
      <c r="M1423" s="1" t="s">
        <v>198</v>
      </c>
      <c r="N1423" s="1" t="b">
        <v>1</v>
      </c>
    </row>
    <row r="1424" spans="1:14" ht="19" customHeight="1" x14ac:dyDescent="0.3">
      <c r="A1424">
        <v>1419</v>
      </c>
      <c r="B1424" s="1">
        <v>6</v>
      </c>
      <c r="C1424" s="1">
        <v>30</v>
      </c>
      <c r="D1424" s="1">
        <v>2.5000000000000001E-2</v>
      </c>
      <c r="E1424" s="1">
        <v>8.5000000000000006E-2</v>
      </c>
      <c r="F1424" s="1">
        <v>0</v>
      </c>
      <c r="G1424" s="1">
        <v>0</v>
      </c>
      <c r="H1424" s="1">
        <v>1.3775430279800001</v>
      </c>
      <c r="I1424" s="1">
        <v>1.57915474684</v>
      </c>
      <c r="J1424" s="1">
        <v>0.62187206421300001</v>
      </c>
      <c r="K1424" s="1">
        <v>2444.8194725499998</v>
      </c>
      <c r="L1424" s="1">
        <v>514.21046309600001</v>
      </c>
      <c r="M1424" s="1" t="s">
        <v>198</v>
      </c>
      <c r="N1424" s="1" t="b">
        <v>1</v>
      </c>
    </row>
    <row r="1425" spans="1:14" ht="19" customHeight="1" x14ac:dyDescent="0.3">
      <c r="A1425">
        <v>1420</v>
      </c>
      <c r="B1425" s="1">
        <v>6</v>
      </c>
      <c r="C1425" s="1">
        <v>30</v>
      </c>
      <c r="D1425" s="1">
        <v>2.5000000000000001E-2</v>
      </c>
      <c r="E1425" s="1">
        <v>8.5000000000000006E-2</v>
      </c>
      <c r="F1425" s="1">
        <v>0</v>
      </c>
      <c r="G1425" s="1">
        <v>1</v>
      </c>
      <c r="H1425" s="1">
        <v>1.3775430279800001</v>
      </c>
      <c r="I1425" s="1">
        <v>1.1843660601299999</v>
      </c>
      <c r="J1425" s="1">
        <v>0.50993509265500003</v>
      </c>
      <c r="K1425" s="1">
        <v>2118.3785772299998</v>
      </c>
      <c r="L1425" s="1">
        <v>421.65257973899998</v>
      </c>
      <c r="M1425" s="1" t="s">
        <v>198</v>
      </c>
      <c r="N1425" s="1" t="b">
        <v>1</v>
      </c>
    </row>
    <row r="1426" spans="1:14" ht="19" customHeight="1" x14ac:dyDescent="0.3">
      <c r="A1426">
        <v>1421</v>
      </c>
      <c r="B1426" s="1">
        <v>6</v>
      </c>
      <c r="C1426" s="1">
        <v>30</v>
      </c>
      <c r="D1426" s="1">
        <v>2.5000000000000001E-2</v>
      </c>
      <c r="E1426" s="1">
        <v>8.5000000000000006E-2</v>
      </c>
      <c r="F1426" s="1">
        <v>5</v>
      </c>
      <c r="G1426" s="1">
        <v>0</v>
      </c>
      <c r="H1426" s="1">
        <v>1.34689439989</v>
      </c>
      <c r="I1426" s="1">
        <v>1.54402050744</v>
      </c>
      <c r="J1426" s="1">
        <v>0.62937206421299996</v>
      </c>
      <c r="K1426" s="1">
        <v>2390.425264</v>
      </c>
      <c r="L1426" s="1">
        <v>520.41202559600003</v>
      </c>
      <c r="M1426" s="1" t="s">
        <v>198</v>
      </c>
      <c r="N1426" s="1" t="b">
        <v>1</v>
      </c>
    </row>
    <row r="1427" spans="1:14" ht="19" customHeight="1" x14ac:dyDescent="0.3">
      <c r="A1427">
        <v>1422</v>
      </c>
      <c r="B1427" s="1">
        <v>6</v>
      </c>
      <c r="C1427" s="1">
        <v>30</v>
      </c>
      <c r="D1427" s="1">
        <v>2.5000000000000001E-2</v>
      </c>
      <c r="E1427" s="1">
        <v>8.5000000000000006E-2</v>
      </c>
      <c r="F1427" s="1">
        <v>5</v>
      </c>
      <c r="G1427" s="1">
        <v>1</v>
      </c>
      <c r="H1427" s="1">
        <v>1.34689439989</v>
      </c>
      <c r="I1427" s="1">
        <v>1.15801538058</v>
      </c>
      <c r="J1427" s="1">
        <v>0.51608509265500002</v>
      </c>
      <c r="K1427" s="1">
        <v>2071.2472747299998</v>
      </c>
      <c r="L1427" s="1">
        <v>426.73786098900001</v>
      </c>
      <c r="M1427" s="1" t="s">
        <v>198</v>
      </c>
      <c r="N1427" s="1" t="b">
        <v>1</v>
      </c>
    </row>
    <row r="1428" spans="1:14" ht="19" customHeight="1" x14ac:dyDescent="0.3">
      <c r="A1428">
        <v>1423</v>
      </c>
      <c r="B1428" s="1">
        <v>6</v>
      </c>
      <c r="C1428" s="1">
        <v>30</v>
      </c>
      <c r="D1428" s="1">
        <v>0.04</v>
      </c>
      <c r="E1428" s="1">
        <v>0.04</v>
      </c>
      <c r="F1428" s="1">
        <v>-5</v>
      </c>
      <c r="G1428" s="1">
        <v>0</v>
      </c>
      <c r="H1428" s="1">
        <v>1.41609970865</v>
      </c>
      <c r="I1428" s="1">
        <v>1.6478284705799999</v>
      </c>
      <c r="J1428" s="1">
        <v>0.63556532103200003</v>
      </c>
      <c r="K1428" s="1">
        <v>2533.4856132099999</v>
      </c>
      <c r="L1428" s="1">
        <v>525.53307482800005</v>
      </c>
      <c r="M1428" s="1" t="s">
        <v>198</v>
      </c>
      <c r="N1428" s="1" t="b">
        <v>1</v>
      </c>
    </row>
    <row r="1429" spans="1:14" ht="19" customHeight="1" x14ac:dyDescent="0.3">
      <c r="A1429">
        <v>1424</v>
      </c>
      <c r="B1429" s="1">
        <v>6</v>
      </c>
      <c r="C1429" s="1">
        <v>30</v>
      </c>
      <c r="D1429" s="1">
        <v>0.04</v>
      </c>
      <c r="E1429" s="1">
        <v>0.04</v>
      </c>
      <c r="F1429" s="1">
        <v>-5</v>
      </c>
      <c r="G1429" s="1">
        <v>1</v>
      </c>
      <c r="H1429" s="1">
        <v>1.41609970865</v>
      </c>
      <c r="I1429" s="1">
        <v>1.2358713529400001</v>
      </c>
      <c r="J1429" s="1">
        <v>0.52116356324599999</v>
      </c>
      <c r="K1429" s="1">
        <v>2192.8485715500001</v>
      </c>
      <c r="L1429" s="1">
        <v>430.937121359</v>
      </c>
      <c r="M1429" s="1" t="s">
        <v>198</v>
      </c>
      <c r="N1429" s="1" t="b">
        <v>1</v>
      </c>
    </row>
    <row r="1430" spans="1:14" ht="19" customHeight="1" x14ac:dyDescent="0.3">
      <c r="A1430">
        <v>1425</v>
      </c>
      <c r="B1430" s="1">
        <v>6</v>
      </c>
      <c r="C1430" s="1">
        <v>30</v>
      </c>
      <c r="D1430" s="1">
        <v>0.04</v>
      </c>
      <c r="E1430" s="1">
        <v>0.04</v>
      </c>
      <c r="F1430" s="1">
        <v>0</v>
      </c>
      <c r="G1430" s="1">
        <v>0</v>
      </c>
      <c r="H1430" s="1">
        <v>1.4483231058999999</v>
      </c>
      <c r="I1430" s="1">
        <v>1.68532486373</v>
      </c>
      <c r="J1430" s="1">
        <v>0.62806532103199997</v>
      </c>
      <c r="K1430" s="1">
        <v>2591.1351648899999</v>
      </c>
      <c r="L1430" s="1">
        <v>519.33151232800003</v>
      </c>
      <c r="M1430" s="1" t="s">
        <v>198</v>
      </c>
      <c r="N1430" s="1" t="b">
        <v>1</v>
      </c>
    </row>
    <row r="1431" spans="1:14" ht="19" customHeight="1" x14ac:dyDescent="0.3">
      <c r="A1431">
        <v>1426</v>
      </c>
      <c r="B1431" s="1">
        <v>6</v>
      </c>
      <c r="C1431" s="1">
        <v>30</v>
      </c>
      <c r="D1431" s="1">
        <v>0.04</v>
      </c>
      <c r="E1431" s="1">
        <v>0.04</v>
      </c>
      <c r="F1431" s="1">
        <v>0</v>
      </c>
      <c r="G1431" s="1">
        <v>1</v>
      </c>
      <c r="H1431" s="1">
        <v>1.4483231058999999</v>
      </c>
      <c r="I1431" s="1">
        <v>1.2639936478</v>
      </c>
      <c r="J1431" s="1">
        <v>0.51501356324600001</v>
      </c>
      <c r="K1431" s="1">
        <v>2242.7469157199998</v>
      </c>
      <c r="L1431" s="1">
        <v>425.85184010900002</v>
      </c>
      <c r="M1431" s="1" t="s">
        <v>198</v>
      </c>
      <c r="N1431" s="1" t="b">
        <v>1</v>
      </c>
    </row>
    <row r="1432" spans="1:14" ht="19" customHeight="1" x14ac:dyDescent="0.3">
      <c r="A1432">
        <v>1427</v>
      </c>
      <c r="B1432" s="1">
        <v>6</v>
      </c>
      <c r="C1432" s="1">
        <v>30</v>
      </c>
      <c r="D1432" s="1">
        <v>0.04</v>
      </c>
      <c r="E1432" s="1">
        <v>0.04</v>
      </c>
      <c r="F1432" s="1">
        <v>5</v>
      </c>
      <c r="G1432" s="1">
        <v>0</v>
      </c>
      <c r="H1432" s="1">
        <v>1.41609970865</v>
      </c>
      <c r="I1432" s="1">
        <v>1.6478284705799999</v>
      </c>
      <c r="J1432" s="1">
        <v>0.63556532103200003</v>
      </c>
      <c r="K1432" s="1">
        <v>2533.4856132099999</v>
      </c>
      <c r="L1432" s="1">
        <v>525.53307482800005</v>
      </c>
      <c r="M1432" s="1" t="s">
        <v>198</v>
      </c>
      <c r="N1432" s="1" t="b">
        <v>1</v>
      </c>
    </row>
    <row r="1433" spans="1:14" ht="19" customHeight="1" x14ac:dyDescent="0.3">
      <c r="A1433">
        <v>1428</v>
      </c>
      <c r="B1433" s="1">
        <v>6</v>
      </c>
      <c r="C1433" s="1">
        <v>30</v>
      </c>
      <c r="D1433" s="1">
        <v>0.04</v>
      </c>
      <c r="E1433" s="1">
        <v>0.04</v>
      </c>
      <c r="F1433" s="1">
        <v>5</v>
      </c>
      <c r="G1433" s="1">
        <v>1</v>
      </c>
      <c r="H1433" s="1">
        <v>1.41609970865</v>
      </c>
      <c r="I1433" s="1">
        <v>1.2358713529400001</v>
      </c>
      <c r="J1433" s="1">
        <v>0.52116356324599999</v>
      </c>
      <c r="K1433" s="1">
        <v>2192.8485715500001</v>
      </c>
      <c r="L1433" s="1">
        <v>430.937121359</v>
      </c>
      <c r="M1433" s="1" t="s">
        <v>198</v>
      </c>
      <c r="N1433" s="1" t="b">
        <v>1</v>
      </c>
    </row>
    <row r="1434" spans="1:14" ht="19" customHeight="1" x14ac:dyDescent="0.3">
      <c r="A1434">
        <v>1429</v>
      </c>
      <c r="B1434" s="1">
        <v>6</v>
      </c>
      <c r="C1434" s="1">
        <v>30</v>
      </c>
      <c r="D1434" s="1">
        <v>0.04</v>
      </c>
      <c r="E1434" s="1">
        <v>0.06</v>
      </c>
      <c r="F1434" s="1">
        <v>-5</v>
      </c>
      <c r="G1434" s="1">
        <v>0</v>
      </c>
      <c r="H1434" s="1">
        <v>1.4572955242100001</v>
      </c>
      <c r="I1434" s="1">
        <v>1.70962219392</v>
      </c>
      <c r="J1434" s="1">
        <v>0.63925197846000004</v>
      </c>
      <c r="K1434" s="1">
        <v>2618.6450881800001</v>
      </c>
      <c r="L1434" s="1">
        <v>528.58147968900005</v>
      </c>
      <c r="M1434" s="1" t="s">
        <v>198</v>
      </c>
      <c r="N1434" s="1" t="b">
        <v>1</v>
      </c>
    </row>
    <row r="1435" spans="1:14" ht="19" customHeight="1" x14ac:dyDescent="0.3">
      <c r="A1435">
        <v>1430</v>
      </c>
      <c r="B1435" s="1">
        <v>6</v>
      </c>
      <c r="C1435" s="1">
        <v>30</v>
      </c>
      <c r="D1435" s="1">
        <v>0.04</v>
      </c>
      <c r="E1435" s="1">
        <v>0.06</v>
      </c>
      <c r="F1435" s="1">
        <v>-5</v>
      </c>
      <c r="G1435" s="1">
        <v>1</v>
      </c>
      <c r="H1435" s="1">
        <v>1.4572955242100001</v>
      </c>
      <c r="I1435" s="1">
        <v>1.2822166454399999</v>
      </c>
      <c r="J1435" s="1">
        <v>0.52418662233699997</v>
      </c>
      <c r="K1435" s="1">
        <v>2265.2341252800002</v>
      </c>
      <c r="L1435" s="1">
        <v>433.43681334500002</v>
      </c>
      <c r="M1435" s="1" t="s">
        <v>198</v>
      </c>
      <c r="N1435" s="1" t="b">
        <v>1</v>
      </c>
    </row>
    <row r="1436" spans="1:14" ht="19" customHeight="1" x14ac:dyDescent="0.3">
      <c r="A1436">
        <v>1431</v>
      </c>
      <c r="B1436" s="1">
        <v>6</v>
      </c>
      <c r="C1436" s="1">
        <v>30</v>
      </c>
      <c r="D1436" s="1">
        <v>0.04</v>
      </c>
      <c r="E1436" s="1">
        <v>0.06</v>
      </c>
      <c r="F1436" s="1">
        <v>0</v>
      </c>
      <c r="G1436" s="1">
        <v>0</v>
      </c>
      <c r="H1436" s="1">
        <v>1.4904563336500001</v>
      </c>
      <c r="I1436" s="1">
        <v>1.7485247053499999</v>
      </c>
      <c r="J1436" s="1">
        <v>0.63175197845999997</v>
      </c>
      <c r="K1436" s="1">
        <v>2678.2324466199998</v>
      </c>
      <c r="L1436" s="1">
        <v>522.37991718900003</v>
      </c>
      <c r="M1436" s="1" t="s">
        <v>198</v>
      </c>
      <c r="N1436" s="1" t="b">
        <v>1</v>
      </c>
    </row>
    <row r="1437" spans="1:14" ht="19" customHeight="1" x14ac:dyDescent="0.3">
      <c r="A1437">
        <v>1432</v>
      </c>
      <c r="B1437" s="1">
        <v>6</v>
      </c>
      <c r="C1437" s="1">
        <v>30</v>
      </c>
      <c r="D1437" s="1">
        <v>0.04</v>
      </c>
      <c r="E1437" s="1">
        <v>0.06</v>
      </c>
      <c r="F1437" s="1">
        <v>0</v>
      </c>
      <c r="G1437" s="1">
        <v>1</v>
      </c>
      <c r="H1437" s="1">
        <v>1.4904563336500001</v>
      </c>
      <c r="I1437" s="1">
        <v>1.3113935290100001</v>
      </c>
      <c r="J1437" s="1">
        <v>0.51803662233699999</v>
      </c>
      <c r="K1437" s="1">
        <v>2316.77960519</v>
      </c>
      <c r="L1437" s="1">
        <v>428.35153209499998</v>
      </c>
      <c r="M1437" s="1" t="s">
        <v>198</v>
      </c>
      <c r="N1437" s="1" t="b">
        <v>1</v>
      </c>
    </row>
    <row r="1438" spans="1:14" ht="19" customHeight="1" x14ac:dyDescent="0.3">
      <c r="A1438">
        <v>1433</v>
      </c>
      <c r="B1438" s="1">
        <v>6</v>
      </c>
      <c r="C1438" s="1">
        <v>30</v>
      </c>
      <c r="D1438" s="1">
        <v>0.04</v>
      </c>
      <c r="E1438" s="1">
        <v>0.06</v>
      </c>
      <c r="F1438" s="1">
        <v>5</v>
      </c>
      <c r="G1438" s="1">
        <v>0</v>
      </c>
      <c r="H1438" s="1">
        <v>1.4572955242100001</v>
      </c>
      <c r="I1438" s="1">
        <v>1.70962219392</v>
      </c>
      <c r="J1438" s="1">
        <v>0.63925197846000004</v>
      </c>
      <c r="K1438" s="1">
        <v>2618.6450881800001</v>
      </c>
      <c r="L1438" s="1">
        <v>528.58147968900005</v>
      </c>
      <c r="M1438" s="1" t="s">
        <v>198</v>
      </c>
      <c r="N1438" s="1" t="b">
        <v>1</v>
      </c>
    </row>
    <row r="1439" spans="1:14" ht="19" customHeight="1" x14ac:dyDescent="0.3">
      <c r="A1439">
        <v>1434</v>
      </c>
      <c r="B1439" s="1">
        <v>6</v>
      </c>
      <c r="C1439" s="1">
        <v>30</v>
      </c>
      <c r="D1439" s="1">
        <v>0.04</v>
      </c>
      <c r="E1439" s="1">
        <v>0.06</v>
      </c>
      <c r="F1439" s="1">
        <v>5</v>
      </c>
      <c r="G1439" s="1">
        <v>1</v>
      </c>
      <c r="H1439" s="1">
        <v>1.4572955242100001</v>
      </c>
      <c r="I1439" s="1">
        <v>1.2822166454399999</v>
      </c>
      <c r="J1439" s="1">
        <v>0.52418662233699997</v>
      </c>
      <c r="K1439" s="1">
        <v>2265.2341252800002</v>
      </c>
      <c r="L1439" s="1">
        <v>433.43681334500002</v>
      </c>
      <c r="M1439" s="1" t="s">
        <v>198</v>
      </c>
      <c r="N1439" s="1" t="b">
        <v>1</v>
      </c>
    </row>
    <row r="1440" spans="1:14" ht="19" customHeight="1" x14ac:dyDescent="0.3">
      <c r="A1440">
        <v>1435</v>
      </c>
      <c r="B1440" s="1">
        <v>6</v>
      </c>
      <c r="C1440" s="1">
        <v>30</v>
      </c>
      <c r="D1440" s="1">
        <v>0.04</v>
      </c>
      <c r="E1440" s="1">
        <v>8.5000000000000006E-2</v>
      </c>
      <c r="F1440" s="1">
        <v>-5</v>
      </c>
      <c r="G1440" s="1">
        <v>0</v>
      </c>
      <c r="H1440" s="1">
        <v>1.35197920622</v>
      </c>
      <c r="I1440" s="1">
        <v>1.55164771692</v>
      </c>
      <c r="J1440" s="1">
        <v>0.62982710894899996</v>
      </c>
      <c r="K1440" s="1">
        <v>2400.9365120699999</v>
      </c>
      <c r="L1440" s="1">
        <v>520.78829071200005</v>
      </c>
      <c r="M1440" s="1" t="s">
        <v>198</v>
      </c>
      <c r="N1440" s="1" t="b">
        <v>1</v>
      </c>
    </row>
    <row r="1441" spans="1:14" ht="19" customHeight="1" x14ac:dyDescent="0.3">
      <c r="A1441">
        <v>1436</v>
      </c>
      <c r="B1441" s="1">
        <v>6</v>
      </c>
      <c r="C1441" s="1">
        <v>30</v>
      </c>
      <c r="D1441" s="1">
        <v>0.04</v>
      </c>
      <c r="E1441" s="1">
        <v>8.5000000000000006E-2</v>
      </c>
      <c r="F1441" s="1">
        <v>-5</v>
      </c>
      <c r="G1441" s="1">
        <v>1</v>
      </c>
      <c r="H1441" s="1">
        <v>1.35197920622</v>
      </c>
      <c r="I1441" s="1">
        <v>1.1637357876900001</v>
      </c>
      <c r="J1441" s="1">
        <v>0.51645822933800001</v>
      </c>
      <c r="K1441" s="1">
        <v>2080.18183559</v>
      </c>
      <c r="L1441" s="1">
        <v>427.04639838399999</v>
      </c>
      <c r="M1441" s="1" t="s">
        <v>198</v>
      </c>
      <c r="N1441" s="1" t="b">
        <v>1</v>
      </c>
    </row>
    <row r="1442" spans="1:14" ht="19" customHeight="1" x14ac:dyDescent="0.3">
      <c r="A1442">
        <v>1437</v>
      </c>
      <c r="B1442" s="1">
        <v>6</v>
      </c>
      <c r="C1442" s="1">
        <v>30</v>
      </c>
      <c r="D1442" s="1">
        <v>0.04</v>
      </c>
      <c r="E1442" s="1">
        <v>8.5000000000000006E-2</v>
      </c>
      <c r="F1442" s="1">
        <v>0</v>
      </c>
      <c r="G1442" s="1">
        <v>0</v>
      </c>
      <c r="H1442" s="1">
        <v>1.38274353924</v>
      </c>
      <c r="I1442" s="1">
        <v>1.58695551373</v>
      </c>
      <c r="J1442" s="1">
        <v>0.62232710894900001</v>
      </c>
      <c r="K1442" s="1">
        <v>2455.56990443</v>
      </c>
      <c r="L1442" s="1">
        <v>514.58672821200003</v>
      </c>
      <c r="M1442" s="1" t="s">
        <v>198</v>
      </c>
      <c r="N1442" s="1" t="b">
        <v>1</v>
      </c>
    </row>
    <row r="1443" spans="1:14" ht="19" customHeight="1" x14ac:dyDescent="0.3">
      <c r="A1443">
        <v>1438</v>
      </c>
      <c r="B1443" s="1">
        <v>6</v>
      </c>
      <c r="C1443" s="1">
        <v>30</v>
      </c>
      <c r="D1443" s="1">
        <v>0.04</v>
      </c>
      <c r="E1443" s="1">
        <v>8.5000000000000006E-2</v>
      </c>
      <c r="F1443" s="1">
        <v>0</v>
      </c>
      <c r="G1443" s="1">
        <v>1</v>
      </c>
      <c r="H1443" s="1">
        <v>1.38274353924</v>
      </c>
      <c r="I1443" s="1">
        <v>1.1902166353000001</v>
      </c>
      <c r="J1443" s="1">
        <v>0.51030822933800002</v>
      </c>
      <c r="K1443" s="1">
        <v>2127.51644433</v>
      </c>
      <c r="L1443" s="1">
        <v>421.96111713400001</v>
      </c>
      <c r="M1443" s="1" t="s">
        <v>198</v>
      </c>
      <c r="N1443" s="1" t="b">
        <v>1</v>
      </c>
    </row>
    <row r="1444" spans="1:14" ht="19" customHeight="1" x14ac:dyDescent="0.3">
      <c r="A1444">
        <v>1439</v>
      </c>
      <c r="B1444" s="1">
        <v>6</v>
      </c>
      <c r="C1444" s="1">
        <v>30</v>
      </c>
      <c r="D1444" s="1">
        <v>0.04</v>
      </c>
      <c r="E1444" s="1">
        <v>8.5000000000000006E-2</v>
      </c>
      <c r="F1444" s="1">
        <v>5</v>
      </c>
      <c r="G1444" s="1">
        <v>0</v>
      </c>
      <c r="H1444" s="1">
        <v>1.35197920622</v>
      </c>
      <c r="I1444" s="1">
        <v>1.55164771692</v>
      </c>
      <c r="J1444" s="1">
        <v>0.62982710894899996</v>
      </c>
      <c r="K1444" s="1">
        <v>2400.9365120699999</v>
      </c>
      <c r="L1444" s="1">
        <v>520.78829071200005</v>
      </c>
      <c r="M1444" s="1" t="s">
        <v>198</v>
      </c>
      <c r="N1444" s="1" t="b">
        <v>1</v>
      </c>
    </row>
    <row r="1445" spans="1:14" ht="19" customHeight="1" x14ac:dyDescent="0.3">
      <c r="A1445">
        <v>1440</v>
      </c>
      <c r="B1445" s="1">
        <v>6</v>
      </c>
      <c r="C1445" s="1">
        <v>30</v>
      </c>
      <c r="D1445" s="1">
        <v>0.04</v>
      </c>
      <c r="E1445" s="1">
        <v>8.5000000000000006E-2</v>
      </c>
      <c r="F1445" s="1">
        <v>5</v>
      </c>
      <c r="G1445" s="1">
        <v>1</v>
      </c>
      <c r="H1445" s="1">
        <v>1.35197920622</v>
      </c>
      <c r="I1445" s="1">
        <v>1.1637357876900001</v>
      </c>
      <c r="J1445" s="1">
        <v>0.51645822933800001</v>
      </c>
      <c r="K1445" s="1">
        <v>2080.18183559</v>
      </c>
      <c r="L1445" s="1">
        <v>427.04639838399999</v>
      </c>
      <c r="M1445" s="1" t="s">
        <v>198</v>
      </c>
      <c r="N1445" s="1" t="b">
        <v>1</v>
      </c>
    </row>
    <row r="1446" spans="1:14" ht="19" customHeight="1" x14ac:dyDescent="0.3">
      <c r="A1446">
        <v>1441</v>
      </c>
      <c r="B1446" s="1">
        <v>6</v>
      </c>
      <c r="C1446" s="1">
        <v>30</v>
      </c>
      <c r="D1446" s="1">
        <v>5.5E-2</v>
      </c>
      <c r="E1446" s="1">
        <v>0.04</v>
      </c>
      <c r="F1446" s="1">
        <v>-5</v>
      </c>
      <c r="G1446" s="1">
        <v>0</v>
      </c>
      <c r="H1446" s="1">
        <v>1.27621460659</v>
      </c>
      <c r="I1446" s="1">
        <v>1.4380008174900001</v>
      </c>
      <c r="J1446" s="1">
        <v>0.62304685420200001</v>
      </c>
      <c r="K1446" s="1">
        <v>2244.31687878</v>
      </c>
      <c r="L1446" s="1">
        <v>515.18186756800003</v>
      </c>
      <c r="M1446" s="1" t="s">
        <v>198</v>
      </c>
      <c r="N1446" s="1" t="b">
        <v>1</v>
      </c>
    </row>
    <row r="1447" spans="1:14" ht="19" customHeight="1" x14ac:dyDescent="0.3">
      <c r="A1447">
        <v>1442</v>
      </c>
      <c r="B1447" s="1">
        <v>6</v>
      </c>
      <c r="C1447" s="1">
        <v>30</v>
      </c>
      <c r="D1447" s="1">
        <v>5.5E-2</v>
      </c>
      <c r="E1447" s="1">
        <v>0.04</v>
      </c>
      <c r="F1447" s="1">
        <v>-5</v>
      </c>
      <c r="G1447" s="1">
        <v>1</v>
      </c>
      <c r="H1447" s="1">
        <v>1.27621460659</v>
      </c>
      <c r="I1447" s="1">
        <v>1.0785006131199999</v>
      </c>
      <c r="J1447" s="1">
        <v>0.51089842044599998</v>
      </c>
      <c r="K1447" s="1">
        <v>1947.0551472899999</v>
      </c>
      <c r="L1447" s="1">
        <v>422.44913140599999</v>
      </c>
      <c r="M1447" s="1" t="s">
        <v>198</v>
      </c>
      <c r="N1447" s="1" t="b">
        <v>1</v>
      </c>
    </row>
    <row r="1448" spans="1:14" ht="19" customHeight="1" x14ac:dyDescent="0.3">
      <c r="A1448">
        <v>1443</v>
      </c>
      <c r="B1448" s="1">
        <v>6</v>
      </c>
      <c r="C1448" s="1">
        <v>30</v>
      </c>
      <c r="D1448" s="1">
        <v>5.5E-2</v>
      </c>
      <c r="E1448" s="1">
        <v>0.04</v>
      </c>
      <c r="F1448" s="1">
        <v>0</v>
      </c>
      <c r="G1448" s="1">
        <v>0</v>
      </c>
      <c r="H1448" s="1">
        <v>1.30525491356</v>
      </c>
      <c r="I1448" s="1">
        <v>1.4707225752199999</v>
      </c>
      <c r="J1448" s="1">
        <v>0.61554685420199995</v>
      </c>
      <c r="K1448" s="1">
        <v>2295.3863860400002</v>
      </c>
      <c r="L1448" s="1">
        <v>508.98030506800001</v>
      </c>
      <c r="M1448" s="1" t="s">
        <v>198</v>
      </c>
      <c r="N1448" s="1" t="b">
        <v>1</v>
      </c>
    </row>
    <row r="1449" spans="1:14" ht="19" customHeight="1" x14ac:dyDescent="0.3">
      <c r="A1449">
        <v>1444</v>
      </c>
      <c r="B1449" s="1">
        <v>6</v>
      </c>
      <c r="C1449" s="1">
        <v>30</v>
      </c>
      <c r="D1449" s="1">
        <v>5.5E-2</v>
      </c>
      <c r="E1449" s="1">
        <v>0.04</v>
      </c>
      <c r="F1449" s="1">
        <v>0</v>
      </c>
      <c r="G1449" s="1">
        <v>1</v>
      </c>
      <c r="H1449" s="1">
        <v>1.30525491356</v>
      </c>
      <c r="I1449" s="1">
        <v>1.10304193141</v>
      </c>
      <c r="J1449" s="1">
        <v>0.50474842044599999</v>
      </c>
      <c r="K1449" s="1">
        <v>1991.36045369</v>
      </c>
      <c r="L1449" s="1">
        <v>417.36385015600001</v>
      </c>
      <c r="M1449" s="1" t="s">
        <v>198</v>
      </c>
      <c r="N1449" s="1" t="b">
        <v>1</v>
      </c>
    </row>
    <row r="1450" spans="1:14" ht="19" customHeight="1" x14ac:dyDescent="0.3">
      <c r="A1450">
        <v>1445</v>
      </c>
      <c r="B1450" s="1">
        <v>6</v>
      </c>
      <c r="C1450" s="1">
        <v>30</v>
      </c>
      <c r="D1450" s="1">
        <v>5.5E-2</v>
      </c>
      <c r="E1450" s="1">
        <v>0.04</v>
      </c>
      <c r="F1450" s="1">
        <v>5</v>
      </c>
      <c r="G1450" s="1">
        <v>0</v>
      </c>
      <c r="H1450" s="1">
        <v>1.27621460659</v>
      </c>
      <c r="I1450" s="1">
        <v>1.4380008174900001</v>
      </c>
      <c r="J1450" s="1">
        <v>0.62304685420200001</v>
      </c>
      <c r="K1450" s="1">
        <v>2244.31687878</v>
      </c>
      <c r="L1450" s="1">
        <v>515.18186756800003</v>
      </c>
      <c r="M1450" s="1" t="s">
        <v>198</v>
      </c>
      <c r="N1450" s="1" t="b">
        <v>1</v>
      </c>
    </row>
    <row r="1451" spans="1:14" ht="19" customHeight="1" x14ac:dyDescent="0.3">
      <c r="A1451">
        <v>1446</v>
      </c>
      <c r="B1451" s="1">
        <v>6</v>
      </c>
      <c r="C1451" s="1">
        <v>30</v>
      </c>
      <c r="D1451" s="1">
        <v>5.5E-2</v>
      </c>
      <c r="E1451" s="1">
        <v>0.04</v>
      </c>
      <c r="F1451" s="1">
        <v>5</v>
      </c>
      <c r="G1451" s="1">
        <v>1</v>
      </c>
      <c r="H1451" s="1">
        <v>1.27621460659</v>
      </c>
      <c r="I1451" s="1">
        <v>1.0785006131199999</v>
      </c>
      <c r="J1451" s="1">
        <v>0.51089842044599998</v>
      </c>
      <c r="K1451" s="1">
        <v>1947.0551472899999</v>
      </c>
      <c r="L1451" s="1">
        <v>422.44913140599999</v>
      </c>
      <c r="M1451" s="1" t="s">
        <v>198</v>
      </c>
      <c r="N1451" s="1" t="b">
        <v>1</v>
      </c>
    </row>
    <row r="1452" spans="1:14" ht="19" customHeight="1" x14ac:dyDescent="0.3">
      <c r="A1452">
        <v>1447</v>
      </c>
      <c r="B1452" s="1">
        <v>6</v>
      </c>
      <c r="C1452" s="1">
        <v>30</v>
      </c>
      <c r="D1452" s="1">
        <v>5.5E-2</v>
      </c>
      <c r="E1452" s="1">
        <v>0.06</v>
      </c>
      <c r="F1452" s="1">
        <v>-5</v>
      </c>
      <c r="G1452" s="1">
        <v>0</v>
      </c>
      <c r="H1452" s="1">
        <v>1.3038442063</v>
      </c>
      <c r="I1452" s="1">
        <v>1.4794452170500001</v>
      </c>
      <c r="J1452" s="1">
        <v>0.62551945651899998</v>
      </c>
      <c r="K1452" s="1">
        <v>2301.4324419300001</v>
      </c>
      <c r="L1452" s="1">
        <v>517.22640060900005</v>
      </c>
      <c r="M1452" s="1" t="s">
        <v>198</v>
      </c>
      <c r="N1452" s="1" t="b">
        <v>1</v>
      </c>
    </row>
    <row r="1453" spans="1:14" ht="19" customHeight="1" x14ac:dyDescent="0.3">
      <c r="A1453">
        <v>1448</v>
      </c>
      <c r="B1453" s="1">
        <v>6</v>
      </c>
      <c r="C1453" s="1">
        <v>30</v>
      </c>
      <c r="D1453" s="1">
        <v>5.5E-2</v>
      </c>
      <c r="E1453" s="1">
        <v>0.06</v>
      </c>
      <c r="F1453" s="1">
        <v>-5</v>
      </c>
      <c r="G1453" s="1">
        <v>1</v>
      </c>
      <c r="H1453" s="1">
        <v>1.3038442063</v>
      </c>
      <c r="I1453" s="1">
        <v>1.10958391279</v>
      </c>
      <c r="J1453" s="1">
        <v>0.51292595434499999</v>
      </c>
      <c r="K1453" s="1">
        <v>1995.6033759699999</v>
      </c>
      <c r="L1453" s="1">
        <v>424.12564849900002</v>
      </c>
      <c r="M1453" s="1" t="s">
        <v>198</v>
      </c>
      <c r="N1453" s="1" t="b">
        <v>1</v>
      </c>
    </row>
    <row r="1454" spans="1:14" ht="19" customHeight="1" x14ac:dyDescent="0.3">
      <c r="A1454">
        <v>1449</v>
      </c>
      <c r="B1454" s="1">
        <v>6</v>
      </c>
      <c r="C1454" s="1">
        <v>30</v>
      </c>
      <c r="D1454" s="1">
        <v>5.5E-2</v>
      </c>
      <c r="E1454" s="1">
        <v>0.06</v>
      </c>
      <c r="F1454" s="1">
        <v>0</v>
      </c>
      <c r="G1454" s="1">
        <v>0</v>
      </c>
      <c r="H1454" s="1">
        <v>1.33351322576</v>
      </c>
      <c r="I1454" s="1">
        <v>1.51311004351</v>
      </c>
      <c r="J1454" s="1">
        <v>0.61801945651900003</v>
      </c>
      <c r="K1454" s="1">
        <v>2353.8016157699999</v>
      </c>
      <c r="L1454" s="1">
        <v>511.02483810899997</v>
      </c>
      <c r="M1454" s="1" t="s">
        <v>198</v>
      </c>
      <c r="N1454" s="1" t="b">
        <v>1</v>
      </c>
    </row>
    <row r="1455" spans="1:14" ht="19" customHeight="1" x14ac:dyDescent="0.3">
      <c r="A1455">
        <v>1450</v>
      </c>
      <c r="B1455" s="1">
        <v>6</v>
      </c>
      <c r="C1455" s="1">
        <v>30</v>
      </c>
      <c r="D1455" s="1">
        <v>5.5E-2</v>
      </c>
      <c r="E1455" s="1">
        <v>0.06</v>
      </c>
      <c r="F1455" s="1">
        <v>0</v>
      </c>
      <c r="G1455" s="1">
        <v>1</v>
      </c>
      <c r="H1455" s="1">
        <v>1.33351322576</v>
      </c>
      <c r="I1455" s="1">
        <v>1.1348325326299999</v>
      </c>
      <c r="J1455" s="1">
        <v>0.506775954345</v>
      </c>
      <c r="K1455" s="1">
        <v>2041.01339897</v>
      </c>
      <c r="L1455" s="1">
        <v>419.04036724899998</v>
      </c>
      <c r="M1455" s="1" t="s">
        <v>198</v>
      </c>
      <c r="N1455" s="1" t="b">
        <v>1</v>
      </c>
    </row>
    <row r="1456" spans="1:14" ht="19" customHeight="1" x14ac:dyDescent="0.3">
      <c r="A1456">
        <v>1451</v>
      </c>
      <c r="B1456" s="1">
        <v>6</v>
      </c>
      <c r="C1456" s="1">
        <v>30</v>
      </c>
      <c r="D1456" s="1">
        <v>5.5E-2</v>
      </c>
      <c r="E1456" s="1">
        <v>0.06</v>
      </c>
      <c r="F1456" s="1">
        <v>5</v>
      </c>
      <c r="G1456" s="1">
        <v>0</v>
      </c>
      <c r="H1456" s="1">
        <v>1.3038442063</v>
      </c>
      <c r="I1456" s="1">
        <v>1.4794452170500001</v>
      </c>
      <c r="J1456" s="1">
        <v>0.62551945651899998</v>
      </c>
      <c r="K1456" s="1">
        <v>2301.4324419300001</v>
      </c>
      <c r="L1456" s="1">
        <v>517.22640060900005</v>
      </c>
      <c r="M1456" s="1" t="s">
        <v>198</v>
      </c>
      <c r="N1456" s="1" t="b">
        <v>1</v>
      </c>
    </row>
    <row r="1457" spans="1:14" ht="19" customHeight="1" x14ac:dyDescent="0.3">
      <c r="A1457">
        <v>1452</v>
      </c>
      <c r="B1457" s="1">
        <v>6</v>
      </c>
      <c r="C1457" s="1">
        <v>30</v>
      </c>
      <c r="D1457" s="1">
        <v>5.5E-2</v>
      </c>
      <c r="E1457" s="1">
        <v>0.06</v>
      </c>
      <c r="F1457" s="1">
        <v>5</v>
      </c>
      <c r="G1457" s="1">
        <v>1</v>
      </c>
      <c r="H1457" s="1">
        <v>1.3038442063</v>
      </c>
      <c r="I1457" s="1">
        <v>1.10958391279</v>
      </c>
      <c r="J1457" s="1">
        <v>0.51292595434499999</v>
      </c>
      <c r="K1457" s="1">
        <v>1995.6033759699999</v>
      </c>
      <c r="L1457" s="1">
        <v>424.12564849900002</v>
      </c>
      <c r="M1457" s="1" t="s">
        <v>198</v>
      </c>
      <c r="N1457" s="1" t="b">
        <v>1</v>
      </c>
    </row>
    <row r="1458" spans="1:14" ht="19" customHeight="1" x14ac:dyDescent="0.3">
      <c r="A1458">
        <v>1453</v>
      </c>
      <c r="B1458" s="1">
        <v>6</v>
      </c>
      <c r="C1458" s="1">
        <v>30</v>
      </c>
      <c r="D1458" s="1">
        <v>5.5E-2</v>
      </c>
      <c r="E1458" s="1">
        <v>8.5000000000000006E-2</v>
      </c>
      <c r="F1458" s="1">
        <v>-5</v>
      </c>
      <c r="G1458" s="1">
        <v>0</v>
      </c>
      <c r="H1458" s="1">
        <v>1.2332096607900001</v>
      </c>
      <c r="I1458" s="1">
        <v>1.37349339878</v>
      </c>
      <c r="J1458" s="1">
        <v>0.61919829578100005</v>
      </c>
      <c r="K1458" s="1">
        <v>2155.4175923799999</v>
      </c>
      <c r="L1458" s="1">
        <v>511.99959082399999</v>
      </c>
      <c r="M1458" s="1" t="s">
        <v>198</v>
      </c>
      <c r="N1458" s="1" t="b">
        <v>1</v>
      </c>
    </row>
    <row r="1459" spans="1:14" ht="19" customHeight="1" x14ac:dyDescent="0.3">
      <c r="A1459">
        <v>1454</v>
      </c>
      <c r="B1459" s="1">
        <v>6</v>
      </c>
      <c r="C1459" s="1">
        <v>30</v>
      </c>
      <c r="D1459" s="1">
        <v>5.5E-2</v>
      </c>
      <c r="E1459" s="1">
        <v>8.5000000000000006E-2</v>
      </c>
      <c r="F1459" s="1">
        <v>-5</v>
      </c>
      <c r="G1459" s="1">
        <v>1</v>
      </c>
      <c r="H1459" s="1">
        <v>1.2332096607900001</v>
      </c>
      <c r="I1459" s="1">
        <v>1.03012004908</v>
      </c>
      <c r="J1459" s="1">
        <v>0.50774260254000003</v>
      </c>
      <c r="K1459" s="1">
        <v>1871.4907538499999</v>
      </c>
      <c r="L1459" s="1">
        <v>419.83966447500001</v>
      </c>
      <c r="M1459" s="1" t="s">
        <v>198</v>
      </c>
      <c r="N1459" s="1" t="b">
        <v>1</v>
      </c>
    </row>
    <row r="1460" spans="1:14" ht="19" customHeight="1" x14ac:dyDescent="0.3">
      <c r="A1460">
        <v>1455</v>
      </c>
      <c r="B1460" s="1">
        <v>6</v>
      </c>
      <c r="C1460" s="1">
        <v>30</v>
      </c>
      <c r="D1460" s="1">
        <v>5.5E-2</v>
      </c>
      <c r="E1460" s="1">
        <v>8.5000000000000006E-2</v>
      </c>
      <c r="F1460" s="1">
        <v>0</v>
      </c>
      <c r="G1460" s="1">
        <v>0</v>
      </c>
      <c r="H1460" s="1">
        <v>1.26127138875</v>
      </c>
      <c r="I1460" s="1">
        <v>1.40474728799</v>
      </c>
      <c r="J1460" s="1">
        <v>0.61169829578099999</v>
      </c>
      <c r="K1460" s="1">
        <v>2204.4641933299999</v>
      </c>
      <c r="L1460" s="1">
        <v>505.79802832399997</v>
      </c>
      <c r="M1460" s="1" t="s">
        <v>198</v>
      </c>
      <c r="N1460" s="1" t="b">
        <v>1</v>
      </c>
    </row>
    <row r="1461" spans="1:14" ht="19" customHeight="1" x14ac:dyDescent="0.3">
      <c r="A1461">
        <v>1456</v>
      </c>
      <c r="B1461" s="1">
        <v>6</v>
      </c>
      <c r="C1461" s="1">
        <v>30</v>
      </c>
      <c r="D1461" s="1">
        <v>5.5E-2</v>
      </c>
      <c r="E1461" s="1">
        <v>8.5000000000000006E-2</v>
      </c>
      <c r="F1461" s="1">
        <v>0</v>
      </c>
      <c r="G1461" s="1">
        <v>1</v>
      </c>
      <c r="H1461" s="1">
        <v>1.26127138875</v>
      </c>
      <c r="I1461" s="1">
        <v>1.05356046599</v>
      </c>
      <c r="J1461" s="1">
        <v>0.50159260254000004</v>
      </c>
      <c r="K1461" s="1">
        <v>1914.0765898899999</v>
      </c>
      <c r="L1461" s="1">
        <v>414.75438322500003</v>
      </c>
      <c r="M1461" s="1" t="s">
        <v>198</v>
      </c>
      <c r="N1461" s="1" t="b">
        <v>1</v>
      </c>
    </row>
    <row r="1462" spans="1:14" ht="19" customHeight="1" x14ac:dyDescent="0.3">
      <c r="A1462">
        <v>1457</v>
      </c>
      <c r="B1462" s="1">
        <v>6</v>
      </c>
      <c r="C1462" s="1">
        <v>30</v>
      </c>
      <c r="D1462" s="1">
        <v>5.5E-2</v>
      </c>
      <c r="E1462" s="1">
        <v>8.5000000000000006E-2</v>
      </c>
      <c r="F1462" s="1">
        <v>5</v>
      </c>
      <c r="G1462" s="1">
        <v>0</v>
      </c>
      <c r="H1462" s="1">
        <v>1.2332096607900001</v>
      </c>
      <c r="I1462" s="1">
        <v>1.37349339878</v>
      </c>
      <c r="J1462" s="1">
        <v>0.61919829578100005</v>
      </c>
      <c r="K1462" s="1">
        <v>2155.4175923799999</v>
      </c>
      <c r="L1462" s="1">
        <v>511.99959082399999</v>
      </c>
      <c r="M1462" s="1" t="s">
        <v>198</v>
      </c>
      <c r="N1462" s="1" t="b">
        <v>1</v>
      </c>
    </row>
    <row r="1463" spans="1:14" ht="19" customHeight="1" x14ac:dyDescent="0.3">
      <c r="A1463">
        <v>1458</v>
      </c>
      <c r="B1463" s="1">
        <v>6</v>
      </c>
      <c r="C1463" s="1">
        <v>30</v>
      </c>
      <c r="D1463" s="1">
        <v>5.5E-2</v>
      </c>
      <c r="E1463" s="1">
        <v>8.5000000000000006E-2</v>
      </c>
      <c r="F1463" s="1">
        <v>5</v>
      </c>
      <c r="G1463" s="1">
        <v>1</v>
      </c>
      <c r="H1463" s="1">
        <v>1.2332096607900001</v>
      </c>
      <c r="I1463" s="1">
        <v>1.03012004908</v>
      </c>
      <c r="J1463" s="1">
        <v>0.50774260254000003</v>
      </c>
      <c r="K1463" s="1">
        <v>1871.4907538499999</v>
      </c>
      <c r="L1463" s="1">
        <v>419.83966447500001</v>
      </c>
      <c r="M1463" s="1" t="s">
        <v>198</v>
      </c>
      <c r="N1463" s="1" t="b">
        <v>1</v>
      </c>
    </row>
    <row r="1464" spans="1:14" ht="19" customHeight="1" x14ac:dyDescent="0.3">
      <c r="A1464">
        <v>1459</v>
      </c>
      <c r="B1464" s="1">
        <v>6</v>
      </c>
      <c r="C1464" s="1">
        <v>50</v>
      </c>
      <c r="D1464" s="1">
        <v>2.5000000000000001E-2</v>
      </c>
      <c r="E1464" s="1">
        <v>0.04</v>
      </c>
      <c r="F1464" s="1">
        <v>-5</v>
      </c>
      <c r="G1464" s="1">
        <v>0</v>
      </c>
      <c r="H1464" s="1">
        <v>1.4101108952000001</v>
      </c>
      <c r="I1464" s="1">
        <v>1.6388452504</v>
      </c>
      <c r="J1464" s="1">
        <v>0.63502937573499996</v>
      </c>
      <c r="K1464" s="1">
        <v>7003.0711469300004</v>
      </c>
      <c r="L1464" s="1">
        <v>1458.5830973899999</v>
      </c>
      <c r="M1464" s="1" t="s">
        <v>198</v>
      </c>
      <c r="N1464" s="1" t="b">
        <v>1</v>
      </c>
    </row>
    <row r="1465" spans="1:14" ht="19" customHeight="1" x14ac:dyDescent="0.3">
      <c r="A1465">
        <v>1460</v>
      </c>
      <c r="B1465" s="1">
        <v>6</v>
      </c>
      <c r="C1465" s="1">
        <v>50</v>
      </c>
      <c r="D1465" s="1">
        <v>2.5000000000000001E-2</v>
      </c>
      <c r="E1465" s="1">
        <v>0.04</v>
      </c>
      <c r="F1465" s="1">
        <v>-5</v>
      </c>
      <c r="G1465" s="1">
        <v>1</v>
      </c>
      <c r="H1465" s="1">
        <v>1.4101108952000001</v>
      </c>
      <c r="I1465" s="1">
        <v>1.2291339377999999</v>
      </c>
      <c r="J1465" s="1">
        <v>0.52072408810299997</v>
      </c>
      <c r="K1465" s="1">
        <v>6062.0154757999999</v>
      </c>
      <c r="L1465" s="1">
        <v>1196.03813986</v>
      </c>
      <c r="M1465" s="1" t="s">
        <v>198</v>
      </c>
      <c r="N1465" s="1" t="b">
        <v>1</v>
      </c>
    </row>
    <row r="1466" spans="1:14" ht="19" customHeight="1" x14ac:dyDescent="0.3">
      <c r="A1466">
        <v>1461</v>
      </c>
      <c r="B1466" s="1">
        <v>6</v>
      </c>
      <c r="C1466" s="1">
        <v>50</v>
      </c>
      <c r="D1466" s="1">
        <v>2.5000000000000001E-2</v>
      </c>
      <c r="E1466" s="1">
        <v>0.04</v>
      </c>
      <c r="F1466" s="1">
        <v>0</v>
      </c>
      <c r="G1466" s="1">
        <v>0</v>
      </c>
      <c r="H1466" s="1">
        <v>1.4421980167999999</v>
      </c>
      <c r="I1466" s="1">
        <v>1.6761372300699999</v>
      </c>
      <c r="J1466" s="1">
        <v>0.62752937573500001</v>
      </c>
      <c r="K1466" s="1">
        <v>7162.4262701400003</v>
      </c>
      <c r="L1466" s="1">
        <v>1441.3565348899999</v>
      </c>
      <c r="M1466" s="1" t="s">
        <v>198</v>
      </c>
      <c r="N1466" s="1" t="b">
        <v>1</v>
      </c>
    </row>
    <row r="1467" spans="1:14" ht="19" customHeight="1" x14ac:dyDescent="0.3">
      <c r="A1467">
        <v>1462</v>
      </c>
      <c r="B1467" s="1">
        <v>6</v>
      </c>
      <c r="C1467" s="1">
        <v>50</v>
      </c>
      <c r="D1467" s="1">
        <v>2.5000000000000001E-2</v>
      </c>
      <c r="E1467" s="1">
        <v>0.04</v>
      </c>
      <c r="F1467" s="1">
        <v>0</v>
      </c>
      <c r="G1467" s="1">
        <v>1</v>
      </c>
      <c r="H1467" s="1">
        <v>1.4421980167999999</v>
      </c>
      <c r="I1467" s="1">
        <v>1.2571029225499999</v>
      </c>
      <c r="J1467" s="1">
        <v>0.51457408810299998</v>
      </c>
      <c r="K1467" s="1">
        <v>6199.95684506</v>
      </c>
      <c r="L1467" s="1">
        <v>1181.91235861</v>
      </c>
      <c r="M1467" s="1" t="s">
        <v>198</v>
      </c>
      <c r="N1467" s="1" t="b">
        <v>1</v>
      </c>
    </row>
    <row r="1468" spans="1:14" ht="19" customHeight="1" x14ac:dyDescent="0.3">
      <c r="A1468">
        <v>1463</v>
      </c>
      <c r="B1468" s="1">
        <v>6</v>
      </c>
      <c r="C1468" s="1">
        <v>50</v>
      </c>
      <c r="D1468" s="1">
        <v>2.5000000000000001E-2</v>
      </c>
      <c r="E1468" s="1">
        <v>0.04</v>
      </c>
      <c r="F1468" s="1">
        <v>5</v>
      </c>
      <c r="G1468" s="1">
        <v>0</v>
      </c>
      <c r="H1468" s="1">
        <v>1.4101108952000001</v>
      </c>
      <c r="I1468" s="1">
        <v>1.6388452504</v>
      </c>
      <c r="J1468" s="1">
        <v>0.63502937573499996</v>
      </c>
      <c r="K1468" s="1">
        <v>7003.0711469300004</v>
      </c>
      <c r="L1468" s="1">
        <v>1458.5830973899999</v>
      </c>
      <c r="M1468" s="1" t="s">
        <v>198</v>
      </c>
      <c r="N1468" s="1" t="b">
        <v>1</v>
      </c>
    </row>
    <row r="1469" spans="1:14" ht="19" customHeight="1" x14ac:dyDescent="0.3">
      <c r="A1469">
        <v>1464</v>
      </c>
      <c r="B1469" s="1">
        <v>6</v>
      </c>
      <c r="C1469" s="1">
        <v>50</v>
      </c>
      <c r="D1469" s="1">
        <v>2.5000000000000001E-2</v>
      </c>
      <c r="E1469" s="1">
        <v>0.04</v>
      </c>
      <c r="F1469" s="1">
        <v>5</v>
      </c>
      <c r="G1469" s="1">
        <v>1</v>
      </c>
      <c r="H1469" s="1">
        <v>1.4101108952000001</v>
      </c>
      <c r="I1469" s="1">
        <v>1.2291339377999999</v>
      </c>
      <c r="J1469" s="1">
        <v>0.52072408810299997</v>
      </c>
      <c r="K1469" s="1">
        <v>6062.0154757999999</v>
      </c>
      <c r="L1469" s="1">
        <v>1196.03813986</v>
      </c>
      <c r="M1469" s="1" t="s">
        <v>198</v>
      </c>
      <c r="N1469" s="1" t="b">
        <v>1</v>
      </c>
    </row>
    <row r="1470" spans="1:14" ht="19" customHeight="1" x14ac:dyDescent="0.3">
      <c r="A1470">
        <v>1465</v>
      </c>
      <c r="B1470" s="1">
        <v>6</v>
      </c>
      <c r="C1470" s="1">
        <v>50</v>
      </c>
      <c r="D1470" s="1">
        <v>2.5000000000000001E-2</v>
      </c>
      <c r="E1470" s="1">
        <v>0.06</v>
      </c>
      <c r="F1470" s="1">
        <v>-5</v>
      </c>
      <c r="G1470" s="1">
        <v>0</v>
      </c>
      <c r="H1470" s="1">
        <v>1.45072590884</v>
      </c>
      <c r="I1470" s="1">
        <v>1.6997677708600001</v>
      </c>
      <c r="J1470" s="1">
        <v>0.63866405658000003</v>
      </c>
      <c r="K1470" s="1">
        <v>7236.29017054</v>
      </c>
      <c r="L1470" s="1">
        <v>1466.93150496</v>
      </c>
      <c r="M1470" s="1" t="s">
        <v>198</v>
      </c>
      <c r="N1470" s="1" t="b">
        <v>1</v>
      </c>
    </row>
    <row r="1471" spans="1:14" ht="19" customHeight="1" x14ac:dyDescent="0.3">
      <c r="A1471">
        <v>1466</v>
      </c>
      <c r="B1471" s="1">
        <v>6</v>
      </c>
      <c r="C1471" s="1">
        <v>50</v>
      </c>
      <c r="D1471" s="1">
        <v>2.5000000000000001E-2</v>
      </c>
      <c r="E1471" s="1">
        <v>0.06</v>
      </c>
      <c r="F1471" s="1">
        <v>-5</v>
      </c>
      <c r="G1471" s="1">
        <v>1</v>
      </c>
      <c r="H1471" s="1">
        <v>1.45072590884</v>
      </c>
      <c r="I1471" s="1">
        <v>1.27482582814</v>
      </c>
      <c r="J1471" s="1">
        <v>0.52370452639599996</v>
      </c>
      <c r="K1471" s="1">
        <v>6260.2516458700002</v>
      </c>
      <c r="L1471" s="1">
        <v>1202.88383406</v>
      </c>
      <c r="M1471" s="1" t="s">
        <v>198</v>
      </c>
      <c r="N1471" s="1" t="b">
        <v>1</v>
      </c>
    </row>
    <row r="1472" spans="1:14" ht="19" customHeight="1" x14ac:dyDescent="0.3">
      <c r="A1472">
        <v>1467</v>
      </c>
      <c r="B1472" s="1">
        <v>6</v>
      </c>
      <c r="C1472" s="1">
        <v>50</v>
      </c>
      <c r="D1472" s="1">
        <v>2.5000000000000001E-2</v>
      </c>
      <c r="E1472" s="1">
        <v>0.06</v>
      </c>
      <c r="F1472" s="1">
        <v>0</v>
      </c>
      <c r="G1472" s="1">
        <v>0</v>
      </c>
      <c r="H1472" s="1">
        <v>1.4837372264599999</v>
      </c>
      <c r="I1472" s="1">
        <v>1.7384460445500001</v>
      </c>
      <c r="J1472" s="1">
        <v>0.63116405657999997</v>
      </c>
      <c r="K1472" s="1">
        <v>7400.9522005999997</v>
      </c>
      <c r="L1472" s="1">
        <v>1449.70494246</v>
      </c>
      <c r="M1472" s="1" t="s">
        <v>198</v>
      </c>
      <c r="N1472" s="1" t="b">
        <v>1</v>
      </c>
    </row>
    <row r="1473" spans="1:14" ht="19" customHeight="1" x14ac:dyDescent="0.3">
      <c r="A1473">
        <v>1468</v>
      </c>
      <c r="B1473" s="1">
        <v>6</v>
      </c>
      <c r="C1473" s="1">
        <v>50</v>
      </c>
      <c r="D1473" s="1">
        <v>2.5000000000000001E-2</v>
      </c>
      <c r="E1473" s="1">
        <v>0.06</v>
      </c>
      <c r="F1473" s="1">
        <v>0</v>
      </c>
      <c r="G1473" s="1">
        <v>1</v>
      </c>
      <c r="H1473" s="1">
        <v>1.4837372264599999</v>
      </c>
      <c r="I1473" s="1">
        <v>1.3038345334200001</v>
      </c>
      <c r="J1473" s="1">
        <v>0.51755452639599997</v>
      </c>
      <c r="K1473" s="1">
        <v>6402.7038859499999</v>
      </c>
      <c r="L1473" s="1">
        <v>1188.75805281</v>
      </c>
      <c r="M1473" s="1" t="s">
        <v>198</v>
      </c>
      <c r="N1473" s="1" t="b">
        <v>1</v>
      </c>
    </row>
    <row r="1474" spans="1:14" ht="19" customHeight="1" x14ac:dyDescent="0.3">
      <c r="A1474">
        <v>1469</v>
      </c>
      <c r="B1474" s="1">
        <v>6</v>
      </c>
      <c r="C1474" s="1">
        <v>50</v>
      </c>
      <c r="D1474" s="1">
        <v>2.5000000000000001E-2</v>
      </c>
      <c r="E1474" s="1">
        <v>0.06</v>
      </c>
      <c r="F1474" s="1">
        <v>5</v>
      </c>
      <c r="G1474" s="1">
        <v>0</v>
      </c>
      <c r="H1474" s="1">
        <v>1.45072590884</v>
      </c>
      <c r="I1474" s="1">
        <v>1.6997677708600001</v>
      </c>
      <c r="J1474" s="1">
        <v>0.63866405658000003</v>
      </c>
      <c r="K1474" s="1">
        <v>7236.29017054</v>
      </c>
      <c r="L1474" s="1">
        <v>1466.93150496</v>
      </c>
      <c r="M1474" s="1" t="s">
        <v>198</v>
      </c>
      <c r="N1474" s="1" t="b">
        <v>1</v>
      </c>
    </row>
    <row r="1475" spans="1:14" ht="19" customHeight="1" x14ac:dyDescent="0.3">
      <c r="A1475">
        <v>1470</v>
      </c>
      <c r="B1475" s="1">
        <v>6</v>
      </c>
      <c r="C1475" s="1">
        <v>50</v>
      </c>
      <c r="D1475" s="1">
        <v>2.5000000000000001E-2</v>
      </c>
      <c r="E1475" s="1">
        <v>0.06</v>
      </c>
      <c r="F1475" s="1">
        <v>5</v>
      </c>
      <c r="G1475" s="1">
        <v>1</v>
      </c>
      <c r="H1475" s="1">
        <v>1.45072590884</v>
      </c>
      <c r="I1475" s="1">
        <v>1.27482582814</v>
      </c>
      <c r="J1475" s="1">
        <v>0.52370452639599996</v>
      </c>
      <c r="K1475" s="1">
        <v>6260.2516458700002</v>
      </c>
      <c r="L1475" s="1">
        <v>1202.88383406</v>
      </c>
      <c r="M1475" s="1" t="s">
        <v>198</v>
      </c>
      <c r="N1475" s="1" t="b">
        <v>1</v>
      </c>
    </row>
    <row r="1476" spans="1:14" ht="19" customHeight="1" x14ac:dyDescent="0.3">
      <c r="A1476">
        <v>1471</v>
      </c>
      <c r="B1476" s="1">
        <v>6</v>
      </c>
      <c r="C1476" s="1">
        <v>50</v>
      </c>
      <c r="D1476" s="1">
        <v>2.5000000000000001E-2</v>
      </c>
      <c r="E1476" s="1">
        <v>8.5000000000000006E-2</v>
      </c>
      <c r="F1476" s="1">
        <v>-5</v>
      </c>
      <c r="G1476" s="1">
        <v>0</v>
      </c>
      <c r="H1476" s="1">
        <v>1.34689439989</v>
      </c>
      <c r="I1476" s="1">
        <v>1.54402050744</v>
      </c>
      <c r="J1476" s="1">
        <v>0.62937206421299996</v>
      </c>
      <c r="K1476" s="1">
        <v>6640.0701777800004</v>
      </c>
      <c r="L1476" s="1">
        <v>1445.5889599899999</v>
      </c>
      <c r="M1476" s="1" t="s">
        <v>198</v>
      </c>
      <c r="N1476" s="1" t="b">
        <v>1</v>
      </c>
    </row>
    <row r="1477" spans="1:14" ht="19" customHeight="1" x14ac:dyDescent="0.3">
      <c r="A1477">
        <v>1472</v>
      </c>
      <c r="B1477" s="1">
        <v>6</v>
      </c>
      <c r="C1477" s="1">
        <v>50</v>
      </c>
      <c r="D1477" s="1">
        <v>2.5000000000000001E-2</v>
      </c>
      <c r="E1477" s="1">
        <v>8.5000000000000006E-2</v>
      </c>
      <c r="F1477" s="1">
        <v>-5</v>
      </c>
      <c r="G1477" s="1">
        <v>1</v>
      </c>
      <c r="H1477" s="1">
        <v>1.34689439989</v>
      </c>
      <c r="I1477" s="1">
        <v>1.15801538058</v>
      </c>
      <c r="J1477" s="1">
        <v>0.51608509265500002</v>
      </c>
      <c r="K1477" s="1">
        <v>5753.4646520200004</v>
      </c>
      <c r="L1477" s="1">
        <v>1185.3829471900001</v>
      </c>
      <c r="M1477" s="1" t="s">
        <v>198</v>
      </c>
      <c r="N1477" s="1" t="b">
        <v>1</v>
      </c>
    </row>
    <row r="1478" spans="1:14" ht="19" customHeight="1" x14ac:dyDescent="0.3">
      <c r="A1478">
        <v>1473</v>
      </c>
      <c r="B1478" s="1">
        <v>6</v>
      </c>
      <c r="C1478" s="1">
        <v>50</v>
      </c>
      <c r="D1478" s="1">
        <v>2.5000000000000001E-2</v>
      </c>
      <c r="E1478" s="1">
        <v>8.5000000000000006E-2</v>
      </c>
      <c r="F1478" s="1">
        <v>0</v>
      </c>
      <c r="G1478" s="1">
        <v>0</v>
      </c>
      <c r="H1478" s="1">
        <v>1.3775430279800001</v>
      </c>
      <c r="I1478" s="1">
        <v>1.57915474684</v>
      </c>
      <c r="J1478" s="1">
        <v>0.62187206421300001</v>
      </c>
      <c r="K1478" s="1">
        <v>6791.1652015299996</v>
      </c>
      <c r="L1478" s="1">
        <v>1428.3623974899999</v>
      </c>
      <c r="M1478" s="1" t="s">
        <v>198</v>
      </c>
      <c r="N1478" s="1" t="b">
        <v>1</v>
      </c>
    </row>
    <row r="1479" spans="1:14" ht="19" customHeight="1" x14ac:dyDescent="0.3">
      <c r="A1479">
        <v>1474</v>
      </c>
      <c r="B1479" s="1">
        <v>6</v>
      </c>
      <c r="C1479" s="1">
        <v>50</v>
      </c>
      <c r="D1479" s="1">
        <v>2.5000000000000001E-2</v>
      </c>
      <c r="E1479" s="1">
        <v>8.5000000000000006E-2</v>
      </c>
      <c r="F1479" s="1">
        <v>0</v>
      </c>
      <c r="G1479" s="1">
        <v>1</v>
      </c>
      <c r="H1479" s="1">
        <v>1.3775430279800001</v>
      </c>
      <c r="I1479" s="1">
        <v>1.1843660601299999</v>
      </c>
      <c r="J1479" s="1">
        <v>0.50993509265500003</v>
      </c>
      <c r="K1479" s="1">
        <v>5884.3849367399998</v>
      </c>
      <c r="L1479" s="1">
        <v>1171.25716594</v>
      </c>
      <c r="M1479" s="1" t="s">
        <v>198</v>
      </c>
      <c r="N1479" s="1" t="b">
        <v>1</v>
      </c>
    </row>
    <row r="1480" spans="1:14" ht="19" customHeight="1" x14ac:dyDescent="0.3">
      <c r="A1480">
        <v>1475</v>
      </c>
      <c r="B1480" s="1">
        <v>6</v>
      </c>
      <c r="C1480" s="1">
        <v>50</v>
      </c>
      <c r="D1480" s="1">
        <v>2.5000000000000001E-2</v>
      </c>
      <c r="E1480" s="1">
        <v>8.5000000000000006E-2</v>
      </c>
      <c r="F1480" s="1">
        <v>5</v>
      </c>
      <c r="G1480" s="1">
        <v>0</v>
      </c>
      <c r="H1480" s="1">
        <v>1.34689439989</v>
      </c>
      <c r="I1480" s="1">
        <v>1.54402050744</v>
      </c>
      <c r="J1480" s="1">
        <v>0.62937206421299996</v>
      </c>
      <c r="K1480" s="1">
        <v>6640.0701777800004</v>
      </c>
      <c r="L1480" s="1">
        <v>1445.5889599899999</v>
      </c>
      <c r="M1480" s="1" t="s">
        <v>198</v>
      </c>
      <c r="N1480" s="1" t="b">
        <v>1</v>
      </c>
    </row>
    <row r="1481" spans="1:14" ht="19" customHeight="1" x14ac:dyDescent="0.3">
      <c r="A1481">
        <v>1476</v>
      </c>
      <c r="B1481" s="1">
        <v>6</v>
      </c>
      <c r="C1481" s="1">
        <v>50</v>
      </c>
      <c r="D1481" s="1">
        <v>2.5000000000000001E-2</v>
      </c>
      <c r="E1481" s="1">
        <v>8.5000000000000006E-2</v>
      </c>
      <c r="F1481" s="1">
        <v>5</v>
      </c>
      <c r="G1481" s="1">
        <v>1</v>
      </c>
      <c r="H1481" s="1">
        <v>1.34689439989</v>
      </c>
      <c r="I1481" s="1">
        <v>1.15801538058</v>
      </c>
      <c r="J1481" s="1">
        <v>0.51608509265500002</v>
      </c>
      <c r="K1481" s="1">
        <v>5753.4646520200004</v>
      </c>
      <c r="L1481" s="1">
        <v>1185.3829471900001</v>
      </c>
      <c r="M1481" s="1" t="s">
        <v>198</v>
      </c>
      <c r="N1481" s="1" t="b">
        <v>1</v>
      </c>
    </row>
    <row r="1482" spans="1:14" ht="19" customHeight="1" x14ac:dyDescent="0.3">
      <c r="A1482">
        <v>1477</v>
      </c>
      <c r="B1482" s="1">
        <v>6</v>
      </c>
      <c r="C1482" s="1">
        <v>50</v>
      </c>
      <c r="D1482" s="1">
        <v>0.04</v>
      </c>
      <c r="E1482" s="1">
        <v>0.04</v>
      </c>
      <c r="F1482" s="1">
        <v>-5</v>
      </c>
      <c r="G1482" s="1">
        <v>0</v>
      </c>
      <c r="H1482" s="1">
        <v>1.41609970865</v>
      </c>
      <c r="I1482" s="1">
        <v>1.6478284705799999</v>
      </c>
      <c r="J1482" s="1">
        <v>0.63556532103200003</v>
      </c>
      <c r="K1482" s="1">
        <v>7037.4600366799996</v>
      </c>
      <c r="L1482" s="1">
        <v>1459.81409674</v>
      </c>
      <c r="M1482" s="1" t="s">
        <v>198</v>
      </c>
      <c r="N1482" s="1" t="b">
        <v>1</v>
      </c>
    </row>
    <row r="1483" spans="1:14" ht="19" customHeight="1" x14ac:dyDescent="0.3">
      <c r="A1483">
        <v>1478</v>
      </c>
      <c r="B1483" s="1">
        <v>6</v>
      </c>
      <c r="C1483" s="1">
        <v>50</v>
      </c>
      <c r="D1483" s="1">
        <v>0.04</v>
      </c>
      <c r="E1483" s="1">
        <v>0.04</v>
      </c>
      <c r="F1483" s="1">
        <v>-5</v>
      </c>
      <c r="G1483" s="1">
        <v>1</v>
      </c>
      <c r="H1483" s="1">
        <v>1.41609970865</v>
      </c>
      <c r="I1483" s="1">
        <v>1.2358713529400001</v>
      </c>
      <c r="J1483" s="1">
        <v>0.52116356324599999</v>
      </c>
      <c r="K1483" s="1">
        <v>6091.24603209</v>
      </c>
      <c r="L1483" s="1">
        <v>1197.04755933</v>
      </c>
      <c r="M1483" s="1" t="s">
        <v>198</v>
      </c>
      <c r="N1483" s="1" t="b">
        <v>1</v>
      </c>
    </row>
    <row r="1484" spans="1:14" ht="19" customHeight="1" x14ac:dyDescent="0.3">
      <c r="A1484">
        <v>1479</v>
      </c>
      <c r="B1484" s="1">
        <v>6</v>
      </c>
      <c r="C1484" s="1">
        <v>50</v>
      </c>
      <c r="D1484" s="1">
        <v>0.04</v>
      </c>
      <c r="E1484" s="1">
        <v>0.04</v>
      </c>
      <c r="F1484" s="1">
        <v>0</v>
      </c>
      <c r="G1484" s="1">
        <v>0</v>
      </c>
      <c r="H1484" s="1">
        <v>1.4483231058999999</v>
      </c>
      <c r="I1484" s="1">
        <v>1.68532486373</v>
      </c>
      <c r="J1484" s="1">
        <v>0.62806532103199997</v>
      </c>
      <c r="K1484" s="1">
        <v>7197.5976802499999</v>
      </c>
      <c r="L1484" s="1">
        <v>1442.58753424</v>
      </c>
      <c r="M1484" s="1" t="s">
        <v>198</v>
      </c>
      <c r="N1484" s="1" t="b">
        <v>1</v>
      </c>
    </row>
    <row r="1485" spans="1:14" ht="19" customHeight="1" x14ac:dyDescent="0.3">
      <c r="A1485">
        <v>1480</v>
      </c>
      <c r="B1485" s="1">
        <v>6</v>
      </c>
      <c r="C1485" s="1">
        <v>50</v>
      </c>
      <c r="D1485" s="1">
        <v>0.04</v>
      </c>
      <c r="E1485" s="1">
        <v>0.04</v>
      </c>
      <c r="F1485" s="1">
        <v>0</v>
      </c>
      <c r="G1485" s="1">
        <v>1</v>
      </c>
      <c r="H1485" s="1">
        <v>1.4483231058999999</v>
      </c>
      <c r="I1485" s="1">
        <v>1.2639936478</v>
      </c>
      <c r="J1485" s="1">
        <v>0.51501356324600001</v>
      </c>
      <c r="K1485" s="1">
        <v>6229.8525436600003</v>
      </c>
      <c r="L1485" s="1">
        <v>1182.92177808</v>
      </c>
      <c r="M1485" s="1" t="s">
        <v>198</v>
      </c>
      <c r="N1485" s="1" t="b">
        <v>1</v>
      </c>
    </row>
    <row r="1486" spans="1:14" ht="19" customHeight="1" x14ac:dyDescent="0.3">
      <c r="A1486">
        <v>1481</v>
      </c>
      <c r="B1486" s="1">
        <v>6</v>
      </c>
      <c r="C1486" s="1">
        <v>50</v>
      </c>
      <c r="D1486" s="1">
        <v>0.04</v>
      </c>
      <c r="E1486" s="1">
        <v>0.04</v>
      </c>
      <c r="F1486" s="1">
        <v>5</v>
      </c>
      <c r="G1486" s="1">
        <v>0</v>
      </c>
      <c r="H1486" s="1">
        <v>1.41609970865</v>
      </c>
      <c r="I1486" s="1">
        <v>1.6478284705799999</v>
      </c>
      <c r="J1486" s="1">
        <v>0.63556532103200003</v>
      </c>
      <c r="K1486" s="1">
        <v>7037.4600366799996</v>
      </c>
      <c r="L1486" s="1">
        <v>1459.81409674</v>
      </c>
      <c r="M1486" s="1" t="s">
        <v>198</v>
      </c>
      <c r="N1486" s="1" t="b">
        <v>1</v>
      </c>
    </row>
    <row r="1487" spans="1:14" ht="19" customHeight="1" x14ac:dyDescent="0.3">
      <c r="A1487">
        <v>1482</v>
      </c>
      <c r="B1487" s="1">
        <v>6</v>
      </c>
      <c r="C1487" s="1">
        <v>50</v>
      </c>
      <c r="D1487" s="1">
        <v>0.04</v>
      </c>
      <c r="E1487" s="1">
        <v>0.04</v>
      </c>
      <c r="F1487" s="1">
        <v>5</v>
      </c>
      <c r="G1487" s="1">
        <v>1</v>
      </c>
      <c r="H1487" s="1">
        <v>1.41609970865</v>
      </c>
      <c r="I1487" s="1">
        <v>1.2358713529400001</v>
      </c>
      <c r="J1487" s="1">
        <v>0.52116356324599999</v>
      </c>
      <c r="K1487" s="1">
        <v>6091.24603209</v>
      </c>
      <c r="L1487" s="1">
        <v>1197.04755933</v>
      </c>
      <c r="M1487" s="1" t="s">
        <v>198</v>
      </c>
      <c r="N1487" s="1" t="b">
        <v>1</v>
      </c>
    </row>
    <row r="1488" spans="1:14" ht="19" customHeight="1" x14ac:dyDescent="0.3">
      <c r="A1488">
        <v>1483</v>
      </c>
      <c r="B1488" s="1">
        <v>6</v>
      </c>
      <c r="C1488" s="1">
        <v>50</v>
      </c>
      <c r="D1488" s="1">
        <v>0.04</v>
      </c>
      <c r="E1488" s="1">
        <v>0.06</v>
      </c>
      <c r="F1488" s="1">
        <v>-5</v>
      </c>
      <c r="G1488" s="1">
        <v>0</v>
      </c>
      <c r="H1488" s="1">
        <v>1.4572955242100001</v>
      </c>
      <c r="I1488" s="1">
        <v>1.70962219392</v>
      </c>
      <c r="J1488" s="1">
        <v>0.63925197846000004</v>
      </c>
      <c r="K1488" s="1">
        <v>7274.0141338200001</v>
      </c>
      <c r="L1488" s="1">
        <v>1468.28188802</v>
      </c>
      <c r="M1488" s="1" t="s">
        <v>198</v>
      </c>
      <c r="N1488" s="1" t="b">
        <v>1</v>
      </c>
    </row>
    <row r="1489" spans="1:14" ht="19" customHeight="1" x14ac:dyDescent="0.3">
      <c r="A1489">
        <v>1484</v>
      </c>
      <c r="B1489" s="1">
        <v>6</v>
      </c>
      <c r="C1489" s="1">
        <v>50</v>
      </c>
      <c r="D1489" s="1">
        <v>0.04</v>
      </c>
      <c r="E1489" s="1">
        <v>0.06</v>
      </c>
      <c r="F1489" s="1">
        <v>-5</v>
      </c>
      <c r="G1489" s="1">
        <v>1</v>
      </c>
      <c r="H1489" s="1">
        <v>1.4572955242100001</v>
      </c>
      <c r="I1489" s="1">
        <v>1.2822166454399999</v>
      </c>
      <c r="J1489" s="1">
        <v>0.52418662233699997</v>
      </c>
      <c r="K1489" s="1">
        <v>6292.3170146599996</v>
      </c>
      <c r="L1489" s="1">
        <v>1203.99114818</v>
      </c>
      <c r="M1489" s="1" t="s">
        <v>198</v>
      </c>
      <c r="N1489" s="1" t="b">
        <v>1</v>
      </c>
    </row>
    <row r="1490" spans="1:14" ht="19" customHeight="1" x14ac:dyDescent="0.3">
      <c r="A1490">
        <v>1485</v>
      </c>
      <c r="B1490" s="1">
        <v>6</v>
      </c>
      <c r="C1490" s="1">
        <v>50</v>
      </c>
      <c r="D1490" s="1">
        <v>0.04</v>
      </c>
      <c r="E1490" s="1">
        <v>0.06</v>
      </c>
      <c r="F1490" s="1">
        <v>0</v>
      </c>
      <c r="G1490" s="1">
        <v>0</v>
      </c>
      <c r="H1490" s="1">
        <v>1.4904563336500001</v>
      </c>
      <c r="I1490" s="1">
        <v>1.7485247053499999</v>
      </c>
      <c r="J1490" s="1">
        <v>0.63175197845999997</v>
      </c>
      <c r="K1490" s="1">
        <v>7439.5345739499999</v>
      </c>
      <c r="L1490" s="1">
        <v>1451.05532552</v>
      </c>
      <c r="M1490" s="1" t="s">
        <v>198</v>
      </c>
      <c r="N1490" s="1" t="b">
        <v>1</v>
      </c>
    </row>
    <row r="1491" spans="1:14" ht="19" customHeight="1" x14ac:dyDescent="0.3">
      <c r="A1491">
        <v>1486</v>
      </c>
      <c r="B1491" s="1">
        <v>6</v>
      </c>
      <c r="C1491" s="1">
        <v>50</v>
      </c>
      <c r="D1491" s="1">
        <v>0.04</v>
      </c>
      <c r="E1491" s="1">
        <v>0.06</v>
      </c>
      <c r="F1491" s="1">
        <v>0</v>
      </c>
      <c r="G1491" s="1">
        <v>1</v>
      </c>
      <c r="H1491" s="1">
        <v>1.4904563336500001</v>
      </c>
      <c r="I1491" s="1">
        <v>1.3113935290100001</v>
      </c>
      <c r="J1491" s="1">
        <v>0.51803662233699999</v>
      </c>
      <c r="K1491" s="1">
        <v>6435.4989033000002</v>
      </c>
      <c r="L1491" s="1">
        <v>1189.8653669299999</v>
      </c>
      <c r="M1491" s="1" t="s">
        <v>198</v>
      </c>
      <c r="N1491" s="1" t="b">
        <v>1</v>
      </c>
    </row>
    <row r="1492" spans="1:14" ht="19" customHeight="1" x14ac:dyDescent="0.3">
      <c r="A1492">
        <v>1487</v>
      </c>
      <c r="B1492" s="1">
        <v>6</v>
      </c>
      <c r="C1492" s="1">
        <v>50</v>
      </c>
      <c r="D1492" s="1">
        <v>0.04</v>
      </c>
      <c r="E1492" s="1">
        <v>0.06</v>
      </c>
      <c r="F1492" s="1">
        <v>5</v>
      </c>
      <c r="G1492" s="1">
        <v>0</v>
      </c>
      <c r="H1492" s="1">
        <v>1.4572955242100001</v>
      </c>
      <c r="I1492" s="1">
        <v>1.70962219392</v>
      </c>
      <c r="J1492" s="1">
        <v>0.63925197846000004</v>
      </c>
      <c r="K1492" s="1">
        <v>7274.0141338200001</v>
      </c>
      <c r="L1492" s="1">
        <v>1468.28188802</v>
      </c>
      <c r="M1492" s="1" t="s">
        <v>198</v>
      </c>
      <c r="N1492" s="1" t="b">
        <v>1</v>
      </c>
    </row>
    <row r="1493" spans="1:14" ht="19" customHeight="1" x14ac:dyDescent="0.3">
      <c r="A1493">
        <v>1488</v>
      </c>
      <c r="B1493" s="1">
        <v>6</v>
      </c>
      <c r="C1493" s="1">
        <v>50</v>
      </c>
      <c r="D1493" s="1">
        <v>0.04</v>
      </c>
      <c r="E1493" s="1">
        <v>0.06</v>
      </c>
      <c r="F1493" s="1">
        <v>5</v>
      </c>
      <c r="G1493" s="1">
        <v>1</v>
      </c>
      <c r="H1493" s="1">
        <v>1.4572955242100001</v>
      </c>
      <c r="I1493" s="1">
        <v>1.2822166454399999</v>
      </c>
      <c r="J1493" s="1">
        <v>0.52418662233699997</v>
      </c>
      <c r="K1493" s="1">
        <v>6292.3170146599996</v>
      </c>
      <c r="L1493" s="1">
        <v>1203.99114818</v>
      </c>
      <c r="M1493" s="1" t="s">
        <v>198</v>
      </c>
      <c r="N1493" s="1" t="b">
        <v>1</v>
      </c>
    </row>
    <row r="1494" spans="1:14" ht="19" customHeight="1" x14ac:dyDescent="0.3">
      <c r="A1494">
        <v>1489</v>
      </c>
      <c r="B1494" s="1">
        <v>6</v>
      </c>
      <c r="C1494" s="1">
        <v>50</v>
      </c>
      <c r="D1494" s="1">
        <v>0.04</v>
      </c>
      <c r="E1494" s="1">
        <v>8.5000000000000006E-2</v>
      </c>
      <c r="F1494" s="1">
        <v>-5</v>
      </c>
      <c r="G1494" s="1">
        <v>0</v>
      </c>
      <c r="H1494" s="1">
        <v>1.35197920622</v>
      </c>
      <c r="I1494" s="1">
        <v>1.55164771692</v>
      </c>
      <c r="J1494" s="1">
        <v>0.62982710894899996</v>
      </c>
      <c r="K1494" s="1">
        <v>6669.2680890900001</v>
      </c>
      <c r="L1494" s="1">
        <v>1446.63414087</v>
      </c>
      <c r="M1494" s="1" t="s">
        <v>198</v>
      </c>
      <c r="N1494" s="1" t="b">
        <v>1</v>
      </c>
    </row>
    <row r="1495" spans="1:14" ht="19" customHeight="1" x14ac:dyDescent="0.3">
      <c r="A1495">
        <v>1490</v>
      </c>
      <c r="B1495" s="1">
        <v>6</v>
      </c>
      <c r="C1495" s="1">
        <v>50</v>
      </c>
      <c r="D1495" s="1">
        <v>0.04</v>
      </c>
      <c r="E1495" s="1">
        <v>8.5000000000000006E-2</v>
      </c>
      <c r="F1495" s="1">
        <v>-5</v>
      </c>
      <c r="G1495" s="1">
        <v>1</v>
      </c>
      <c r="H1495" s="1">
        <v>1.35197920622</v>
      </c>
      <c r="I1495" s="1">
        <v>1.1637357876900001</v>
      </c>
      <c r="J1495" s="1">
        <v>0.51645822933800001</v>
      </c>
      <c r="K1495" s="1">
        <v>5778.2828766299999</v>
      </c>
      <c r="L1495" s="1">
        <v>1186.23999551</v>
      </c>
      <c r="M1495" s="1" t="s">
        <v>198</v>
      </c>
      <c r="N1495" s="1" t="b">
        <v>1</v>
      </c>
    </row>
    <row r="1496" spans="1:14" ht="19" customHeight="1" x14ac:dyDescent="0.3">
      <c r="A1496">
        <v>1491</v>
      </c>
      <c r="B1496" s="1">
        <v>6</v>
      </c>
      <c r="C1496" s="1">
        <v>50</v>
      </c>
      <c r="D1496" s="1">
        <v>0.04</v>
      </c>
      <c r="E1496" s="1">
        <v>8.5000000000000006E-2</v>
      </c>
      <c r="F1496" s="1">
        <v>0</v>
      </c>
      <c r="G1496" s="1">
        <v>0</v>
      </c>
      <c r="H1496" s="1">
        <v>1.38274353924</v>
      </c>
      <c r="I1496" s="1">
        <v>1.58695551373</v>
      </c>
      <c r="J1496" s="1">
        <v>0.62232710894900001</v>
      </c>
      <c r="K1496" s="1">
        <v>6821.02751231</v>
      </c>
      <c r="L1496" s="1">
        <v>1429.40757837</v>
      </c>
      <c r="M1496" s="1" t="s">
        <v>198</v>
      </c>
      <c r="N1496" s="1" t="b">
        <v>1</v>
      </c>
    </row>
    <row r="1497" spans="1:14" ht="19" customHeight="1" x14ac:dyDescent="0.3">
      <c r="A1497">
        <v>1492</v>
      </c>
      <c r="B1497" s="1">
        <v>6</v>
      </c>
      <c r="C1497" s="1">
        <v>50</v>
      </c>
      <c r="D1497" s="1">
        <v>0.04</v>
      </c>
      <c r="E1497" s="1">
        <v>8.5000000000000006E-2</v>
      </c>
      <c r="F1497" s="1">
        <v>0</v>
      </c>
      <c r="G1497" s="1">
        <v>1</v>
      </c>
      <c r="H1497" s="1">
        <v>1.38274353924</v>
      </c>
      <c r="I1497" s="1">
        <v>1.1902166353000001</v>
      </c>
      <c r="J1497" s="1">
        <v>0.51030822933800002</v>
      </c>
      <c r="K1497" s="1">
        <v>5909.7679009000003</v>
      </c>
      <c r="L1497" s="1">
        <v>1172.1142142599999</v>
      </c>
      <c r="M1497" s="1" t="s">
        <v>198</v>
      </c>
      <c r="N1497" s="1" t="b">
        <v>1</v>
      </c>
    </row>
    <row r="1498" spans="1:14" ht="19" customHeight="1" x14ac:dyDescent="0.3">
      <c r="A1498">
        <v>1493</v>
      </c>
      <c r="B1498" s="1">
        <v>6</v>
      </c>
      <c r="C1498" s="1">
        <v>50</v>
      </c>
      <c r="D1498" s="1">
        <v>0.04</v>
      </c>
      <c r="E1498" s="1">
        <v>8.5000000000000006E-2</v>
      </c>
      <c r="F1498" s="1">
        <v>5</v>
      </c>
      <c r="G1498" s="1">
        <v>0</v>
      </c>
      <c r="H1498" s="1">
        <v>1.35197920622</v>
      </c>
      <c r="I1498" s="1">
        <v>1.55164771692</v>
      </c>
      <c r="J1498" s="1">
        <v>0.62982710894899996</v>
      </c>
      <c r="K1498" s="1">
        <v>6669.2680890900001</v>
      </c>
      <c r="L1498" s="1">
        <v>1446.63414087</v>
      </c>
      <c r="M1498" s="1" t="s">
        <v>198</v>
      </c>
      <c r="N1498" s="1" t="b">
        <v>1</v>
      </c>
    </row>
    <row r="1499" spans="1:14" ht="19" customHeight="1" x14ac:dyDescent="0.3">
      <c r="A1499">
        <v>1494</v>
      </c>
      <c r="B1499" s="1">
        <v>6</v>
      </c>
      <c r="C1499" s="1">
        <v>50</v>
      </c>
      <c r="D1499" s="1">
        <v>0.04</v>
      </c>
      <c r="E1499" s="1">
        <v>8.5000000000000006E-2</v>
      </c>
      <c r="F1499" s="1">
        <v>5</v>
      </c>
      <c r="G1499" s="1">
        <v>1</v>
      </c>
      <c r="H1499" s="1">
        <v>1.35197920622</v>
      </c>
      <c r="I1499" s="1">
        <v>1.1637357876900001</v>
      </c>
      <c r="J1499" s="1">
        <v>0.51645822933800001</v>
      </c>
      <c r="K1499" s="1">
        <v>5778.2828766299999</v>
      </c>
      <c r="L1499" s="1">
        <v>1186.23999551</v>
      </c>
      <c r="M1499" s="1" t="s">
        <v>198</v>
      </c>
      <c r="N1499" s="1" t="b">
        <v>1</v>
      </c>
    </row>
    <row r="1500" spans="1:14" ht="19" customHeight="1" x14ac:dyDescent="0.3">
      <c r="A1500">
        <v>1495</v>
      </c>
      <c r="B1500" s="1">
        <v>6</v>
      </c>
      <c r="C1500" s="1">
        <v>50</v>
      </c>
      <c r="D1500" s="1">
        <v>5.5E-2</v>
      </c>
      <c r="E1500" s="1">
        <v>0.04</v>
      </c>
      <c r="F1500" s="1">
        <v>-5</v>
      </c>
      <c r="G1500" s="1">
        <v>0</v>
      </c>
      <c r="H1500" s="1">
        <v>1.27621460659</v>
      </c>
      <c r="I1500" s="1">
        <v>1.4380008174900001</v>
      </c>
      <c r="J1500" s="1">
        <v>0.62304685420200001</v>
      </c>
      <c r="K1500" s="1">
        <v>6234.2135521800001</v>
      </c>
      <c r="L1500" s="1">
        <v>1431.0607432500001</v>
      </c>
      <c r="M1500" s="1" t="s">
        <v>198</v>
      </c>
      <c r="N1500" s="1" t="b">
        <v>1</v>
      </c>
    </row>
    <row r="1501" spans="1:14" ht="19" customHeight="1" x14ac:dyDescent="0.3">
      <c r="A1501">
        <v>1496</v>
      </c>
      <c r="B1501" s="1">
        <v>6</v>
      </c>
      <c r="C1501" s="1">
        <v>50</v>
      </c>
      <c r="D1501" s="1">
        <v>5.5E-2</v>
      </c>
      <c r="E1501" s="1">
        <v>0.04</v>
      </c>
      <c r="F1501" s="1">
        <v>-5</v>
      </c>
      <c r="G1501" s="1">
        <v>1</v>
      </c>
      <c r="H1501" s="1">
        <v>1.27621460659</v>
      </c>
      <c r="I1501" s="1">
        <v>1.0785006131199999</v>
      </c>
      <c r="J1501" s="1">
        <v>0.51089842044599998</v>
      </c>
      <c r="K1501" s="1">
        <v>5408.4865202600004</v>
      </c>
      <c r="L1501" s="1">
        <v>1173.4698094600001</v>
      </c>
      <c r="M1501" s="1" t="s">
        <v>198</v>
      </c>
      <c r="N1501" s="1" t="b">
        <v>1</v>
      </c>
    </row>
    <row r="1502" spans="1:14" ht="19" customHeight="1" x14ac:dyDescent="0.3">
      <c r="A1502">
        <v>1497</v>
      </c>
      <c r="B1502" s="1">
        <v>6</v>
      </c>
      <c r="C1502" s="1">
        <v>50</v>
      </c>
      <c r="D1502" s="1">
        <v>5.5E-2</v>
      </c>
      <c r="E1502" s="1">
        <v>0.04</v>
      </c>
      <c r="F1502" s="1">
        <v>0</v>
      </c>
      <c r="G1502" s="1">
        <v>0</v>
      </c>
      <c r="H1502" s="1">
        <v>1.30525491356</v>
      </c>
      <c r="I1502" s="1">
        <v>1.4707225752199999</v>
      </c>
      <c r="J1502" s="1">
        <v>0.61554685420199995</v>
      </c>
      <c r="K1502" s="1">
        <v>6376.0732945500004</v>
      </c>
      <c r="L1502" s="1">
        <v>1413.8341807500001</v>
      </c>
      <c r="M1502" s="1" t="s">
        <v>198</v>
      </c>
      <c r="N1502" s="1" t="b">
        <v>1</v>
      </c>
    </row>
    <row r="1503" spans="1:14" ht="19" customHeight="1" x14ac:dyDescent="0.3">
      <c r="A1503">
        <v>1498</v>
      </c>
      <c r="B1503" s="1">
        <v>6</v>
      </c>
      <c r="C1503" s="1">
        <v>50</v>
      </c>
      <c r="D1503" s="1">
        <v>5.5E-2</v>
      </c>
      <c r="E1503" s="1">
        <v>0.04</v>
      </c>
      <c r="F1503" s="1">
        <v>0</v>
      </c>
      <c r="G1503" s="1">
        <v>1</v>
      </c>
      <c r="H1503" s="1">
        <v>1.30525491356</v>
      </c>
      <c r="I1503" s="1">
        <v>1.10304193141</v>
      </c>
      <c r="J1503" s="1">
        <v>0.50474842044599999</v>
      </c>
      <c r="K1503" s="1">
        <v>5531.5568158100004</v>
      </c>
      <c r="L1503" s="1">
        <v>1159.34402821</v>
      </c>
      <c r="M1503" s="1" t="s">
        <v>198</v>
      </c>
      <c r="N1503" s="1" t="b">
        <v>1</v>
      </c>
    </row>
    <row r="1504" spans="1:14" ht="19" customHeight="1" x14ac:dyDescent="0.3">
      <c r="A1504">
        <v>1499</v>
      </c>
      <c r="B1504" s="1">
        <v>6</v>
      </c>
      <c r="C1504" s="1">
        <v>50</v>
      </c>
      <c r="D1504" s="1">
        <v>5.5E-2</v>
      </c>
      <c r="E1504" s="1">
        <v>0.04</v>
      </c>
      <c r="F1504" s="1">
        <v>5</v>
      </c>
      <c r="G1504" s="1">
        <v>0</v>
      </c>
      <c r="H1504" s="1">
        <v>1.27621460659</v>
      </c>
      <c r="I1504" s="1">
        <v>1.4380008174900001</v>
      </c>
      <c r="J1504" s="1">
        <v>0.62304685420200001</v>
      </c>
      <c r="K1504" s="1">
        <v>6234.2135521800001</v>
      </c>
      <c r="L1504" s="1">
        <v>1431.0607432500001</v>
      </c>
      <c r="M1504" s="1" t="s">
        <v>198</v>
      </c>
      <c r="N1504" s="1" t="b">
        <v>1</v>
      </c>
    </row>
    <row r="1505" spans="1:14" ht="19" customHeight="1" x14ac:dyDescent="0.3">
      <c r="A1505">
        <v>1500</v>
      </c>
      <c r="B1505" s="1">
        <v>6</v>
      </c>
      <c r="C1505" s="1">
        <v>50</v>
      </c>
      <c r="D1505" s="1">
        <v>5.5E-2</v>
      </c>
      <c r="E1505" s="1">
        <v>0.04</v>
      </c>
      <c r="F1505" s="1">
        <v>5</v>
      </c>
      <c r="G1505" s="1">
        <v>1</v>
      </c>
      <c r="H1505" s="1">
        <v>1.27621460659</v>
      </c>
      <c r="I1505" s="1">
        <v>1.0785006131199999</v>
      </c>
      <c r="J1505" s="1">
        <v>0.51089842044599998</v>
      </c>
      <c r="K1505" s="1">
        <v>5408.4865202600004</v>
      </c>
      <c r="L1505" s="1">
        <v>1173.4698094600001</v>
      </c>
      <c r="M1505" s="1" t="s">
        <v>198</v>
      </c>
      <c r="N1505" s="1" t="b">
        <v>1</v>
      </c>
    </row>
    <row r="1506" spans="1:14" ht="19" customHeight="1" x14ac:dyDescent="0.3">
      <c r="A1506">
        <v>1501</v>
      </c>
      <c r="B1506" s="1">
        <v>6</v>
      </c>
      <c r="C1506" s="1">
        <v>50</v>
      </c>
      <c r="D1506" s="1">
        <v>5.5E-2</v>
      </c>
      <c r="E1506" s="1">
        <v>0.06</v>
      </c>
      <c r="F1506" s="1">
        <v>-5</v>
      </c>
      <c r="G1506" s="1">
        <v>0</v>
      </c>
      <c r="H1506" s="1">
        <v>1.3038442063</v>
      </c>
      <c r="I1506" s="1">
        <v>1.4794452170500001</v>
      </c>
      <c r="J1506" s="1">
        <v>0.62551945651899998</v>
      </c>
      <c r="K1506" s="1">
        <v>6392.8678942500001</v>
      </c>
      <c r="L1506" s="1">
        <v>1436.7400016900001</v>
      </c>
      <c r="M1506" s="1" t="s">
        <v>198</v>
      </c>
      <c r="N1506" s="1" t="b">
        <v>1</v>
      </c>
    </row>
    <row r="1507" spans="1:14" ht="19" customHeight="1" x14ac:dyDescent="0.3">
      <c r="A1507">
        <v>1502</v>
      </c>
      <c r="B1507" s="1">
        <v>6</v>
      </c>
      <c r="C1507" s="1">
        <v>50</v>
      </c>
      <c r="D1507" s="1">
        <v>5.5E-2</v>
      </c>
      <c r="E1507" s="1">
        <v>0.06</v>
      </c>
      <c r="F1507" s="1">
        <v>-5</v>
      </c>
      <c r="G1507" s="1">
        <v>1</v>
      </c>
      <c r="H1507" s="1">
        <v>1.3038442063</v>
      </c>
      <c r="I1507" s="1">
        <v>1.10958391279</v>
      </c>
      <c r="J1507" s="1">
        <v>0.51292595434499999</v>
      </c>
      <c r="K1507" s="1">
        <v>5543.34271102</v>
      </c>
      <c r="L1507" s="1">
        <v>1178.1268013900001</v>
      </c>
      <c r="M1507" s="1" t="s">
        <v>198</v>
      </c>
      <c r="N1507" s="1" t="b">
        <v>1</v>
      </c>
    </row>
    <row r="1508" spans="1:14" ht="19" customHeight="1" x14ac:dyDescent="0.3">
      <c r="A1508">
        <v>1503</v>
      </c>
      <c r="B1508" s="1">
        <v>6</v>
      </c>
      <c r="C1508" s="1">
        <v>50</v>
      </c>
      <c r="D1508" s="1">
        <v>5.5E-2</v>
      </c>
      <c r="E1508" s="1">
        <v>0.06</v>
      </c>
      <c r="F1508" s="1">
        <v>0</v>
      </c>
      <c r="G1508" s="1">
        <v>0</v>
      </c>
      <c r="H1508" s="1">
        <v>1.33351322576</v>
      </c>
      <c r="I1508" s="1">
        <v>1.51311004351</v>
      </c>
      <c r="J1508" s="1">
        <v>0.61801945651900003</v>
      </c>
      <c r="K1508" s="1">
        <v>6538.3378215900002</v>
      </c>
      <c r="L1508" s="1">
        <v>1419.5134391900001</v>
      </c>
      <c r="M1508" s="1" t="s">
        <v>198</v>
      </c>
      <c r="N1508" s="1" t="b">
        <v>1</v>
      </c>
    </row>
    <row r="1509" spans="1:14" ht="19" customHeight="1" x14ac:dyDescent="0.3">
      <c r="A1509">
        <v>1504</v>
      </c>
      <c r="B1509" s="1">
        <v>6</v>
      </c>
      <c r="C1509" s="1">
        <v>50</v>
      </c>
      <c r="D1509" s="1">
        <v>5.5E-2</v>
      </c>
      <c r="E1509" s="1">
        <v>0.06</v>
      </c>
      <c r="F1509" s="1">
        <v>0</v>
      </c>
      <c r="G1509" s="1">
        <v>1</v>
      </c>
      <c r="H1509" s="1">
        <v>1.33351322576</v>
      </c>
      <c r="I1509" s="1">
        <v>1.1348325326299999</v>
      </c>
      <c r="J1509" s="1">
        <v>0.506775954345</v>
      </c>
      <c r="K1509" s="1">
        <v>5669.4816637900003</v>
      </c>
      <c r="L1509" s="1">
        <v>1164.00102014</v>
      </c>
      <c r="M1509" s="1" t="s">
        <v>198</v>
      </c>
      <c r="N1509" s="1" t="b">
        <v>1</v>
      </c>
    </row>
    <row r="1510" spans="1:14" ht="19" customHeight="1" x14ac:dyDescent="0.3">
      <c r="A1510">
        <v>1505</v>
      </c>
      <c r="B1510" s="1">
        <v>6</v>
      </c>
      <c r="C1510" s="1">
        <v>50</v>
      </c>
      <c r="D1510" s="1">
        <v>5.5E-2</v>
      </c>
      <c r="E1510" s="1">
        <v>0.06</v>
      </c>
      <c r="F1510" s="1">
        <v>5</v>
      </c>
      <c r="G1510" s="1">
        <v>0</v>
      </c>
      <c r="H1510" s="1">
        <v>1.3038442063</v>
      </c>
      <c r="I1510" s="1">
        <v>1.4794452170500001</v>
      </c>
      <c r="J1510" s="1">
        <v>0.62551945651899998</v>
      </c>
      <c r="K1510" s="1">
        <v>6392.8678942500001</v>
      </c>
      <c r="L1510" s="1">
        <v>1436.7400016900001</v>
      </c>
      <c r="M1510" s="1" t="s">
        <v>198</v>
      </c>
      <c r="N1510" s="1" t="b">
        <v>1</v>
      </c>
    </row>
    <row r="1511" spans="1:14" ht="19" customHeight="1" x14ac:dyDescent="0.3">
      <c r="A1511">
        <v>1506</v>
      </c>
      <c r="B1511" s="1">
        <v>6</v>
      </c>
      <c r="C1511" s="1">
        <v>50</v>
      </c>
      <c r="D1511" s="1">
        <v>5.5E-2</v>
      </c>
      <c r="E1511" s="1">
        <v>0.06</v>
      </c>
      <c r="F1511" s="1">
        <v>5</v>
      </c>
      <c r="G1511" s="1">
        <v>1</v>
      </c>
      <c r="H1511" s="1">
        <v>1.3038442063</v>
      </c>
      <c r="I1511" s="1">
        <v>1.10958391279</v>
      </c>
      <c r="J1511" s="1">
        <v>0.51292595434499999</v>
      </c>
      <c r="K1511" s="1">
        <v>5543.34271102</v>
      </c>
      <c r="L1511" s="1">
        <v>1178.1268013900001</v>
      </c>
      <c r="M1511" s="1" t="s">
        <v>198</v>
      </c>
      <c r="N1511" s="1" t="b">
        <v>1</v>
      </c>
    </row>
    <row r="1512" spans="1:14" ht="19" customHeight="1" x14ac:dyDescent="0.3">
      <c r="A1512">
        <v>1507</v>
      </c>
      <c r="B1512" s="1">
        <v>6</v>
      </c>
      <c r="C1512" s="1">
        <v>50</v>
      </c>
      <c r="D1512" s="1">
        <v>5.5E-2</v>
      </c>
      <c r="E1512" s="1">
        <v>8.5000000000000006E-2</v>
      </c>
      <c r="F1512" s="1">
        <v>-5</v>
      </c>
      <c r="G1512" s="1">
        <v>0</v>
      </c>
      <c r="H1512" s="1">
        <v>1.2332096607900001</v>
      </c>
      <c r="I1512" s="1">
        <v>1.37349339878</v>
      </c>
      <c r="J1512" s="1">
        <v>0.61919829578100005</v>
      </c>
      <c r="K1512" s="1">
        <v>5987.2710899399999</v>
      </c>
      <c r="L1512" s="1">
        <v>1422.2210856199999</v>
      </c>
      <c r="M1512" s="1" t="s">
        <v>198</v>
      </c>
      <c r="N1512" s="1" t="b">
        <v>1</v>
      </c>
    </row>
    <row r="1513" spans="1:14" ht="19" customHeight="1" x14ac:dyDescent="0.3">
      <c r="A1513">
        <v>1508</v>
      </c>
      <c r="B1513" s="1">
        <v>6</v>
      </c>
      <c r="C1513" s="1">
        <v>50</v>
      </c>
      <c r="D1513" s="1">
        <v>5.5E-2</v>
      </c>
      <c r="E1513" s="1">
        <v>8.5000000000000006E-2</v>
      </c>
      <c r="F1513" s="1">
        <v>-5</v>
      </c>
      <c r="G1513" s="1">
        <v>1</v>
      </c>
      <c r="H1513" s="1">
        <v>1.2332096607900001</v>
      </c>
      <c r="I1513" s="1">
        <v>1.03012004908</v>
      </c>
      <c r="J1513" s="1">
        <v>0.50774260254000003</v>
      </c>
      <c r="K1513" s="1">
        <v>5198.5854273599998</v>
      </c>
      <c r="L1513" s="1">
        <v>1166.22129021</v>
      </c>
      <c r="M1513" s="1" t="s">
        <v>198</v>
      </c>
      <c r="N1513" s="1" t="b">
        <v>1</v>
      </c>
    </row>
    <row r="1514" spans="1:14" ht="19" customHeight="1" x14ac:dyDescent="0.3">
      <c r="A1514">
        <v>1509</v>
      </c>
      <c r="B1514" s="1">
        <v>6</v>
      </c>
      <c r="C1514" s="1">
        <v>50</v>
      </c>
      <c r="D1514" s="1">
        <v>5.5E-2</v>
      </c>
      <c r="E1514" s="1">
        <v>8.5000000000000006E-2</v>
      </c>
      <c r="F1514" s="1">
        <v>0</v>
      </c>
      <c r="G1514" s="1">
        <v>0</v>
      </c>
      <c r="H1514" s="1">
        <v>1.26127138875</v>
      </c>
      <c r="I1514" s="1">
        <v>1.40474728799</v>
      </c>
      <c r="J1514" s="1">
        <v>0.61169829578099999</v>
      </c>
      <c r="K1514" s="1">
        <v>6123.51164814</v>
      </c>
      <c r="L1514" s="1">
        <v>1404.9945231199999</v>
      </c>
      <c r="M1514" s="1" t="s">
        <v>198</v>
      </c>
      <c r="N1514" s="1" t="b">
        <v>1</v>
      </c>
    </row>
    <row r="1515" spans="1:14" ht="19" customHeight="1" x14ac:dyDescent="0.3">
      <c r="A1515">
        <v>1510</v>
      </c>
      <c r="B1515" s="1">
        <v>6</v>
      </c>
      <c r="C1515" s="1">
        <v>50</v>
      </c>
      <c r="D1515" s="1">
        <v>5.5E-2</v>
      </c>
      <c r="E1515" s="1">
        <v>8.5000000000000006E-2</v>
      </c>
      <c r="F1515" s="1">
        <v>0</v>
      </c>
      <c r="G1515" s="1">
        <v>1</v>
      </c>
      <c r="H1515" s="1">
        <v>1.26127138875</v>
      </c>
      <c r="I1515" s="1">
        <v>1.05356046599</v>
      </c>
      <c r="J1515" s="1">
        <v>0.50159260254000004</v>
      </c>
      <c r="K1515" s="1">
        <v>5316.8794163599996</v>
      </c>
      <c r="L1515" s="1">
        <v>1152.09550896</v>
      </c>
      <c r="M1515" s="1" t="s">
        <v>198</v>
      </c>
      <c r="N1515" s="1" t="b">
        <v>1</v>
      </c>
    </row>
    <row r="1516" spans="1:14" ht="19" customHeight="1" x14ac:dyDescent="0.3">
      <c r="A1516">
        <v>1511</v>
      </c>
      <c r="B1516" s="1">
        <v>6</v>
      </c>
      <c r="C1516" s="1">
        <v>50</v>
      </c>
      <c r="D1516" s="1">
        <v>5.5E-2</v>
      </c>
      <c r="E1516" s="1">
        <v>8.5000000000000006E-2</v>
      </c>
      <c r="F1516" s="1">
        <v>5</v>
      </c>
      <c r="G1516" s="1">
        <v>0</v>
      </c>
      <c r="H1516" s="1">
        <v>1.2332096607900001</v>
      </c>
      <c r="I1516" s="1">
        <v>1.37349339878</v>
      </c>
      <c r="J1516" s="1">
        <v>0.61919829578100005</v>
      </c>
      <c r="K1516" s="1">
        <v>5987.2710899399999</v>
      </c>
      <c r="L1516" s="1">
        <v>1422.2210856199999</v>
      </c>
      <c r="M1516" s="1" t="s">
        <v>198</v>
      </c>
      <c r="N1516" s="1" t="b">
        <v>1</v>
      </c>
    </row>
    <row r="1517" spans="1:14" ht="19" customHeight="1" x14ac:dyDescent="0.3">
      <c r="A1517">
        <v>1512</v>
      </c>
      <c r="B1517" s="1">
        <v>6</v>
      </c>
      <c r="C1517" s="1">
        <v>50</v>
      </c>
      <c r="D1517" s="1">
        <v>5.5E-2</v>
      </c>
      <c r="E1517" s="1">
        <v>8.5000000000000006E-2</v>
      </c>
      <c r="F1517" s="1">
        <v>5</v>
      </c>
      <c r="G1517" s="1">
        <v>1</v>
      </c>
      <c r="H1517" s="1">
        <v>1.2332096607900001</v>
      </c>
      <c r="I1517" s="1">
        <v>1.03012004908</v>
      </c>
      <c r="J1517" s="1">
        <v>0.50774260254000003</v>
      </c>
      <c r="K1517" s="1">
        <v>5198.5854273599998</v>
      </c>
      <c r="L1517" s="1">
        <v>1166.22129021</v>
      </c>
      <c r="M1517" s="1" t="s">
        <v>198</v>
      </c>
      <c r="N1517" s="1" t="b">
        <v>1</v>
      </c>
    </row>
    <row r="1518" spans="1:14" ht="19" customHeight="1" x14ac:dyDescent="0.3">
      <c r="A1518">
        <v>1513</v>
      </c>
      <c r="B1518" s="1">
        <v>6</v>
      </c>
      <c r="C1518" s="1">
        <v>70</v>
      </c>
      <c r="D1518" s="1">
        <v>2.5000000000000001E-2</v>
      </c>
      <c r="E1518" s="1">
        <v>0.04</v>
      </c>
      <c r="F1518" s="1">
        <v>-5</v>
      </c>
      <c r="G1518" s="1">
        <v>0</v>
      </c>
      <c r="H1518" s="1">
        <v>1.4101108952000001</v>
      </c>
      <c r="I1518" s="1">
        <v>1.6388452504</v>
      </c>
      <c r="J1518" s="1">
        <v>0.63502937573499996</v>
      </c>
      <c r="K1518" s="1">
        <v>13726.019447999999</v>
      </c>
      <c r="L1518" s="1">
        <v>2858.8228708900001</v>
      </c>
      <c r="M1518" s="1" t="s">
        <v>198</v>
      </c>
      <c r="N1518" s="1" t="b">
        <v>1</v>
      </c>
    </row>
    <row r="1519" spans="1:14" ht="19" customHeight="1" x14ac:dyDescent="0.3">
      <c r="A1519">
        <v>1514</v>
      </c>
      <c r="B1519" s="1">
        <v>6</v>
      </c>
      <c r="C1519" s="1">
        <v>70</v>
      </c>
      <c r="D1519" s="1">
        <v>2.5000000000000001E-2</v>
      </c>
      <c r="E1519" s="1">
        <v>0.04</v>
      </c>
      <c r="F1519" s="1">
        <v>-5</v>
      </c>
      <c r="G1519" s="1">
        <v>1</v>
      </c>
      <c r="H1519" s="1">
        <v>1.4101108952000001</v>
      </c>
      <c r="I1519" s="1">
        <v>1.2291339377999999</v>
      </c>
      <c r="J1519" s="1">
        <v>0.52072408810299997</v>
      </c>
      <c r="K1519" s="1">
        <v>11881.5503326</v>
      </c>
      <c r="L1519" s="1">
        <v>2344.2347541300001</v>
      </c>
      <c r="M1519" s="1" t="s">
        <v>198</v>
      </c>
      <c r="N1519" s="1" t="b">
        <v>1</v>
      </c>
    </row>
    <row r="1520" spans="1:14" ht="19" customHeight="1" x14ac:dyDescent="0.3">
      <c r="A1520">
        <v>1515</v>
      </c>
      <c r="B1520" s="1">
        <v>6</v>
      </c>
      <c r="C1520" s="1">
        <v>70</v>
      </c>
      <c r="D1520" s="1">
        <v>2.5000000000000001E-2</v>
      </c>
      <c r="E1520" s="1">
        <v>0.04</v>
      </c>
      <c r="F1520" s="1">
        <v>0</v>
      </c>
      <c r="G1520" s="1">
        <v>0</v>
      </c>
      <c r="H1520" s="1">
        <v>1.4421980167999999</v>
      </c>
      <c r="I1520" s="1">
        <v>1.6761372300699999</v>
      </c>
      <c r="J1520" s="1">
        <v>0.62752937573500001</v>
      </c>
      <c r="K1520" s="1">
        <v>14038.3554895</v>
      </c>
      <c r="L1520" s="1">
        <v>2825.0588083900002</v>
      </c>
      <c r="M1520" s="1" t="s">
        <v>198</v>
      </c>
      <c r="N1520" s="1" t="b">
        <v>1</v>
      </c>
    </row>
    <row r="1521" spans="1:14" ht="19" customHeight="1" x14ac:dyDescent="0.3">
      <c r="A1521">
        <v>1516</v>
      </c>
      <c r="B1521" s="1">
        <v>6</v>
      </c>
      <c r="C1521" s="1">
        <v>70</v>
      </c>
      <c r="D1521" s="1">
        <v>2.5000000000000001E-2</v>
      </c>
      <c r="E1521" s="1">
        <v>0.04</v>
      </c>
      <c r="F1521" s="1">
        <v>0</v>
      </c>
      <c r="G1521" s="1">
        <v>1</v>
      </c>
      <c r="H1521" s="1">
        <v>1.4421980167999999</v>
      </c>
      <c r="I1521" s="1">
        <v>1.2571029225499999</v>
      </c>
      <c r="J1521" s="1">
        <v>0.51457408810299998</v>
      </c>
      <c r="K1521" s="1">
        <v>12151.9154163</v>
      </c>
      <c r="L1521" s="1">
        <v>2316.5482228800001</v>
      </c>
      <c r="M1521" s="1" t="s">
        <v>198</v>
      </c>
      <c r="N1521" s="1" t="b">
        <v>1</v>
      </c>
    </row>
    <row r="1522" spans="1:14" ht="19" customHeight="1" x14ac:dyDescent="0.3">
      <c r="A1522">
        <v>1517</v>
      </c>
      <c r="B1522" s="1">
        <v>6</v>
      </c>
      <c r="C1522" s="1">
        <v>70</v>
      </c>
      <c r="D1522" s="1">
        <v>2.5000000000000001E-2</v>
      </c>
      <c r="E1522" s="1">
        <v>0.04</v>
      </c>
      <c r="F1522" s="1">
        <v>5</v>
      </c>
      <c r="G1522" s="1">
        <v>0</v>
      </c>
      <c r="H1522" s="1">
        <v>1.4101108952000001</v>
      </c>
      <c r="I1522" s="1">
        <v>1.6388452504</v>
      </c>
      <c r="J1522" s="1">
        <v>0.63502937573499996</v>
      </c>
      <c r="K1522" s="1">
        <v>13726.019447999999</v>
      </c>
      <c r="L1522" s="1">
        <v>2858.8228708900001</v>
      </c>
      <c r="M1522" s="1" t="s">
        <v>198</v>
      </c>
      <c r="N1522" s="1" t="b">
        <v>1</v>
      </c>
    </row>
    <row r="1523" spans="1:14" ht="19" customHeight="1" x14ac:dyDescent="0.3">
      <c r="A1523">
        <v>1518</v>
      </c>
      <c r="B1523" s="1">
        <v>6</v>
      </c>
      <c r="C1523" s="1">
        <v>70</v>
      </c>
      <c r="D1523" s="1">
        <v>2.5000000000000001E-2</v>
      </c>
      <c r="E1523" s="1">
        <v>0.04</v>
      </c>
      <c r="F1523" s="1">
        <v>5</v>
      </c>
      <c r="G1523" s="1">
        <v>1</v>
      </c>
      <c r="H1523" s="1">
        <v>1.4101108952000001</v>
      </c>
      <c r="I1523" s="1">
        <v>1.2291339377999999</v>
      </c>
      <c r="J1523" s="1">
        <v>0.52072408810299997</v>
      </c>
      <c r="K1523" s="1">
        <v>11881.5503326</v>
      </c>
      <c r="L1523" s="1">
        <v>2344.2347541300001</v>
      </c>
      <c r="M1523" s="1" t="s">
        <v>198</v>
      </c>
      <c r="N1523" s="1" t="b">
        <v>1</v>
      </c>
    </row>
    <row r="1524" spans="1:14" ht="19" customHeight="1" x14ac:dyDescent="0.3">
      <c r="A1524">
        <v>1519</v>
      </c>
      <c r="B1524" s="1">
        <v>6</v>
      </c>
      <c r="C1524" s="1">
        <v>70</v>
      </c>
      <c r="D1524" s="1">
        <v>2.5000000000000001E-2</v>
      </c>
      <c r="E1524" s="1">
        <v>0.06</v>
      </c>
      <c r="F1524" s="1">
        <v>-5</v>
      </c>
      <c r="G1524" s="1">
        <v>0</v>
      </c>
      <c r="H1524" s="1">
        <v>1.45072590884</v>
      </c>
      <c r="I1524" s="1">
        <v>1.6997677708600001</v>
      </c>
      <c r="J1524" s="1">
        <v>0.63866405658000003</v>
      </c>
      <c r="K1524" s="1">
        <v>14183.1287343</v>
      </c>
      <c r="L1524" s="1">
        <v>2875.1857497199999</v>
      </c>
      <c r="M1524" s="1" t="s">
        <v>198</v>
      </c>
      <c r="N1524" s="1" t="b">
        <v>1</v>
      </c>
    </row>
    <row r="1525" spans="1:14" ht="19" customHeight="1" x14ac:dyDescent="0.3">
      <c r="A1525">
        <v>1520</v>
      </c>
      <c r="B1525" s="1">
        <v>6</v>
      </c>
      <c r="C1525" s="1">
        <v>70</v>
      </c>
      <c r="D1525" s="1">
        <v>2.5000000000000001E-2</v>
      </c>
      <c r="E1525" s="1">
        <v>0.06</v>
      </c>
      <c r="F1525" s="1">
        <v>-5</v>
      </c>
      <c r="G1525" s="1">
        <v>1</v>
      </c>
      <c r="H1525" s="1">
        <v>1.45072590884</v>
      </c>
      <c r="I1525" s="1">
        <v>1.27482582814</v>
      </c>
      <c r="J1525" s="1">
        <v>0.52370452639599996</v>
      </c>
      <c r="K1525" s="1">
        <v>12270.0932259</v>
      </c>
      <c r="L1525" s="1">
        <v>2357.65231477</v>
      </c>
      <c r="M1525" s="1" t="s">
        <v>198</v>
      </c>
      <c r="N1525" s="1" t="b">
        <v>1</v>
      </c>
    </row>
    <row r="1526" spans="1:14" ht="19" customHeight="1" x14ac:dyDescent="0.3">
      <c r="A1526">
        <v>1521</v>
      </c>
      <c r="B1526" s="1">
        <v>6</v>
      </c>
      <c r="C1526" s="1">
        <v>70</v>
      </c>
      <c r="D1526" s="1">
        <v>2.5000000000000001E-2</v>
      </c>
      <c r="E1526" s="1">
        <v>0.06</v>
      </c>
      <c r="F1526" s="1">
        <v>0</v>
      </c>
      <c r="G1526" s="1">
        <v>0</v>
      </c>
      <c r="H1526" s="1">
        <v>1.4837372264599999</v>
      </c>
      <c r="I1526" s="1">
        <v>1.7384460445500001</v>
      </c>
      <c r="J1526" s="1">
        <v>0.63116405657999997</v>
      </c>
      <c r="K1526" s="1">
        <v>14505.8663132</v>
      </c>
      <c r="L1526" s="1">
        <v>2841.42168722</v>
      </c>
      <c r="M1526" s="1" t="s">
        <v>198</v>
      </c>
      <c r="N1526" s="1" t="b">
        <v>1</v>
      </c>
    </row>
    <row r="1527" spans="1:14" ht="19" customHeight="1" x14ac:dyDescent="0.3">
      <c r="A1527">
        <v>1522</v>
      </c>
      <c r="B1527" s="1">
        <v>6</v>
      </c>
      <c r="C1527" s="1">
        <v>70</v>
      </c>
      <c r="D1527" s="1">
        <v>2.5000000000000001E-2</v>
      </c>
      <c r="E1527" s="1">
        <v>0.06</v>
      </c>
      <c r="F1527" s="1">
        <v>0</v>
      </c>
      <c r="G1527" s="1">
        <v>1</v>
      </c>
      <c r="H1527" s="1">
        <v>1.4837372264599999</v>
      </c>
      <c r="I1527" s="1">
        <v>1.3038345334200001</v>
      </c>
      <c r="J1527" s="1">
        <v>0.51755452639599997</v>
      </c>
      <c r="K1527" s="1">
        <v>12549.2996165</v>
      </c>
      <c r="L1527" s="1">
        <v>2329.9657835200001</v>
      </c>
      <c r="M1527" s="1" t="s">
        <v>198</v>
      </c>
      <c r="N1527" s="1" t="b">
        <v>1</v>
      </c>
    </row>
    <row r="1528" spans="1:14" ht="19" customHeight="1" x14ac:dyDescent="0.3">
      <c r="A1528">
        <v>1523</v>
      </c>
      <c r="B1528" s="1">
        <v>6</v>
      </c>
      <c r="C1528" s="1">
        <v>70</v>
      </c>
      <c r="D1528" s="1">
        <v>2.5000000000000001E-2</v>
      </c>
      <c r="E1528" s="1">
        <v>0.06</v>
      </c>
      <c r="F1528" s="1">
        <v>5</v>
      </c>
      <c r="G1528" s="1">
        <v>0</v>
      </c>
      <c r="H1528" s="1">
        <v>1.45072590884</v>
      </c>
      <c r="I1528" s="1">
        <v>1.6997677708600001</v>
      </c>
      <c r="J1528" s="1">
        <v>0.63866405658000003</v>
      </c>
      <c r="K1528" s="1">
        <v>14183.1287343</v>
      </c>
      <c r="L1528" s="1">
        <v>2875.1857497199999</v>
      </c>
      <c r="M1528" s="1" t="s">
        <v>198</v>
      </c>
      <c r="N1528" s="1" t="b">
        <v>1</v>
      </c>
    </row>
    <row r="1529" spans="1:14" ht="19" customHeight="1" x14ac:dyDescent="0.3">
      <c r="A1529">
        <v>1524</v>
      </c>
      <c r="B1529" s="1">
        <v>6</v>
      </c>
      <c r="C1529" s="1">
        <v>70</v>
      </c>
      <c r="D1529" s="1">
        <v>2.5000000000000001E-2</v>
      </c>
      <c r="E1529" s="1">
        <v>0.06</v>
      </c>
      <c r="F1529" s="1">
        <v>5</v>
      </c>
      <c r="G1529" s="1">
        <v>1</v>
      </c>
      <c r="H1529" s="1">
        <v>1.45072590884</v>
      </c>
      <c r="I1529" s="1">
        <v>1.27482582814</v>
      </c>
      <c r="J1529" s="1">
        <v>0.52370452639599996</v>
      </c>
      <c r="K1529" s="1">
        <v>12270.0932259</v>
      </c>
      <c r="L1529" s="1">
        <v>2357.65231477</v>
      </c>
      <c r="M1529" s="1" t="s">
        <v>198</v>
      </c>
      <c r="N1529" s="1" t="b">
        <v>1</v>
      </c>
    </row>
    <row r="1530" spans="1:14" ht="19" customHeight="1" x14ac:dyDescent="0.3">
      <c r="A1530">
        <v>1525</v>
      </c>
      <c r="B1530" s="1">
        <v>6</v>
      </c>
      <c r="C1530" s="1">
        <v>70</v>
      </c>
      <c r="D1530" s="1">
        <v>2.5000000000000001E-2</v>
      </c>
      <c r="E1530" s="1">
        <v>8.5000000000000006E-2</v>
      </c>
      <c r="F1530" s="1">
        <v>-5</v>
      </c>
      <c r="G1530" s="1">
        <v>0</v>
      </c>
      <c r="H1530" s="1">
        <v>1.34689439989</v>
      </c>
      <c r="I1530" s="1">
        <v>1.54402050744</v>
      </c>
      <c r="J1530" s="1">
        <v>0.62937206421299996</v>
      </c>
      <c r="K1530" s="1">
        <v>13014.5375484</v>
      </c>
      <c r="L1530" s="1">
        <v>2833.3543615799999</v>
      </c>
      <c r="M1530" s="1" t="s">
        <v>198</v>
      </c>
      <c r="N1530" s="1" t="b">
        <v>1</v>
      </c>
    </row>
    <row r="1531" spans="1:14" ht="19" customHeight="1" x14ac:dyDescent="0.3">
      <c r="A1531">
        <v>1526</v>
      </c>
      <c r="B1531" s="1">
        <v>6</v>
      </c>
      <c r="C1531" s="1">
        <v>70</v>
      </c>
      <c r="D1531" s="1">
        <v>2.5000000000000001E-2</v>
      </c>
      <c r="E1531" s="1">
        <v>8.5000000000000006E-2</v>
      </c>
      <c r="F1531" s="1">
        <v>-5</v>
      </c>
      <c r="G1531" s="1">
        <v>1</v>
      </c>
      <c r="H1531" s="1">
        <v>1.34689439989</v>
      </c>
      <c r="I1531" s="1">
        <v>1.15801538058</v>
      </c>
      <c r="J1531" s="1">
        <v>0.51608509265500002</v>
      </c>
      <c r="K1531" s="1">
        <v>11276.790718</v>
      </c>
      <c r="L1531" s="1">
        <v>2323.3505765</v>
      </c>
      <c r="M1531" s="1" t="s">
        <v>198</v>
      </c>
      <c r="N1531" s="1" t="b">
        <v>1</v>
      </c>
    </row>
    <row r="1532" spans="1:14" ht="19" customHeight="1" x14ac:dyDescent="0.3">
      <c r="A1532">
        <v>1527</v>
      </c>
      <c r="B1532" s="1">
        <v>6</v>
      </c>
      <c r="C1532" s="1">
        <v>70</v>
      </c>
      <c r="D1532" s="1">
        <v>2.5000000000000001E-2</v>
      </c>
      <c r="E1532" s="1">
        <v>8.5000000000000006E-2</v>
      </c>
      <c r="F1532" s="1">
        <v>0</v>
      </c>
      <c r="G1532" s="1">
        <v>0</v>
      </c>
      <c r="H1532" s="1">
        <v>1.3775430279800001</v>
      </c>
      <c r="I1532" s="1">
        <v>1.57915474684</v>
      </c>
      <c r="J1532" s="1">
        <v>0.62187206421300001</v>
      </c>
      <c r="K1532" s="1">
        <v>13310.683795000001</v>
      </c>
      <c r="L1532" s="1">
        <v>2799.59029908</v>
      </c>
      <c r="M1532" s="1" t="s">
        <v>198</v>
      </c>
      <c r="N1532" s="1" t="b">
        <v>1</v>
      </c>
    </row>
    <row r="1533" spans="1:14" ht="19" customHeight="1" x14ac:dyDescent="0.3">
      <c r="A1533">
        <v>1528</v>
      </c>
      <c r="B1533" s="1">
        <v>6</v>
      </c>
      <c r="C1533" s="1">
        <v>70</v>
      </c>
      <c r="D1533" s="1">
        <v>2.5000000000000001E-2</v>
      </c>
      <c r="E1533" s="1">
        <v>8.5000000000000006E-2</v>
      </c>
      <c r="F1533" s="1">
        <v>0</v>
      </c>
      <c r="G1533" s="1">
        <v>1</v>
      </c>
      <c r="H1533" s="1">
        <v>1.3775430279800001</v>
      </c>
      <c r="I1533" s="1">
        <v>1.1843660601299999</v>
      </c>
      <c r="J1533" s="1">
        <v>0.50993509265500003</v>
      </c>
      <c r="K1533" s="1">
        <v>11533.394475999999</v>
      </c>
      <c r="L1533" s="1">
        <v>2295.6640452500001</v>
      </c>
      <c r="M1533" s="1" t="s">
        <v>198</v>
      </c>
      <c r="N1533" s="1" t="b">
        <v>1</v>
      </c>
    </row>
    <row r="1534" spans="1:14" ht="19" customHeight="1" x14ac:dyDescent="0.3">
      <c r="A1534">
        <v>1529</v>
      </c>
      <c r="B1534" s="1">
        <v>6</v>
      </c>
      <c r="C1534" s="1">
        <v>70</v>
      </c>
      <c r="D1534" s="1">
        <v>2.5000000000000001E-2</v>
      </c>
      <c r="E1534" s="1">
        <v>8.5000000000000006E-2</v>
      </c>
      <c r="F1534" s="1">
        <v>5</v>
      </c>
      <c r="G1534" s="1">
        <v>0</v>
      </c>
      <c r="H1534" s="1">
        <v>1.34689439989</v>
      </c>
      <c r="I1534" s="1">
        <v>1.54402050744</v>
      </c>
      <c r="J1534" s="1">
        <v>0.62937206421299996</v>
      </c>
      <c r="K1534" s="1">
        <v>13014.5375484</v>
      </c>
      <c r="L1534" s="1">
        <v>2833.3543615799999</v>
      </c>
      <c r="M1534" s="1" t="s">
        <v>198</v>
      </c>
      <c r="N1534" s="1" t="b">
        <v>1</v>
      </c>
    </row>
    <row r="1535" spans="1:14" ht="19" customHeight="1" x14ac:dyDescent="0.3">
      <c r="A1535">
        <v>1530</v>
      </c>
      <c r="B1535" s="1">
        <v>6</v>
      </c>
      <c r="C1535" s="1">
        <v>70</v>
      </c>
      <c r="D1535" s="1">
        <v>2.5000000000000001E-2</v>
      </c>
      <c r="E1535" s="1">
        <v>8.5000000000000006E-2</v>
      </c>
      <c r="F1535" s="1">
        <v>5</v>
      </c>
      <c r="G1535" s="1">
        <v>1</v>
      </c>
      <c r="H1535" s="1">
        <v>1.34689439989</v>
      </c>
      <c r="I1535" s="1">
        <v>1.15801538058</v>
      </c>
      <c r="J1535" s="1">
        <v>0.51608509265500002</v>
      </c>
      <c r="K1535" s="1">
        <v>11276.790718</v>
      </c>
      <c r="L1535" s="1">
        <v>2323.3505765</v>
      </c>
      <c r="M1535" s="1" t="s">
        <v>198</v>
      </c>
      <c r="N1535" s="1" t="b">
        <v>1</v>
      </c>
    </row>
    <row r="1536" spans="1:14" ht="19" customHeight="1" x14ac:dyDescent="0.3">
      <c r="A1536">
        <v>1531</v>
      </c>
      <c r="B1536" s="1">
        <v>6</v>
      </c>
      <c r="C1536" s="1">
        <v>70</v>
      </c>
      <c r="D1536" s="1">
        <v>0.04</v>
      </c>
      <c r="E1536" s="1">
        <v>0.04</v>
      </c>
      <c r="F1536" s="1">
        <v>-5</v>
      </c>
      <c r="G1536" s="1">
        <v>0</v>
      </c>
      <c r="H1536" s="1">
        <v>1.41609970865</v>
      </c>
      <c r="I1536" s="1">
        <v>1.6478284705799999</v>
      </c>
      <c r="J1536" s="1">
        <v>0.63556532103200003</v>
      </c>
      <c r="K1536" s="1">
        <v>13793.4216719</v>
      </c>
      <c r="L1536" s="1">
        <v>2861.2356296200001</v>
      </c>
      <c r="M1536" s="1" t="s">
        <v>198</v>
      </c>
      <c r="N1536" s="1" t="b">
        <v>1</v>
      </c>
    </row>
    <row r="1537" spans="1:14" ht="19" customHeight="1" x14ac:dyDescent="0.3">
      <c r="A1537">
        <v>1532</v>
      </c>
      <c r="B1537" s="1">
        <v>6</v>
      </c>
      <c r="C1537" s="1">
        <v>70</v>
      </c>
      <c r="D1537" s="1">
        <v>0.04</v>
      </c>
      <c r="E1537" s="1">
        <v>0.04</v>
      </c>
      <c r="F1537" s="1">
        <v>-5</v>
      </c>
      <c r="G1537" s="1">
        <v>1</v>
      </c>
      <c r="H1537" s="1">
        <v>1.41609970865</v>
      </c>
      <c r="I1537" s="1">
        <v>1.2358713529400001</v>
      </c>
      <c r="J1537" s="1">
        <v>0.52116356324599999</v>
      </c>
      <c r="K1537" s="1">
        <v>11938.842222900001</v>
      </c>
      <c r="L1537" s="1">
        <v>2346.2132162900002</v>
      </c>
      <c r="M1537" s="1" t="s">
        <v>198</v>
      </c>
      <c r="N1537" s="1" t="b">
        <v>1</v>
      </c>
    </row>
    <row r="1538" spans="1:14" ht="19" customHeight="1" x14ac:dyDescent="0.3">
      <c r="A1538">
        <v>1533</v>
      </c>
      <c r="B1538" s="1">
        <v>6</v>
      </c>
      <c r="C1538" s="1">
        <v>70</v>
      </c>
      <c r="D1538" s="1">
        <v>0.04</v>
      </c>
      <c r="E1538" s="1">
        <v>0.04</v>
      </c>
      <c r="F1538" s="1">
        <v>0</v>
      </c>
      <c r="G1538" s="1">
        <v>0</v>
      </c>
      <c r="H1538" s="1">
        <v>1.4483231058999999</v>
      </c>
      <c r="I1538" s="1">
        <v>1.68532486373</v>
      </c>
      <c r="J1538" s="1">
        <v>0.62806532103199997</v>
      </c>
      <c r="K1538" s="1">
        <v>14107.2914533</v>
      </c>
      <c r="L1538" s="1">
        <v>2827.4715671200001</v>
      </c>
      <c r="M1538" s="1" t="s">
        <v>198</v>
      </c>
      <c r="N1538" s="1" t="b">
        <v>1</v>
      </c>
    </row>
    <row r="1539" spans="1:14" ht="19" customHeight="1" x14ac:dyDescent="0.3">
      <c r="A1539">
        <v>1534</v>
      </c>
      <c r="B1539" s="1">
        <v>6</v>
      </c>
      <c r="C1539" s="1">
        <v>70</v>
      </c>
      <c r="D1539" s="1">
        <v>0.04</v>
      </c>
      <c r="E1539" s="1">
        <v>0.04</v>
      </c>
      <c r="F1539" s="1">
        <v>0</v>
      </c>
      <c r="G1539" s="1">
        <v>1</v>
      </c>
      <c r="H1539" s="1">
        <v>1.4483231058999999</v>
      </c>
      <c r="I1539" s="1">
        <v>1.2639936478</v>
      </c>
      <c r="J1539" s="1">
        <v>0.51501356324600001</v>
      </c>
      <c r="K1539" s="1">
        <v>12210.5109856</v>
      </c>
      <c r="L1539" s="1">
        <v>2318.5266850399998</v>
      </c>
      <c r="M1539" s="1" t="s">
        <v>198</v>
      </c>
      <c r="N1539" s="1" t="b">
        <v>1</v>
      </c>
    </row>
    <row r="1540" spans="1:14" ht="19" customHeight="1" x14ac:dyDescent="0.3">
      <c r="A1540">
        <v>1535</v>
      </c>
      <c r="B1540" s="1">
        <v>6</v>
      </c>
      <c r="C1540" s="1">
        <v>70</v>
      </c>
      <c r="D1540" s="1">
        <v>0.04</v>
      </c>
      <c r="E1540" s="1">
        <v>0.04</v>
      </c>
      <c r="F1540" s="1">
        <v>5</v>
      </c>
      <c r="G1540" s="1">
        <v>0</v>
      </c>
      <c r="H1540" s="1">
        <v>1.41609970865</v>
      </c>
      <c r="I1540" s="1">
        <v>1.6478284705799999</v>
      </c>
      <c r="J1540" s="1">
        <v>0.63556532103200003</v>
      </c>
      <c r="K1540" s="1">
        <v>13793.4216719</v>
      </c>
      <c r="L1540" s="1">
        <v>2861.2356296200001</v>
      </c>
      <c r="M1540" s="1" t="s">
        <v>198</v>
      </c>
      <c r="N1540" s="1" t="b">
        <v>1</v>
      </c>
    </row>
    <row r="1541" spans="1:14" ht="19" customHeight="1" x14ac:dyDescent="0.3">
      <c r="A1541">
        <v>1536</v>
      </c>
      <c r="B1541" s="1">
        <v>6</v>
      </c>
      <c r="C1541" s="1">
        <v>70</v>
      </c>
      <c r="D1541" s="1">
        <v>0.04</v>
      </c>
      <c r="E1541" s="1">
        <v>0.04</v>
      </c>
      <c r="F1541" s="1">
        <v>5</v>
      </c>
      <c r="G1541" s="1">
        <v>1</v>
      </c>
      <c r="H1541" s="1">
        <v>1.41609970865</v>
      </c>
      <c r="I1541" s="1">
        <v>1.2358713529400001</v>
      </c>
      <c r="J1541" s="1">
        <v>0.52116356324599999</v>
      </c>
      <c r="K1541" s="1">
        <v>11938.842222900001</v>
      </c>
      <c r="L1541" s="1">
        <v>2346.2132162900002</v>
      </c>
      <c r="M1541" s="1" t="s">
        <v>198</v>
      </c>
      <c r="N1541" s="1" t="b">
        <v>1</v>
      </c>
    </row>
    <row r="1542" spans="1:14" ht="19" customHeight="1" x14ac:dyDescent="0.3">
      <c r="A1542">
        <v>1537</v>
      </c>
      <c r="B1542" s="1">
        <v>6</v>
      </c>
      <c r="C1542" s="1">
        <v>70</v>
      </c>
      <c r="D1542" s="1">
        <v>0.04</v>
      </c>
      <c r="E1542" s="1">
        <v>0.06</v>
      </c>
      <c r="F1542" s="1">
        <v>-5</v>
      </c>
      <c r="G1542" s="1">
        <v>0</v>
      </c>
      <c r="H1542" s="1">
        <v>1.4572955242100001</v>
      </c>
      <c r="I1542" s="1">
        <v>1.70962219392</v>
      </c>
      <c r="J1542" s="1">
        <v>0.63925197846000004</v>
      </c>
      <c r="K1542" s="1">
        <v>14257.067702300001</v>
      </c>
      <c r="L1542" s="1">
        <v>2877.8325005299998</v>
      </c>
      <c r="M1542" s="1" t="s">
        <v>198</v>
      </c>
      <c r="N1542" s="1" t="b">
        <v>1</v>
      </c>
    </row>
    <row r="1543" spans="1:14" ht="19" customHeight="1" x14ac:dyDescent="0.3">
      <c r="A1543">
        <v>1538</v>
      </c>
      <c r="B1543" s="1">
        <v>6</v>
      </c>
      <c r="C1543" s="1">
        <v>70</v>
      </c>
      <c r="D1543" s="1">
        <v>0.04</v>
      </c>
      <c r="E1543" s="1">
        <v>0.06</v>
      </c>
      <c r="F1543" s="1">
        <v>-5</v>
      </c>
      <c r="G1543" s="1">
        <v>1</v>
      </c>
      <c r="H1543" s="1">
        <v>1.4572955242100001</v>
      </c>
      <c r="I1543" s="1">
        <v>1.2822166454399999</v>
      </c>
      <c r="J1543" s="1">
        <v>0.52418662233699997</v>
      </c>
      <c r="K1543" s="1">
        <v>12332.9413487</v>
      </c>
      <c r="L1543" s="1">
        <v>2359.8226504300001</v>
      </c>
      <c r="M1543" s="1" t="s">
        <v>198</v>
      </c>
      <c r="N1543" s="1" t="b">
        <v>1</v>
      </c>
    </row>
    <row r="1544" spans="1:14" ht="19" customHeight="1" x14ac:dyDescent="0.3">
      <c r="A1544">
        <v>1539</v>
      </c>
      <c r="B1544" s="1">
        <v>6</v>
      </c>
      <c r="C1544" s="1">
        <v>70</v>
      </c>
      <c r="D1544" s="1">
        <v>0.04</v>
      </c>
      <c r="E1544" s="1">
        <v>0.06</v>
      </c>
      <c r="F1544" s="1">
        <v>0</v>
      </c>
      <c r="G1544" s="1">
        <v>0</v>
      </c>
      <c r="H1544" s="1">
        <v>1.4904563336500001</v>
      </c>
      <c r="I1544" s="1">
        <v>1.7485247053499999</v>
      </c>
      <c r="J1544" s="1">
        <v>0.63175197845999997</v>
      </c>
      <c r="K1544" s="1">
        <v>14581.487764899999</v>
      </c>
      <c r="L1544" s="1">
        <v>2844.0684380299999</v>
      </c>
      <c r="M1544" s="1" t="s">
        <v>198</v>
      </c>
      <c r="N1544" s="1" t="b">
        <v>1</v>
      </c>
    </row>
    <row r="1545" spans="1:14" ht="19" customHeight="1" x14ac:dyDescent="0.3">
      <c r="A1545">
        <v>1540</v>
      </c>
      <c r="B1545" s="1">
        <v>6</v>
      </c>
      <c r="C1545" s="1">
        <v>70</v>
      </c>
      <c r="D1545" s="1">
        <v>0.04</v>
      </c>
      <c r="E1545" s="1">
        <v>0.06</v>
      </c>
      <c r="F1545" s="1">
        <v>0</v>
      </c>
      <c r="G1545" s="1">
        <v>1</v>
      </c>
      <c r="H1545" s="1">
        <v>1.4904563336500001</v>
      </c>
      <c r="I1545" s="1">
        <v>1.3113935290100001</v>
      </c>
      <c r="J1545" s="1">
        <v>0.51803662233699999</v>
      </c>
      <c r="K1545" s="1">
        <v>12613.5778505</v>
      </c>
      <c r="L1545" s="1">
        <v>2332.1361191800002</v>
      </c>
      <c r="M1545" s="1" t="s">
        <v>198</v>
      </c>
      <c r="N1545" s="1" t="b">
        <v>1</v>
      </c>
    </row>
    <row r="1546" spans="1:14" ht="19" customHeight="1" x14ac:dyDescent="0.3">
      <c r="A1546">
        <v>1541</v>
      </c>
      <c r="B1546" s="1">
        <v>6</v>
      </c>
      <c r="C1546" s="1">
        <v>70</v>
      </c>
      <c r="D1546" s="1">
        <v>0.04</v>
      </c>
      <c r="E1546" s="1">
        <v>0.06</v>
      </c>
      <c r="F1546" s="1">
        <v>5</v>
      </c>
      <c r="G1546" s="1">
        <v>0</v>
      </c>
      <c r="H1546" s="1">
        <v>1.4572955242100001</v>
      </c>
      <c r="I1546" s="1">
        <v>1.70962219392</v>
      </c>
      <c r="J1546" s="1">
        <v>0.63925197846000004</v>
      </c>
      <c r="K1546" s="1">
        <v>14257.067702300001</v>
      </c>
      <c r="L1546" s="1">
        <v>2877.8325005299998</v>
      </c>
      <c r="M1546" s="1" t="s">
        <v>198</v>
      </c>
      <c r="N1546" s="1" t="b">
        <v>1</v>
      </c>
    </row>
    <row r="1547" spans="1:14" ht="19" customHeight="1" x14ac:dyDescent="0.3">
      <c r="A1547">
        <v>1542</v>
      </c>
      <c r="B1547" s="1">
        <v>6</v>
      </c>
      <c r="C1547" s="1">
        <v>70</v>
      </c>
      <c r="D1547" s="1">
        <v>0.04</v>
      </c>
      <c r="E1547" s="1">
        <v>0.06</v>
      </c>
      <c r="F1547" s="1">
        <v>5</v>
      </c>
      <c r="G1547" s="1">
        <v>1</v>
      </c>
      <c r="H1547" s="1">
        <v>1.4572955242100001</v>
      </c>
      <c r="I1547" s="1">
        <v>1.2822166454399999</v>
      </c>
      <c r="J1547" s="1">
        <v>0.52418662233699997</v>
      </c>
      <c r="K1547" s="1">
        <v>12332.9413487</v>
      </c>
      <c r="L1547" s="1">
        <v>2359.8226504300001</v>
      </c>
      <c r="M1547" s="1" t="s">
        <v>198</v>
      </c>
      <c r="N1547" s="1" t="b">
        <v>1</v>
      </c>
    </row>
    <row r="1548" spans="1:14" ht="19" customHeight="1" x14ac:dyDescent="0.3">
      <c r="A1548">
        <v>1543</v>
      </c>
      <c r="B1548" s="1">
        <v>6</v>
      </c>
      <c r="C1548" s="1">
        <v>70</v>
      </c>
      <c r="D1548" s="1">
        <v>0.04</v>
      </c>
      <c r="E1548" s="1">
        <v>8.5000000000000006E-2</v>
      </c>
      <c r="F1548" s="1">
        <v>-5</v>
      </c>
      <c r="G1548" s="1">
        <v>0</v>
      </c>
      <c r="H1548" s="1">
        <v>1.35197920622</v>
      </c>
      <c r="I1548" s="1">
        <v>1.55164771692</v>
      </c>
      <c r="J1548" s="1">
        <v>0.62982710894899996</v>
      </c>
      <c r="K1548" s="1">
        <v>13071.765454599999</v>
      </c>
      <c r="L1548" s="1">
        <v>2835.4029160999999</v>
      </c>
      <c r="M1548" s="1" t="s">
        <v>198</v>
      </c>
      <c r="N1548" s="1" t="b">
        <v>1</v>
      </c>
    </row>
    <row r="1549" spans="1:14" ht="19" customHeight="1" x14ac:dyDescent="0.3">
      <c r="A1549">
        <v>1544</v>
      </c>
      <c r="B1549" s="1">
        <v>6</v>
      </c>
      <c r="C1549" s="1">
        <v>70</v>
      </c>
      <c r="D1549" s="1">
        <v>0.04</v>
      </c>
      <c r="E1549" s="1">
        <v>8.5000000000000006E-2</v>
      </c>
      <c r="F1549" s="1">
        <v>-5</v>
      </c>
      <c r="G1549" s="1">
        <v>1</v>
      </c>
      <c r="H1549" s="1">
        <v>1.35197920622</v>
      </c>
      <c r="I1549" s="1">
        <v>1.1637357876900001</v>
      </c>
      <c r="J1549" s="1">
        <v>0.51645822933800001</v>
      </c>
      <c r="K1549" s="1">
        <v>11325.4344382</v>
      </c>
      <c r="L1549" s="1">
        <v>2325.0303911999999</v>
      </c>
      <c r="M1549" s="1" t="s">
        <v>198</v>
      </c>
      <c r="N1549" s="1" t="b">
        <v>1</v>
      </c>
    </row>
    <row r="1550" spans="1:14" ht="19" customHeight="1" x14ac:dyDescent="0.3">
      <c r="A1550">
        <v>1545</v>
      </c>
      <c r="B1550" s="1">
        <v>6</v>
      </c>
      <c r="C1550" s="1">
        <v>70</v>
      </c>
      <c r="D1550" s="1">
        <v>0.04</v>
      </c>
      <c r="E1550" s="1">
        <v>8.5000000000000006E-2</v>
      </c>
      <c r="F1550" s="1">
        <v>0</v>
      </c>
      <c r="G1550" s="1">
        <v>0</v>
      </c>
      <c r="H1550" s="1">
        <v>1.38274353924</v>
      </c>
      <c r="I1550" s="1">
        <v>1.58695551373</v>
      </c>
      <c r="J1550" s="1">
        <v>0.62232710894900001</v>
      </c>
      <c r="K1550" s="1">
        <v>13369.2139241</v>
      </c>
      <c r="L1550" s="1">
        <v>2801.6388535999999</v>
      </c>
      <c r="M1550" s="1" t="s">
        <v>198</v>
      </c>
      <c r="N1550" s="1" t="b">
        <v>1</v>
      </c>
    </row>
    <row r="1551" spans="1:14" ht="19" customHeight="1" x14ac:dyDescent="0.3">
      <c r="A1551">
        <v>1546</v>
      </c>
      <c r="B1551" s="1">
        <v>6</v>
      </c>
      <c r="C1551" s="1">
        <v>70</v>
      </c>
      <c r="D1551" s="1">
        <v>0.04</v>
      </c>
      <c r="E1551" s="1">
        <v>8.5000000000000006E-2</v>
      </c>
      <c r="F1551" s="1">
        <v>0</v>
      </c>
      <c r="G1551" s="1">
        <v>1</v>
      </c>
      <c r="H1551" s="1">
        <v>1.38274353924</v>
      </c>
      <c r="I1551" s="1">
        <v>1.1902166353000001</v>
      </c>
      <c r="J1551" s="1">
        <v>0.51030822933800002</v>
      </c>
      <c r="K1551" s="1">
        <v>11583.145085800001</v>
      </c>
      <c r="L1551" s="1">
        <v>2297.34385995</v>
      </c>
      <c r="M1551" s="1" t="s">
        <v>198</v>
      </c>
      <c r="N1551" s="1" t="b">
        <v>1</v>
      </c>
    </row>
    <row r="1552" spans="1:14" ht="19" customHeight="1" x14ac:dyDescent="0.3">
      <c r="A1552">
        <v>1547</v>
      </c>
      <c r="B1552" s="1">
        <v>6</v>
      </c>
      <c r="C1552" s="1">
        <v>70</v>
      </c>
      <c r="D1552" s="1">
        <v>0.04</v>
      </c>
      <c r="E1552" s="1">
        <v>8.5000000000000006E-2</v>
      </c>
      <c r="F1552" s="1">
        <v>5</v>
      </c>
      <c r="G1552" s="1">
        <v>0</v>
      </c>
      <c r="H1552" s="1">
        <v>1.35197920622</v>
      </c>
      <c r="I1552" s="1">
        <v>1.55164771692</v>
      </c>
      <c r="J1552" s="1">
        <v>0.62982710894899996</v>
      </c>
      <c r="K1552" s="1">
        <v>13071.765454599999</v>
      </c>
      <c r="L1552" s="1">
        <v>2835.4029160999999</v>
      </c>
      <c r="M1552" s="1" t="s">
        <v>198</v>
      </c>
      <c r="N1552" s="1" t="b">
        <v>1</v>
      </c>
    </row>
    <row r="1553" spans="1:14" ht="19" customHeight="1" x14ac:dyDescent="0.3">
      <c r="A1553">
        <v>1548</v>
      </c>
      <c r="B1553" s="1">
        <v>6</v>
      </c>
      <c r="C1553" s="1">
        <v>70</v>
      </c>
      <c r="D1553" s="1">
        <v>0.04</v>
      </c>
      <c r="E1553" s="1">
        <v>8.5000000000000006E-2</v>
      </c>
      <c r="F1553" s="1">
        <v>5</v>
      </c>
      <c r="G1553" s="1">
        <v>1</v>
      </c>
      <c r="H1553" s="1">
        <v>1.35197920622</v>
      </c>
      <c r="I1553" s="1">
        <v>1.1637357876900001</v>
      </c>
      <c r="J1553" s="1">
        <v>0.51645822933800001</v>
      </c>
      <c r="K1553" s="1">
        <v>11325.4344382</v>
      </c>
      <c r="L1553" s="1">
        <v>2325.0303911999999</v>
      </c>
      <c r="M1553" s="1" t="s">
        <v>198</v>
      </c>
      <c r="N1553" s="1" t="b">
        <v>1</v>
      </c>
    </row>
    <row r="1554" spans="1:14" ht="19" customHeight="1" x14ac:dyDescent="0.3">
      <c r="A1554">
        <v>1549</v>
      </c>
      <c r="B1554" s="1">
        <v>6</v>
      </c>
      <c r="C1554" s="1">
        <v>70</v>
      </c>
      <c r="D1554" s="1">
        <v>5.5E-2</v>
      </c>
      <c r="E1554" s="1">
        <v>0.04</v>
      </c>
      <c r="F1554" s="1">
        <v>-5</v>
      </c>
      <c r="G1554" s="1">
        <v>0</v>
      </c>
      <c r="H1554" s="1">
        <v>1.27621460659</v>
      </c>
      <c r="I1554" s="1">
        <v>1.4380008174900001</v>
      </c>
      <c r="J1554" s="1">
        <v>0.62304685420200001</v>
      </c>
      <c r="K1554" s="1">
        <v>12219.058562300001</v>
      </c>
      <c r="L1554" s="1">
        <v>2804.8790567599999</v>
      </c>
      <c r="M1554" s="1" t="s">
        <v>198</v>
      </c>
      <c r="N1554" s="1" t="b">
        <v>1</v>
      </c>
    </row>
    <row r="1555" spans="1:14" ht="19" customHeight="1" x14ac:dyDescent="0.3">
      <c r="A1555">
        <v>1550</v>
      </c>
      <c r="B1555" s="1">
        <v>6</v>
      </c>
      <c r="C1555" s="1">
        <v>70</v>
      </c>
      <c r="D1555" s="1">
        <v>5.5E-2</v>
      </c>
      <c r="E1555" s="1">
        <v>0.04</v>
      </c>
      <c r="F1555" s="1">
        <v>-5</v>
      </c>
      <c r="G1555" s="1">
        <v>1</v>
      </c>
      <c r="H1555" s="1">
        <v>1.27621460659</v>
      </c>
      <c r="I1555" s="1">
        <v>1.0785006131199999</v>
      </c>
      <c r="J1555" s="1">
        <v>0.51089842044599998</v>
      </c>
      <c r="K1555" s="1">
        <v>10600.633579699999</v>
      </c>
      <c r="L1555" s="1">
        <v>2300.0008265400002</v>
      </c>
      <c r="M1555" s="1" t="s">
        <v>198</v>
      </c>
      <c r="N1555" s="1" t="b">
        <v>1</v>
      </c>
    </row>
    <row r="1556" spans="1:14" ht="19" customHeight="1" x14ac:dyDescent="0.3">
      <c r="A1556">
        <v>1551</v>
      </c>
      <c r="B1556" s="1">
        <v>6</v>
      </c>
      <c r="C1556" s="1">
        <v>70</v>
      </c>
      <c r="D1556" s="1">
        <v>5.5E-2</v>
      </c>
      <c r="E1556" s="1">
        <v>0.04</v>
      </c>
      <c r="F1556" s="1">
        <v>0</v>
      </c>
      <c r="G1556" s="1">
        <v>0</v>
      </c>
      <c r="H1556" s="1">
        <v>1.30525491356</v>
      </c>
      <c r="I1556" s="1">
        <v>1.4707225752199999</v>
      </c>
      <c r="J1556" s="1">
        <v>0.61554685420199995</v>
      </c>
      <c r="K1556" s="1">
        <v>12497.1036573</v>
      </c>
      <c r="L1556" s="1">
        <v>2771.11499426</v>
      </c>
      <c r="M1556" s="1" t="s">
        <v>198</v>
      </c>
      <c r="N1556" s="1" t="b">
        <v>1</v>
      </c>
    </row>
    <row r="1557" spans="1:14" ht="19" customHeight="1" x14ac:dyDescent="0.3">
      <c r="A1557">
        <v>1552</v>
      </c>
      <c r="B1557" s="1">
        <v>6</v>
      </c>
      <c r="C1557" s="1">
        <v>70</v>
      </c>
      <c r="D1557" s="1">
        <v>5.5E-2</v>
      </c>
      <c r="E1557" s="1">
        <v>0.04</v>
      </c>
      <c r="F1557" s="1">
        <v>0</v>
      </c>
      <c r="G1557" s="1">
        <v>1</v>
      </c>
      <c r="H1557" s="1">
        <v>1.30525491356</v>
      </c>
      <c r="I1557" s="1">
        <v>1.10304193141</v>
      </c>
      <c r="J1557" s="1">
        <v>0.50474842044599999</v>
      </c>
      <c r="K1557" s="1">
        <v>10841.851359</v>
      </c>
      <c r="L1557" s="1">
        <v>2272.3142952899998</v>
      </c>
      <c r="M1557" s="1" t="s">
        <v>198</v>
      </c>
      <c r="N1557" s="1" t="b">
        <v>1</v>
      </c>
    </row>
    <row r="1558" spans="1:14" ht="19" customHeight="1" x14ac:dyDescent="0.3">
      <c r="A1558">
        <v>1553</v>
      </c>
      <c r="B1558" s="1">
        <v>6</v>
      </c>
      <c r="C1558" s="1">
        <v>70</v>
      </c>
      <c r="D1558" s="1">
        <v>5.5E-2</v>
      </c>
      <c r="E1558" s="1">
        <v>0.04</v>
      </c>
      <c r="F1558" s="1">
        <v>5</v>
      </c>
      <c r="G1558" s="1">
        <v>0</v>
      </c>
      <c r="H1558" s="1">
        <v>1.27621460659</v>
      </c>
      <c r="I1558" s="1">
        <v>1.4380008174900001</v>
      </c>
      <c r="J1558" s="1">
        <v>0.62304685420200001</v>
      </c>
      <c r="K1558" s="1">
        <v>12219.058562300001</v>
      </c>
      <c r="L1558" s="1">
        <v>2804.8790567599999</v>
      </c>
      <c r="M1558" s="1" t="s">
        <v>198</v>
      </c>
      <c r="N1558" s="1" t="b">
        <v>1</v>
      </c>
    </row>
    <row r="1559" spans="1:14" ht="19" customHeight="1" x14ac:dyDescent="0.3">
      <c r="A1559">
        <v>1554</v>
      </c>
      <c r="B1559" s="1">
        <v>6</v>
      </c>
      <c r="C1559" s="1">
        <v>70</v>
      </c>
      <c r="D1559" s="1">
        <v>5.5E-2</v>
      </c>
      <c r="E1559" s="1">
        <v>0.04</v>
      </c>
      <c r="F1559" s="1">
        <v>5</v>
      </c>
      <c r="G1559" s="1">
        <v>1</v>
      </c>
      <c r="H1559" s="1">
        <v>1.27621460659</v>
      </c>
      <c r="I1559" s="1">
        <v>1.0785006131199999</v>
      </c>
      <c r="J1559" s="1">
        <v>0.51089842044599998</v>
      </c>
      <c r="K1559" s="1">
        <v>10600.633579699999</v>
      </c>
      <c r="L1559" s="1">
        <v>2300.0008265400002</v>
      </c>
      <c r="M1559" s="1" t="s">
        <v>198</v>
      </c>
      <c r="N1559" s="1" t="b">
        <v>1</v>
      </c>
    </row>
    <row r="1560" spans="1:14" ht="19" customHeight="1" x14ac:dyDescent="0.3">
      <c r="A1560">
        <v>1555</v>
      </c>
      <c r="B1560" s="1">
        <v>6</v>
      </c>
      <c r="C1560" s="1">
        <v>70</v>
      </c>
      <c r="D1560" s="1">
        <v>5.5E-2</v>
      </c>
      <c r="E1560" s="1">
        <v>0.06</v>
      </c>
      <c r="F1560" s="1">
        <v>-5</v>
      </c>
      <c r="G1560" s="1">
        <v>0</v>
      </c>
      <c r="H1560" s="1">
        <v>1.3038442063</v>
      </c>
      <c r="I1560" s="1">
        <v>1.4794452170500001</v>
      </c>
      <c r="J1560" s="1">
        <v>0.62551945651899998</v>
      </c>
      <c r="K1560" s="1">
        <v>12530.021072699999</v>
      </c>
      <c r="L1560" s="1">
        <v>2816.01040332</v>
      </c>
      <c r="M1560" s="1" t="s">
        <v>198</v>
      </c>
      <c r="N1560" s="1" t="b">
        <v>1</v>
      </c>
    </row>
    <row r="1561" spans="1:14" ht="19" customHeight="1" x14ac:dyDescent="0.3">
      <c r="A1561">
        <v>1556</v>
      </c>
      <c r="B1561" s="1">
        <v>6</v>
      </c>
      <c r="C1561" s="1">
        <v>70</v>
      </c>
      <c r="D1561" s="1">
        <v>5.5E-2</v>
      </c>
      <c r="E1561" s="1">
        <v>0.06</v>
      </c>
      <c r="F1561" s="1">
        <v>-5</v>
      </c>
      <c r="G1561" s="1">
        <v>1</v>
      </c>
      <c r="H1561" s="1">
        <v>1.3038442063</v>
      </c>
      <c r="I1561" s="1">
        <v>1.10958391279</v>
      </c>
      <c r="J1561" s="1">
        <v>0.51292595434499999</v>
      </c>
      <c r="K1561" s="1">
        <v>10864.951713599999</v>
      </c>
      <c r="L1561" s="1">
        <v>2309.1285307200001</v>
      </c>
      <c r="M1561" s="1" t="s">
        <v>198</v>
      </c>
      <c r="N1561" s="1" t="b">
        <v>1</v>
      </c>
    </row>
    <row r="1562" spans="1:14" ht="19" customHeight="1" x14ac:dyDescent="0.3">
      <c r="A1562">
        <v>1557</v>
      </c>
      <c r="B1562" s="1">
        <v>6</v>
      </c>
      <c r="C1562" s="1">
        <v>70</v>
      </c>
      <c r="D1562" s="1">
        <v>5.5E-2</v>
      </c>
      <c r="E1562" s="1">
        <v>0.06</v>
      </c>
      <c r="F1562" s="1">
        <v>0</v>
      </c>
      <c r="G1562" s="1">
        <v>0</v>
      </c>
      <c r="H1562" s="1">
        <v>1.33351322576</v>
      </c>
      <c r="I1562" s="1">
        <v>1.51311004351</v>
      </c>
      <c r="J1562" s="1">
        <v>0.61801945651900003</v>
      </c>
      <c r="K1562" s="1">
        <v>12815.142130300001</v>
      </c>
      <c r="L1562" s="1">
        <v>2782.2463408200001</v>
      </c>
      <c r="M1562" s="1" t="s">
        <v>198</v>
      </c>
      <c r="N1562" s="1" t="b">
        <v>1</v>
      </c>
    </row>
    <row r="1563" spans="1:14" ht="19" customHeight="1" x14ac:dyDescent="0.3">
      <c r="A1563">
        <v>1558</v>
      </c>
      <c r="B1563" s="1">
        <v>6</v>
      </c>
      <c r="C1563" s="1">
        <v>70</v>
      </c>
      <c r="D1563" s="1">
        <v>5.5E-2</v>
      </c>
      <c r="E1563" s="1">
        <v>0.06</v>
      </c>
      <c r="F1563" s="1">
        <v>0</v>
      </c>
      <c r="G1563" s="1">
        <v>1</v>
      </c>
      <c r="H1563" s="1">
        <v>1.33351322576</v>
      </c>
      <c r="I1563" s="1">
        <v>1.1348325326299999</v>
      </c>
      <c r="J1563" s="1">
        <v>0.506775954345</v>
      </c>
      <c r="K1563" s="1">
        <v>11112.184061</v>
      </c>
      <c r="L1563" s="1">
        <v>2281.4419994700002</v>
      </c>
      <c r="M1563" s="1" t="s">
        <v>198</v>
      </c>
      <c r="N1563" s="1" t="b">
        <v>1</v>
      </c>
    </row>
    <row r="1564" spans="1:14" ht="19" customHeight="1" x14ac:dyDescent="0.3">
      <c r="A1564">
        <v>1559</v>
      </c>
      <c r="B1564" s="1">
        <v>6</v>
      </c>
      <c r="C1564" s="1">
        <v>70</v>
      </c>
      <c r="D1564" s="1">
        <v>5.5E-2</v>
      </c>
      <c r="E1564" s="1">
        <v>0.06</v>
      </c>
      <c r="F1564" s="1">
        <v>5</v>
      </c>
      <c r="G1564" s="1">
        <v>0</v>
      </c>
      <c r="H1564" s="1">
        <v>1.3038442063</v>
      </c>
      <c r="I1564" s="1">
        <v>1.4794452170500001</v>
      </c>
      <c r="J1564" s="1">
        <v>0.62551945651899998</v>
      </c>
      <c r="K1564" s="1">
        <v>12530.021072699999</v>
      </c>
      <c r="L1564" s="1">
        <v>2816.01040332</v>
      </c>
      <c r="M1564" s="1" t="s">
        <v>198</v>
      </c>
      <c r="N1564" s="1" t="b">
        <v>1</v>
      </c>
    </row>
    <row r="1565" spans="1:14" ht="19" customHeight="1" x14ac:dyDescent="0.3">
      <c r="A1565">
        <v>1560</v>
      </c>
      <c r="B1565" s="1">
        <v>6</v>
      </c>
      <c r="C1565" s="1">
        <v>70</v>
      </c>
      <c r="D1565" s="1">
        <v>5.5E-2</v>
      </c>
      <c r="E1565" s="1">
        <v>0.06</v>
      </c>
      <c r="F1565" s="1">
        <v>5</v>
      </c>
      <c r="G1565" s="1">
        <v>1</v>
      </c>
      <c r="H1565" s="1">
        <v>1.3038442063</v>
      </c>
      <c r="I1565" s="1">
        <v>1.10958391279</v>
      </c>
      <c r="J1565" s="1">
        <v>0.51292595434499999</v>
      </c>
      <c r="K1565" s="1">
        <v>10864.951713599999</v>
      </c>
      <c r="L1565" s="1">
        <v>2309.1285307200001</v>
      </c>
      <c r="M1565" s="1" t="s">
        <v>198</v>
      </c>
      <c r="N1565" s="1" t="b">
        <v>1</v>
      </c>
    </row>
    <row r="1566" spans="1:14" ht="19" customHeight="1" x14ac:dyDescent="0.3">
      <c r="A1566">
        <v>1561</v>
      </c>
      <c r="B1566" s="1">
        <v>6</v>
      </c>
      <c r="C1566" s="1">
        <v>70</v>
      </c>
      <c r="D1566" s="1">
        <v>5.5E-2</v>
      </c>
      <c r="E1566" s="1">
        <v>8.5000000000000006E-2</v>
      </c>
      <c r="F1566" s="1">
        <v>-5</v>
      </c>
      <c r="G1566" s="1">
        <v>0</v>
      </c>
      <c r="H1566" s="1">
        <v>1.2332096607900001</v>
      </c>
      <c r="I1566" s="1">
        <v>1.37349339878</v>
      </c>
      <c r="J1566" s="1">
        <v>0.61919829578100005</v>
      </c>
      <c r="K1566" s="1">
        <v>11735.051336299999</v>
      </c>
      <c r="L1566" s="1">
        <v>2787.55332782</v>
      </c>
      <c r="M1566" s="1" t="s">
        <v>198</v>
      </c>
      <c r="N1566" s="1" t="b">
        <v>1</v>
      </c>
    </row>
    <row r="1567" spans="1:14" ht="19" customHeight="1" x14ac:dyDescent="0.3">
      <c r="A1567">
        <v>1562</v>
      </c>
      <c r="B1567" s="1">
        <v>6</v>
      </c>
      <c r="C1567" s="1">
        <v>70</v>
      </c>
      <c r="D1567" s="1">
        <v>5.5E-2</v>
      </c>
      <c r="E1567" s="1">
        <v>8.5000000000000006E-2</v>
      </c>
      <c r="F1567" s="1">
        <v>-5</v>
      </c>
      <c r="G1567" s="1">
        <v>1</v>
      </c>
      <c r="H1567" s="1">
        <v>1.2332096607900001</v>
      </c>
      <c r="I1567" s="1">
        <v>1.03012004908</v>
      </c>
      <c r="J1567" s="1">
        <v>0.50774260254000003</v>
      </c>
      <c r="K1567" s="1">
        <v>10189.2274376</v>
      </c>
      <c r="L1567" s="1">
        <v>2285.7937288100002</v>
      </c>
      <c r="M1567" s="1" t="s">
        <v>198</v>
      </c>
      <c r="N1567" s="1" t="b">
        <v>1</v>
      </c>
    </row>
    <row r="1568" spans="1:14" ht="19" customHeight="1" x14ac:dyDescent="0.3">
      <c r="A1568">
        <v>1563</v>
      </c>
      <c r="B1568" s="1">
        <v>6</v>
      </c>
      <c r="C1568" s="1">
        <v>70</v>
      </c>
      <c r="D1568" s="1">
        <v>5.5E-2</v>
      </c>
      <c r="E1568" s="1">
        <v>8.5000000000000006E-2</v>
      </c>
      <c r="F1568" s="1">
        <v>0</v>
      </c>
      <c r="G1568" s="1">
        <v>0</v>
      </c>
      <c r="H1568" s="1">
        <v>1.26127138875</v>
      </c>
      <c r="I1568" s="1">
        <v>1.40474728799</v>
      </c>
      <c r="J1568" s="1">
        <v>0.61169829578099999</v>
      </c>
      <c r="K1568" s="1">
        <v>12002.082830400001</v>
      </c>
      <c r="L1568" s="1">
        <v>2753.7892653200001</v>
      </c>
      <c r="M1568" s="1" t="s">
        <v>198</v>
      </c>
      <c r="N1568" s="1" t="b">
        <v>1</v>
      </c>
    </row>
    <row r="1569" spans="1:14" ht="19" customHeight="1" x14ac:dyDescent="0.3">
      <c r="A1569">
        <v>1564</v>
      </c>
      <c r="B1569" s="1">
        <v>6</v>
      </c>
      <c r="C1569" s="1">
        <v>70</v>
      </c>
      <c r="D1569" s="1">
        <v>5.5E-2</v>
      </c>
      <c r="E1569" s="1">
        <v>8.5000000000000006E-2</v>
      </c>
      <c r="F1569" s="1">
        <v>0</v>
      </c>
      <c r="G1569" s="1">
        <v>1</v>
      </c>
      <c r="H1569" s="1">
        <v>1.26127138875</v>
      </c>
      <c r="I1569" s="1">
        <v>1.05356046599</v>
      </c>
      <c r="J1569" s="1">
        <v>0.50159260254000004</v>
      </c>
      <c r="K1569" s="1">
        <v>10421.0836561</v>
      </c>
      <c r="L1569" s="1">
        <v>2258.1071975599998</v>
      </c>
      <c r="M1569" s="1" t="s">
        <v>198</v>
      </c>
      <c r="N1569" s="1" t="b">
        <v>1</v>
      </c>
    </row>
    <row r="1570" spans="1:14" ht="19" customHeight="1" x14ac:dyDescent="0.3">
      <c r="A1570">
        <v>1565</v>
      </c>
      <c r="B1570" s="1">
        <v>6</v>
      </c>
      <c r="C1570" s="1">
        <v>70</v>
      </c>
      <c r="D1570" s="1">
        <v>5.5E-2</v>
      </c>
      <c r="E1570" s="1">
        <v>8.5000000000000006E-2</v>
      </c>
      <c r="F1570" s="1">
        <v>5</v>
      </c>
      <c r="G1570" s="1">
        <v>0</v>
      </c>
      <c r="H1570" s="1">
        <v>1.2332096607900001</v>
      </c>
      <c r="I1570" s="1">
        <v>1.37349339878</v>
      </c>
      <c r="J1570" s="1">
        <v>0.61919829578100005</v>
      </c>
      <c r="K1570" s="1">
        <v>11735.051336299999</v>
      </c>
      <c r="L1570" s="1">
        <v>2787.55332782</v>
      </c>
      <c r="M1570" s="1" t="s">
        <v>198</v>
      </c>
      <c r="N1570" s="1" t="b">
        <v>1</v>
      </c>
    </row>
    <row r="1571" spans="1:14" ht="19" customHeight="1" x14ac:dyDescent="0.3">
      <c r="A1571">
        <v>1566</v>
      </c>
      <c r="B1571" s="1">
        <v>6</v>
      </c>
      <c r="C1571" s="1">
        <v>70</v>
      </c>
      <c r="D1571" s="1">
        <v>5.5E-2</v>
      </c>
      <c r="E1571" s="1">
        <v>8.5000000000000006E-2</v>
      </c>
      <c r="F1571" s="1">
        <v>5</v>
      </c>
      <c r="G1571" s="1">
        <v>1</v>
      </c>
      <c r="H1571" s="1">
        <v>1.2332096607900001</v>
      </c>
      <c r="I1571" s="1">
        <v>1.03012004908</v>
      </c>
      <c r="J1571" s="1">
        <v>0.50774260254000003</v>
      </c>
      <c r="K1571" s="1">
        <v>10189.2274376</v>
      </c>
      <c r="L1571" s="1">
        <v>2285.7937288100002</v>
      </c>
      <c r="M1571" s="1" t="s">
        <v>198</v>
      </c>
      <c r="N1571" s="1" t="b">
        <v>1</v>
      </c>
    </row>
    <row r="1572" spans="1:14" ht="19" customHeight="1" x14ac:dyDescent="0.3">
      <c r="A1572">
        <v>1567</v>
      </c>
      <c r="B1572" s="1">
        <v>6</v>
      </c>
      <c r="C1572" s="1">
        <v>90</v>
      </c>
      <c r="D1572" s="1">
        <v>2.5000000000000001E-2</v>
      </c>
      <c r="E1572" s="1">
        <v>0.04</v>
      </c>
      <c r="F1572" s="1">
        <v>-5</v>
      </c>
      <c r="G1572" s="1">
        <v>0</v>
      </c>
      <c r="H1572" s="1">
        <v>1.4101108952000001</v>
      </c>
      <c r="I1572" s="1">
        <v>1.6388452504</v>
      </c>
      <c r="J1572" s="1">
        <v>0.63502937573499996</v>
      </c>
      <c r="K1572" s="1">
        <v>22689.950516100002</v>
      </c>
      <c r="L1572" s="1">
        <v>4725.8092355500003</v>
      </c>
      <c r="M1572" s="1" t="s">
        <v>198</v>
      </c>
      <c r="N1572" s="1" t="b">
        <v>1</v>
      </c>
    </row>
    <row r="1573" spans="1:14" ht="19" customHeight="1" x14ac:dyDescent="0.3">
      <c r="A1573">
        <v>1568</v>
      </c>
      <c r="B1573" s="1">
        <v>6</v>
      </c>
      <c r="C1573" s="1">
        <v>90</v>
      </c>
      <c r="D1573" s="1">
        <v>2.5000000000000001E-2</v>
      </c>
      <c r="E1573" s="1">
        <v>0.04</v>
      </c>
      <c r="F1573" s="1">
        <v>-5</v>
      </c>
      <c r="G1573" s="1">
        <v>1</v>
      </c>
      <c r="H1573" s="1">
        <v>1.4101108952000001</v>
      </c>
      <c r="I1573" s="1">
        <v>1.2291339377999999</v>
      </c>
      <c r="J1573" s="1">
        <v>0.52072408810299997</v>
      </c>
      <c r="K1573" s="1">
        <v>19640.930141600002</v>
      </c>
      <c r="L1573" s="1">
        <v>3875.16357315</v>
      </c>
      <c r="M1573" s="1" t="s">
        <v>198</v>
      </c>
      <c r="N1573" s="1" t="b">
        <v>1</v>
      </c>
    </row>
    <row r="1574" spans="1:14" ht="19" customHeight="1" x14ac:dyDescent="0.3">
      <c r="A1574">
        <v>1569</v>
      </c>
      <c r="B1574" s="1">
        <v>6</v>
      </c>
      <c r="C1574" s="1">
        <v>90</v>
      </c>
      <c r="D1574" s="1">
        <v>2.5000000000000001E-2</v>
      </c>
      <c r="E1574" s="1">
        <v>0.04</v>
      </c>
      <c r="F1574" s="1">
        <v>0</v>
      </c>
      <c r="G1574" s="1">
        <v>0</v>
      </c>
      <c r="H1574" s="1">
        <v>1.4421980167999999</v>
      </c>
      <c r="I1574" s="1">
        <v>1.6761372300699999</v>
      </c>
      <c r="J1574" s="1">
        <v>0.62752937573500001</v>
      </c>
      <c r="K1574" s="1">
        <v>23206.2611153</v>
      </c>
      <c r="L1574" s="1">
        <v>4669.9951730499997</v>
      </c>
      <c r="M1574" s="1" t="s">
        <v>198</v>
      </c>
      <c r="N1574" s="1" t="b">
        <v>1</v>
      </c>
    </row>
    <row r="1575" spans="1:14" ht="19" customHeight="1" x14ac:dyDescent="0.3">
      <c r="A1575">
        <v>1570</v>
      </c>
      <c r="B1575" s="1">
        <v>6</v>
      </c>
      <c r="C1575" s="1">
        <v>90</v>
      </c>
      <c r="D1575" s="1">
        <v>2.5000000000000001E-2</v>
      </c>
      <c r="E1575" s="1">
        <v>0.04</v>
      </c>
      <c r="F1575" s="1">
        <v>0</v>
      </c>
      <c r="G1575" s="1">
        <v>1</v>
      </c>
      <c r="H1575" s="1">
        <v>1.4421980167999999</v>
      </c>
      <c r="I1575" s="1">
        <v>1.2571029225499999</v>
      </c>
      <c r="J1575" s="1">
        <v>0.51457408810299998</v>
      </c>
      <c r="K1575" s="1">
        <v>20087.860177999999</v>
      </c>
      <c r="L1575" s="1">
        <v>3829.3960419</v>
      </c>
      <c r="M1575" s="1" t="s">
        <v>198</v>
      </c>
      <c r="N1575" s="1" t="b">
        <v>1</v>
      </c>
    </row>
    <row r="1576" spans="1:14" ht="19" customHeight="1" x14ac:dyDescent="0.3">
      <c r="A1576">
        <v>1571</v>
      </c>
      <c r="B1576" s="1">
        <v>6</v>
      </c>
      <c r="C1576" s="1">
        <v>90</v>
      </c>
      <c r="D1576" s="1">
        <v>2.5000000000000001E-2</v>
      </c>
      <c r="E1576" s="1">
        <v>0.04</v>
      </c>
      <c r="F1576" s="1">
        <v>5</v>
      </c>
      <c r="G1576" s="1">
        <v>0</v>
      </c>
      <c r="H1576" s="1">
        <v>1.4101108952000001</v>
      </c>
      <c r="I1576" s="1">
        <v>1.6388452504</v>
      </c>
      <c r="J1576" s="1">
        <v>0.63502937573499996</v>
      </c>
      <c r="K1576" s="1">
        <v>22689.950516100002</v>
      </c>
      <c r="L1576" s="1">
        <v>4725.8092355500003</v>
      </c>
      <c r="M1576" s="1" t="s">
        <v>198</v>
      </c>
      <c r="N1576" s="1" t="b">
        <v>1</v>
      </c>
    </row>
    <row r="1577" spans="1:14" ht="19" customHeight="1" x14ac:dyDescent="0.3">
      <c r="A1577">
        <v>1572</v>
      </c>
      <c r="B1577" s="1">
        <v>6</v>
      </c>
      <c r="C1577" s="1">
        <v>90</v>
      </c>
      <c r="D1577" s="1">
        <v>2.5000000000000001E-2</v>
      </c>
      <c r="E1577" s="1">
        <v>0.04</v>
      </c>
      <c r="F1577" s="1">
        <v>5</v>
      </c>
      <c r="G1577" s="1">
        <v>1</v>
      </c>
      <c r="H1577" s="1">
        <v>1.4101108952000001</v>
      </c>
      <c r="I1577" s="1">
        <v>1.2291339377999999</v>
      </c>
      <c r="J1577" s="1">
        <v>0.52072408810299997</v>
      </c>
      <c r="K1577" s="1">
        <v>19640.930141600002</v>
      </c>
      <c r="L1577" s="1">
        <v>3875.16357315</v>
      </c>
      <c r="M1577" s="1" t="s">
        <v>198</v>
      </c>
      <c r="N1577" s="1" t="b">
        <v>1</v>
      </c>
    </row>
    <row r="1578" spans="1:14" ht="19" customHeight="1" x14ac:dyDescent="0.3">
      <c r="A1578">
        <v>1573</v>
      </c>
      <c r="B1578" s="1">
        <v>6</v>
      </c>
      <c r="C1578" s="1">
        <v>90</v>
      </c>
      <c r="D1578" s="1">
        <v>2.5000000000000001E-2</v>
      </c>
      <c r="E1578" s="1">
        <v>0.06</v>
      </c>
      <c r="F1578" s="1">
        <v>-5</v>
      </c>
      <c r="G1578" s="1">
        <v>0</v>
      </c>
      <c r="H1578" s="1">
        <v>1.45072590884</v>
      </c>
      <c r="I1578" s="1">
        <v>1.6997677708600001</v>
      </c>
      <c r="J1578" s="1">
        <v>0.63866405658000003</v>
      </c>
      <c r="K1578" s="1">
        <v>23445.5801526</v>
      </c>
      <c r="L1578" s="1">
        <v>4752.8580760599998</v>
      </c>
      <c r="M1578" s="1" t="s">
        <v>198</v>
      </c>
      <c r="N1578" s="1" t="b">
        <v>1</v>
      </c>
    </row>
    <row r="1579" spans="1:14" ht="19" customHeight="1" x14ac:dyDescent="0.3">
      <c r="A1579">
        <v>1574</v>
      </c>
      <c r="B1579" s="1">
        <v>6</v>
      </c>
      <c r="C1579" s="1">
        <v>90</v>
      </c>
      <c r="D1579" s="1">
        <v>2.5000000000000001E-2</v>
      </c>
      <c r="E1579" s="1">
        <v>0.06</v>
      </c>
      <c r="F1579" s="1">
        <v>-5</v>
      </c>
      <c r="G1579" s="1">
        <v>1</v>
      </c>
      <c r="H1579" s="1">
        <v>1.45072590884</v>
      </c>
      <c r="I1579" s="1">
        <v>1.27482582814</v>
      </c>
      <c r="J1579" s="1">
        <v>0.52370452639599996</v>
      </c>
      <c r="K1579" s="1">
        <v>20283.215332600001</v>
      </c>
      <c r="L1579" s="1">
        <v>3897.34362237</v>
      </c>
      <c r="M1579" s="1" t="s">
        <v>198</v>
      </c>
      <c r="N1579" s="1" t="b">
        <v>1</v>
      </c>
    </row>
    <row r="1580" spans="1:14" ht="19" customHeight="1" x14ac:dyDescent="0.3">
      <c r="A1580">
        <v>1575</v>
      </c>
      <c r="B1580" s="1">
        <v>6</v>
      </c>
      <c r="C1580" s="1">
        <v>90</v>
      </c>
      <c r="D1580" s="1">
        <v>2.5000000000000001E-2</v>
      </c>
      <c r="E1580" s="1">
        <v>0.06</v>
      </c>
      <c r="F1580" s="1">
        <v>0</v>
      </c>
      <c r="G1580" s="1">
        <v>0</v>
      </c>
      <c r="H1580" s="1">
        <v>1.4837372264599999</v>
      </c>
      <c r="I1580" s="1">
        <v>1.7384460445500001</v>
      </c>
      <c r="J1580" s="1">
        <v>0.63116405657999997</v>
      </c>
      <c r="K1580" s="1">
        <v>23979.085129899999</v>
      </c>
      <c r="L1580" s="1">
        <v>4697.0440135600002</v>
      </c>
      <c r="M1580" s="1" t="s">
        <v>198</v>
      </c>
      <c r="N1580" s="1" t="b">
        <v>1</v>
      </c>
    </row>
    <row r="1581" spans="1:14" ht="19" customHeight="1" x14ac:dyDescent="0.3">
      <c r="A1581">
        <v>1576</v>
      </c>
      <c r="B1581" s="1">
        <v>6</v>
      </c>
      <c r="C1581" s="1">
        <v>90</v>
      </c>
      <c r="D1581" s="1">
        <v>2.5000000000000001E-2</v>
      </c>
      <c r="E1581" s="1">
        <v>0.06</v>
      </c>
      <c r="F1581" s="1">
        <v>0</v>
      </c>
      <c r="G1581" s="1">
        <v>1</v>
      </c>
      <c r="H1581" s="1">
        <v>1.4837372264599999</v>
      </c>
      <c r="I1581" s="1">
        <v>1.3038345334200001</v>
      </c>
      <c r="J1581" s="1">
        <v>0.51755452639599997</v>
      </c>
      <c r="K1581" s="1">
        <v>20744.760590499998</v>
      </c>
      <c r="L1581" s="1">
        <v>3851.57609112</v>
      </c>
      <c r="M1581" s="1" t="s">
        <v>198</v>
      </c>
      <c r="N1581" s="1" t="b">
        <v>1</v>
      </c>
    </row>
    <row r="1582" spans="1:14" ht="19" customHeight="1" x14ac:dyDescent="0.3">
      <c r="A1582">
        <v>1577</v>
      </c>
      <c r="B1582" s="1">
        <v>6</v>
      </c>
      <c r="C1582" s="1">
        <v>90</v>
      </c>
      <c r="D1582" s="1">
        <v>2.5000000000000001E-2</v>
      </c>
      <c r="E1582" s="1">
        <v>0.06</v>
      </c>
      <c r="F1582" s="1">
        <v>5</v>
      </c>
      <c r="G1582" s="1">
        <v>0</v>
      </c>
      <c r="H1582" s="1">
        <v>1.45072590884</v>
      </c>
      <c r="I1582" s="1">
        <v>1.6997677708600001</v>
      </c>
      <c r="J1582" s="1">
        <v>0.63866405658000003</v>
      </c>
      <c r="K1582" s="1">
        <v>23445.5801526</v>
      </c>
      <c r="L1582" s="1">
        <v>4752.8580760599998</v>
      </c>
      <c r="M1582" s="1" t="s">
        <v>198</v>
      </c>
      <c r="N1582" s="1" t="b">
        <v>1</v>
      </c>
    </row>
    <row r="1583" spans="1:14" ht="19" customHeight="1" x14ac:dyDescent="0.3">
      <c r="A1583">
        <v>1578</v>
      </c>
      <c r="B1583" s="1">
        <v>6</v>
      </c>
      <c r="C1583" s="1">
        <v>90</v>
      </c>
      <c r="D1583" s="1">
        <v>2.5000000000000001E-2</v>
      </c>
      <c r="E1583" s="1">
        <v>0.06</v>
      </c>
      <c r="F1583" s="1">
        <v>5</v>
      </c>
      <c r="G1583" s="1">
        <v>1</v>
      </c>
      <c r="H1583" s="1">
        <v>1.45072590884</v>
      </c>
      <c r="I1583" s="1">
        <v>1.27482582814</v>
      </c>
      <c r="J1583" s="1">
        <v>0.52370452639599996</v>
      </c>
      <c r="K1583" s="1">
        <v>20283.215332600001</v>
      </c>
      <c r="L1583" s="1">
        <v>3897.34362237</v>
      </c>
      <c r="M1583" s="1" t="s">
        <v>198</v>
      </c>
      <c r="N1583" s="1" t="b">
        <v>1</v>
      </c>
    </row>
    <row r="1584" spans="1:14" ht="19" customHeight="1" x14ac:dyDescent="0.3">
      <c r="A1584">
        <v>1579</v>
      </c>
      <c r="B1584" s="1">
        <v>6</v>
      </c>
      <c r="C1584" s="1">
        <v>90</v>
      </c>
      <c r="D1584" s="1">
        <v>2.5000000000000001E-2</v>
      </c>
      <c r="E1584" s="1">
        <v>8.5000000000000006E-2</v>
      </c>
      <c r="F1584" s="1">
        <v>-5</v>
      </c>
      <c r="G1584" s="1">
        <v>0</v>
      </c>
      <c r="H1584" s="1">
        <v>1.34689439989</v>
      </c>
      <c r="I1584" s="1">
        <v>1.54402050744</v>
      </c>
      <c r="J1584" s="1">
        <v>0.62937206421299996</v>
      </c>
      <c r="K1584" s="1">
        <v>21513.827376000001</v>
      </c>
      <c r="L1584" s="1">
        <v>4683.7082303699999</v>
      </c>
      <c r="M1584" s="1" t="s">
        <v>198</v>
      </c>
      <c r="N1584" s="1" t="b">
        <v>1</v>
      </c>
    </row>
    <row r="1585" spans="1:14" ht="19" customHeight="1" x14ac:dyDescent="0.3">
      <c r="A1585">
        <v>1580</v>
      </c>
      <c r="B1585" s="1">
        <v>6</v>
      </c>
      <c r="C1585" s="1">
        <v>90</v>
      </c>
      <c r="D1585" s="1">
        <v>2.5000000000000001E-2</v>
      </c>
      <c r="E1585" s="1">
        <v>8.5000000000000006E-2</v>
      </c>
      <c r="F1585" s="1">
        <v>-5</v>
      </c>
      <c r="G1585" s="1">
        <v>1</v>
      </c>
      <c r="H1585" s="1">
        <v>1.34689439989</v>
      </c>
      <c r="I1585" s="1">
        <v>1.15801538058</v>
      </c>
      <c r="J1585" s="1">
        <v>0.51608509265500002</v>
      </c>
      <c r="K1585" s="1">
        <v>18641.225472599999</v>
      </c>
      <c r="L1585" s="1">
        <v>3840.6407488999998</v>
      </c>
      <c r="M1585" s="1" t="s">
        <v>198</v>
      </c>
      <c r="N1585" s="1" t="b">
        <v>1</v>
      </c>
    </row>
    <row r="1586" spans="1:14" ht="19" customHeight="1" x14ac:dyDescent="0.3">
      <c r="A1586">
        <v>1581</v>
      </c>
      <c r="B1586" s="1">
        <v>6</v>
      </c>
      <c r="C1586" s="1">
        <v>90</v>
      </c>
      <c r="D1586" s="1">
        <v>2.5000000000000001E-2</v>
      </c>
      <c r="E1586" s="1">
        <v>8.5000000000000006E-2</v>
      </c>
      <c r="F1586" s="1">
        <v>0</v>
      </c>
      <c r="G1586" s="1">
        <v>0</v>
      </c>
      <c r="H1586" s="1">
        <v>1.3775430279800001</v>
      </c>
      <c r="I1586" s="1">
        <v>1.57915474684</v>
      </c>
      <c r="J1586" s="1">
        <v>0.62187206421300001</v>
      </c>
      <c r="K1586" s="1">
        <v>22003.375252999998</v>
      </c>
      <c r="L1586" s="1">
        <v>4627.8941678700003</v>
      </c>
      <c r="M1586" s="1" t="s">
        <v>198</v>
      </c>
      <c r="N1586" s="1" t="b">
        <v>1</v>
      </c>
    </row>
    <row r="1587" spans="1:14" ht="19" customHeight="1" x14ac:dyDescent="0.3">
      <c r="A1587">
        <v>1582</v>
      </c>
      <c r="B1587" s="1">
        <v>6</v>
      </c>
      <c r="C1587" s="1">
        <v>90</v>
      </c>
      <c r="D1587" s="1">
        <v>2.5000000000000001E-2</v>
      </c>
      <c r="E1587" s="1">
        <v>8.5000000000000006E-2</v>
      </c>
      <c r="F1587" s="1">
        <v>0</v>
      </c>
      <c r="G1587" s="1">
        <v>1</v>
      </c>
      <c r="H1587" s="1">
        <v>1.3775430279800001</v>
      </c>
      <c r="I1587" s="1">
        <v>1.1843660601299999</v>
      </c>
      <c r="J1587" s="1">
        <v>0.50993509265500003</v>
      </c>
      <c r="K1587" s="1">
        <v>19065.407195</v>
      </c>
      <c r="L1587" s="1">
        <v>3794.8732176499998</v>
      </c>
      <c r="M1587" s="1" t="s">
        <v>198</v>
      </c>
      <c r="N1587" s="1" t="b">
        <v>1</v>
      </c>
    </row>
    <row r="1588" spans="1:14" ht="19" customHeight="1" x14ac:dyDescent="0.3">
      <c r="A1588">
        <v>1583</v>
      </c>
      <c r="B1588" s="1">
        <v>6</v>
      </c>
      <c r="C1588" s="1">
        <v>90</v>
      </c>
      <c r="D1588" s="1">
        <v>2.5000000000000001E-2</v>
      </c>
      <c r="E1588" s="1">
        <v>8.5000000000000006E-2</v>
      </c>
      <c r="F1588" s="1">
        <v>5</v>
      </c>
      <c r="G1588" s="1">
        <v>0</v>
      </c>
      <c r="H1588" s="1">
        <v>1.34689439989</v>
      </c>
      <c r="I1588" s="1">
        <v>1.54402050744</v>
      </c>
      <c r="J1588" s="1">
        <v>0.62937206421299996</v>
      </c>
      <c r="K1588" s="1">
        <v>21513.827376000001</v>
      </c>
      <c r="L1588" s="1">
        <v>4683.7082303699999</v>
      </c>
      <c r="M1588" s="1" t="s">
        <v>198</v>
      </c>
      <c r="N1588" s="1" t="b">
        <v>1</v>
      </c>
    </row>
    <row r="1589" spans="1:14" ht="19" customHeight="1" x14ac:dyDescent="0.3">
      <c r="A1589">
        <v>1584</v>
      </c>
      <c r="B1589" s="1">
        <v>6</v>
      </c>
      <c r="C1589" s="1">
        <v>90</v>
      </c>
      <c r="D1589" s="1">
        <v>2.5000000000000001E-2</v>
      </c>
      <c r="E1589" s="1">
        <v>8.5000000000000006E-2</v>
      </c>
      <c r="F1589" s="1">
        <v>5</v>
      </c>
      <c r="G1589" s="1">
        <v>1</v>
      </c>
      <c r="H1589" s="1">
        <v>1.34689439989</v>
      </c>
      <c r="I1589" s="1">
        <v>1.15801538058</v>
      </c>
      <c r="J1589" s="1">
        <v>0.51608509265500002</v>
      </c>
      <c r="K1589" s="1">
        <v>18641.225472599999</v>
      </c>
      <c r="L1589" s="1">
        <v>3840.6407488999998</v>
      </c>
      <c r="M1589" s="1" t="s">
        <v>198</v>
      </c>
      <c r="N1589" s="1" t="b">
        <v>1</v>
      </c>
    </row>
    <row r="1590" spans="1:14" ht="19" customHeight="1" x14ac:dyDescent="0.3">
      <c r="A1590">
        <v>1585</v>
      </c>
      <c r="B1590" s="1">
        <v>6</v>
      </c>
      <c r="C1590" s="1">
        <v>90</v>
      </c>
      <c r="D1590" s="1">
        <v>0.04</v>
      </c>
      <c r="E1590" s="1">
        <v>0.04</v>
      </c>
      <c r="F1590" s="1">
        <v>-5</v>
      </c>
      <c r="G1590" s="1">
        <v>0</v>
      </c>
      <c r="H1590" s="1">
        <v>1.41609970865</v>
      </c>
      <c r="I1590" s="1">
        <v>1.6478284705799999</v>
      </c>
      <c r="J1590" s="1">
        <v>0.63556532103200003</v>
      </c>
      <c r="K1590" s="1">
        <v>22801.370518899999</v>
      </c>
      <c r="L1590" s="1">
        <v>4729.7976734499998</v>
      </c>
      <c r="M1590" s="1" t="s">
        <v>198</v>
      </c>
      <c r="N1590" s="1" t="b">
        <v>1</v>
      </c>
    </row>
    <row r="1591" spans="1:14" ht="19" customHeight="1" x14ac:dyDescent="0.3">
      <c r="A1591">
        <v>1586</v>
      </c>
      <c r="B1591" s="1">
        <v>6</v>
      </c>
      <c r="C1591" s="1">
        <v>90</v>
      </c>
      <c r="D1591" s="1">
        <v>0.04</v>
      </c>
      <c r="E1591" s="1">
        <v>0.04</v>
      </c>
      <c r="F1591" s="1">
        <v>-5</v>
      </c>
      <c r="G1591" s="1">
        <v>1</v>
      </c>
      <c r="H1591" s="1">
        <v>1.41609970865</v>
      </c>
      <c r="I1591" s="1">
        <v>1.2358713529400001</v>
      </c>
      <c r="J1591" s="1">
        <v>0.52116356324599999</v>
      </c>
      <c r="K1591" s="1">
        <v>19735.637144</v>
      </c>
      <c r="L1591" s="1">
        <v>3878.4340922299998</v>
      </c>
      <c r="M1591" s="1" t="s">
        <v>198</v>
      </c>
      <c r="N1591" s="1" t="b">
        <v>1</v>
      </c>
    </row>
    <row r="1592" spans="1:14" ht="19" customHeight="1" x14ac:dyDescent="0.3">
      <c r="A1592">
        <v>1587</v>
      </c>
      <c r="B1592" s="1">
        <v>6</v>
      </c>
      <c r="C1592" s="1">
        <v>90</v>
      </c>
      <c r="D1592" s="1">
        <v>0.04</v>
      </c>
      <c r="E1592" s="1">
        <v>0.04</v>
      </c>
      <c r="F1592" s="1">
        <v>0</v>
      </c>
      <c r="G1592" s="1">
        <v>0</v>
      </c>
      <c r="H1592" s="1">
        <v>1.4483231058999999</v>
      </c>
      <c r="I1592" s="1">
        <v>1.68532486373</v>
      </c>
      <c r="J1592" s="1">
        <v>0.62806532103199997</v>
      </c>
      <c r="K1592" s="1">
        <v>23320.216484</v>
      </c>
      <c r="L1592" s="1">
        <v>4673.9836109500002</v>
      </c>
      <c r="M1592" s="1" t="s">
        <v>198</v>
      </c>
      <c r="N1592" s="1" t="b">
        <v>1</v>
      </c>
    </row>
    <row r="1593" spans="1:14" ht="19" customHeight="1" x14ac:dyDescent="0.3">
      <c r="A1593">
        <v>1588</v>
      </c>
      <c r="B1593" s="1">
        <v>6</v>
      </c>
      <c r="C1593" s="1">
        <v>90</v>
      </c>
      <c r="D1593" s="1">
        <v>0.04</v>
      </c>
      <c r="E1593" s="1">
        <v>0.04</v>
      </c>
      <c r="F1593" s="1">
        <v>0</v>
      </c>
      <c r="G1593" s="1">
        <v>1</v>
      </c>
      <c r="H1593" s="1">
        <v>1.4483231058999999</v>
      </c>
      <c r="I1593" s="1">
        <v>1.2639936478</v>
      </c>
      <c r="J1593" s="1">
        <v>0.51501356324600001</v>
      </c>
      <c r="K1593" s="1">
        <v>20184.722241399999</v>
      </c>
      <c r="L1593" s="1">
        <v>3832.6665609800002</v>
      </c>
      <c r="M1593" s="1" t="s">
        <v>198</v>
      </c>
      <c r="N1593" s="1" t="b">
        <v>1</v>
      </c>
    </row>
    <row r="1594" spans="1:14" ht="19" customHeight="1" x14ac:dyDescent="0.3">
      <c r="A1594">
        <v>1589</v>
      </c>
      <c r="B1594" s="1">
        <v>6</v>
      </c>
      <c r="C1594" s="1">
        <v>90</v>
      </c>
      <c r="D1594" s="1">
        <v>0.04</v>
      </c>
      <c r="E1594" s="1">
        <v>0.04</v>
      </c>
      <c r="F1594" s="1">
        <v>5</v>
      </c>
      <c r="G1594" s="1">
        <v>0</v>
      </c>
      <c r="H1594" s="1">
        <v>1.41609970865</v>
      </c>
      <c r="I1594" s="1">
        <v>1.6478284705799999</v>
      </c>
      <c r="J1594" s="1">
        <v>0.63556532103200003</v>
      </c>
      <c r="K1594" s="1">
        <v>22801.370518899999</v>
      </c>
      <c r="L1594" s="1">
        <v>4729.7976734499998</v>
      </c>
      <c r="M1594" s="1" t="s">
        <v>198</v>
      </c>
      <c r="N1594" s="1" t="b">
        <v>1</v>
      </c>
    </row>
    <row r="1595" spans="1:14" ht="19" customHeight="1" x14ac:dyDescent="0.3">
      <c r="A1595">
        <v>1590</v>
      </c>
      <c r="B1595" s="1">
        <v>6</v>
      </c>
      <c r="C1595" s="1">
        <v>90</v>
      </c>
      <c r="D1595" s="1">
        <v>0.04</v>
      </c>
      <c r="E1595" s="1">
        <v>0.04</v>
      </c>
      <c r="F1595" s="1">
        <v>5</v>
      </c>
      <c r="G1595" s="1">
        <v>1</v>
      </c>
      <c r="H1595" s="1">
        <v>1.41609970865</v>
      </c>
      <c r="I1595" s="1">
        <v>1.2358713529400001</v>
      </c>
      <c r="J1595" s="1">
        <v>0.52116356324599999</v>
      </c>
      <c r="K1595" s="1">
        <v>19735.637144</v>
      </c>
      <c r="L1595" s="1">
        <v>3878.4340922299998</v>
      </c>
      <c r="M1595" s="1" t="s">
        <v>198</v>
      </c>
      <c r="N1595" s="1" t="b">
        <v>1</v>
      </c>
    </row>
    <row r="1596" spans="1:14" ht="19" customHeight="1" x14ac:dyDescent="0.3">
      <c r="A1596">
        <v>1591</v>
      </c>
      <c r="B1596" s="1">
        <v>6</v>
      </c>
      <c r="C1596" s="1">
        <v>90</v>
      </c>
      <c r="D1596" s="1">
        <v>0.04</v>
      </c>
      <c r="E1596" s="1">
        <v>0.06</v>
      </c>
      <c r="F1596" s="1">
        <v>-5</v>
      </c>
      <c r="G1596" s="1">
        <v>0</v>
      </c>
      <c r="H1596" s="1">
        <v>1.4572955242100001</v>
      </c>
      <c r="I1596" s="1">
        <v>1.70962219392</v>
      </c>
      <c r="J1596" s="1">
        <v>0.63925197846000004</v>
      </c>
      <c r="K1596" s="1">
        <v>23567.8057936</v>
      </c>
      <c r="L1596" s="1">
        <v>4757.2333171999999</v>
      </c>
      <c r="M1596" s="1" t="s">
        <v>198</v>
      </c>
      <c r="N1596" s="1" t="b">
        <v>1</v>
      </c>
    </row>
    <row r="1597" spans="1:14" ht="19" customHeight="1" x14ac:dyDescent="0.3">
      <c r="A1597">
        <v>1592</v>
      </c>
      <c r="B1597" s="1">
        <v>6</v>
      </c>
      <c r="C1597" s="1">
        <v>90</v>
      </c>
      <c r="D1597" s="1">
        <v>0.04</v>
      </c>
      <c r="E1597" s="1">
        <v>0.06</v>
      </c>
      <c r="F1597" s="1">
        <v>-5</v>
      </c>
      <c r="G1597" s="1">
        <v>1</v>
      </c>
      <c r="H1597" s="1">
        <v>1.4572955242100001</v>
      </c>
      <c r="I1597" s="1">
        <v>1.2822166454399999</v>
      </c>
      <c r="J1597" s="1">
        <v>0.52418662233699997</v>
      </c>
      <c r="K1597" s="1">
        <v>20387.107127499999</v>
      </c>
      <c r="L1597" s="1">
        <v>3900.9313201</v>
      </c>
      <c r="M1597" s="1" t="s">
        <v>198</v>
      </c>
      <c r="N1597" s="1" t="b">
        <v>1</v>
      </c>
    </row>
    <row r="1598" spans="1:14" ht="19" customHeight="1" x14ac:dyDescent="0.3">
      <c r="A1598">
        <v>1593</v>
      </c>
      <c r="B1598" s="1">
        <v>6</v>
      </c>
      <c r="C1598" s="1">
        <v>90</v>
      </c>
      <c r="D1598" s="1">
        <v>0.04</v>
      </c>
      <c r="E1598" s="1">
        <v>0.06</v>
      </c>
      <c r="F1598" s="1">
        <v>0</v>
      </c>
      <c r="G1598" s="1">
        <v>0</v>
      </c>
      <c r="H1598" s="1">
        <v>1.4904563336500001</v>
      </c>
      <c r="I1598" s="1">
        <v>1.7485247053499999</v>
      </c>
      <c r="J1598" s="1">
        <v>0.63175197845999997</v>
      </c>
      <c r="K1598" s="1">
        <v>24104.092019600001</v>
      </c>
      <c r="L1598" s="1">
        <v>4701.4192547000002</v>
      </c>
      <c r="M1598" s="1" t="s">
        <v>198</v>
      </c>
      <c r="N1598" s="1" t="b">
        <v>1</v>
      </c>
    </row>
    <row r="1599" spans="1:14" ht="19" customHeight="1" x14ac:dyDescent="0.3">
      <c r="A1599">
        <v>1594</v>
      </c>
      <c r="B1599" s="1">
        <v>6</v>
      </c>
      <c r="C1599" s="1">
        <v>90</v>
      </c>
      <c r="D1599" s="1">
        <v>0.04</v>
      </c>
      <c r="E1599" s="1">
        <v>0.06</v>
      </c>
      <c r="F1599" s="1">
        <v>0</v>
      </c>
      <c r="G1599" s="1">
        <v>1</v>
      </c>
      <c r="H1599" s="1">
        <v>1.4904563336500001</v>
      </c>
      <c r="I1599" s="1">
        <v>1.3113935290100001</v>
      </c>
      <c r="J1599" s="1">
        <v>0.51803662233699999</v>
      </c>
      <c r="K1599" s="1">
        <v>20851.0164467</v>
      </c>
      <c r="L1599" s="1">
        <v>3855.1637888499999</v>
      </c>
      <c r="M1599" s="1" t="s">
        <v>198</v>
      </c>
      <c r="N1599" s="1" t="b">
        <v>1</v>
      </c>
    </row>
    <row r="1600" spans="1:14" ht="19" customHeight="1" x14ac:dyDescent="0.3">
      <c r="A1600">
        <v>1595</v>
      </c>
      <c r="B1600" s="1">
        <v>6</v>
      </c>
      <c r="C1600" s="1">
        <v>90</v>
      </c>
      <c r="D1600" s="1">
        <v>0.04</v>
      </c>
      <c r="E1600" s="1">
        <v>0.06</v>
      </c>
      <c r="F1600" s="1">
        <v>5</v>
      </c>
      <c r="G1600" s="1">
        <v>0</v>
      </c>
      <c r="H1600" s="1">
        <v>1.4572955242100001</v>
      </c>
      <c r="I1600" s="1">
        <v>1.70962219392</v>
      </c>
      <c r="J1600" s="1">
        <v>0.63925197846000004</v>
      </c>
      <c r="K1600" s="1">
        <v>23567.8057936</v>
      </c>
      <c r="L1600" s="1">
        <v>4757.2333171999999</v>
      </c>
      <c r="M1600" s="1" t="s">
        <v>198</v>
      </c>
      <c r="N1600" s="1" t="b">
        <v>1</v>
      </c>
    </row>
    <row r="1601" spans="1:14" ht="19" customHeight="1" x14ac:dyDescent="0.3">
      <c r="A1601">
        <v>1596</v>
      </c>
      <c r="B1601" s="1">
        <v>6</v>
      </c>
      <c r="C1601" s="1">
        <v>90</v>
      </c>
      <c r="D1601" s="1">
        <v>0.04</v>
      </c>
      <c r="E1601" s="1">
        <v>0.06</v>
      </c>
      <c r="F1601" s="1">
        <v>5</v>
      </c>
      <c r="G1601" s="1">
        <v>1</v>
      </c>
      <c r="H1601" s="1">
        <v>1.4572955242100001</v>
      </c>
      <c r="I1601" s="1">
        <v>1.2822166454399999</v>
      </c>
      <c r="J1601" s="1">
        <v>0.52418662233699997</v>
      </c>
      <c r="K1601" s="1">
        <v>20387.107127499999</v>
      </c>
      <c r="L1601" s="1">
        <v>3900.9313201</v>
      </c>
      <c r="M1601" s="1" t="s">
        <v>198</v>
      </c>
      <c r="N1601" s="1" t="b">
        <v>1</v>
      </c>
    </row>
    <row r="1602" spans="1:14" ht="19" customHeight="1" x14ac:dyDescent="0.3">
      <c r="A1602">
        <v>1597</v>
      </c>
      <c r="B1602" s="1">
        <v>6</v>
      </c>
      <c r="C1602" s="1">
        <v>90</v>
      </c>
      <c r="D1602" s="1">
        <v>0.04</v>
      </c>
      <c r="E1602" s="1">
        <v>8.5000000000000006E-2</v>
      </c>
      <c r="F1602" s="1">
        <v>-5</v>
      </c>
      <c r="G1602" s="1">
        <v>0</v>
      </c>
      <c r="H1602" s="1">
        <v>1.35197920622</v>
      </c>
      <c r="I1602" s="1">
        <v>1.55164771692</v>
      </c>
      <c r="J1602" s="1">
        <v>0.62982710894899996</v>
      </c>
      <c r="K1602" s="1">
        <v>21608.428608599999</v>
      </c>
      <c r="L1602" s="1">
        <v>4687.0946164099996</v>
      </c>
      <c r="M1602" s="1" t="s">
        <v>198</v>
      </c>
      <c r="N1602" s="1" t="b">
        <v>1</v>
      </c>
    </row>
    <row r="1603" spans="1:14" ht="19" customHeight="1" x14ac:dyDescent="0.3">
      <c r="A1603">
        <v>1598</v>
      </c>
      <c r="B1603" s="1">
        <v>6</v>
      </c>
      <c r="C1603" s="1">
        <v>90</v>
      </c>
      <c r="D1603" s="1">
        <v>0.04</v>
      </c>
      <c r="E1603" s="1">
        <v>8.5000000000000006E-2</v>
      </c>
      <c r="F1603" s="1">
        <v>-5</v>
      </c>
      <c r="G1603" s="1">
        <v>1</v>
      </c>
      <c r="H1603" s="1">
        <v>1.35197920622</v>
      </c>
      <c r="I1603" s="1">
        <v>1.1637357876900001</v>
      </c>
      <c r="J1603" s="1">
        <v>0.51645822933800001</v>
      </c>
      <c r="K1603" s="1">
        <v>18721.636520299999</v>
      </c>
      <c r="L1603" s="1">
        <v>3843.4175854499999</v>
      </c>
      <c r="M1603" s="1" t="s">
        <v>198</v>
      </c>
      <c r="N1603" s="1" t="b">
        <v>1</v>
      </c>
    </row>
    <row r="1604" spans="1:14" ht="19" customHeight="1" x14ac:dyDescent="0.3">
      <c r="A1604">
        <v>1599</v>
      </c>
      <c r="B1604" s="1">
        <v>6</v>
      </c>
      <c r="C1604" s="1">
        <v>90</v>
      </c>
      <c r="D1604" s="1">
        <v>0.04</v>
      </c>
      <c r="E1604" s="1">
        <v>8.5000000000000006E-2</v>
      </c>
      <c r="F1604" s="1">
        <v>0</v>
      </c>
      <c r="G1604" s="1">
        <v>0</v>
      </c>
      <c r="H1604" s="1">
        <v>1.38274353924</v>
      </c>
      <c r="I1604" s="1">
        <v>1.58695551373</v>
      </c>
      <c r="J1604" s="1">
        <v>0.62232710894900001</v>
      </c>
      <c r="K1604" s="1">
        <v>22100.1291399</v>
      </c>
      <c r="L1604" s="1">
        <v>4631.28055391</v>
      </c>
      <c r="M1604" s="1" t="s">
        <v>198</v>
      </c>
      <c r="N1604" s="1" t="b">
        <v>1</v>
      </c>
    </row>
    <row r="1605" spans="1:14" ht="19" customHeight="1" x14ac:dyDescent="0.3">
      <c r="A1605">
        <v>1600</v>
      </c>
      <c r="B1605" s="1">
        <v>6</v>
      </c>
      <c r="C1605" s="1">
        <v>90</v>
      </c>
      <c r="D1605" s="1">
        <v>0.04</v>
      </c>
      <c r="E1605" s="1">
        <v>8.5000000000000006E-2</v>
      </c>
      <c r="F1605" s="1">
        <v>0</v>
      </c>
      <c r="G1605" s="1">
        <v>1</v>
      </c>
      <c r="H1605" s="1">
        <v>1.38274353924</v>
      </c>
      <c r="I1605" s="1">
        <v>1.1902166353000001</v>
      </c>
      <c r="J1605" s="1">
        <v>0.51030822933800002</v>
      </c>
      <c r="K1605" s="1">
        <v>19147.6479989</v>
      </c>
      <c r="L1605" s="1">
        <v>3797.6500541999999</v>
      </c>
      <c r="M1605" s="1" t="s">
        <v>198</v>
      </c>
      <c r="N1605" s="1" t="b">
        <v>1</v>
      </c>
    </row>
    <row r="1606" spans="1:14" ht="19" customHeight="1" x14ac:dyDescent="0.3">
      <c r="A1606">
        <v>1601</v>
      </c>
      <c r="B1606" s="1">
        <v>6</v>
      </c>
      <c r="C1606" s="1">
        <v>90</v>
      </c>
      <c r="D1606" s="1">
        <v>0.04</v>
      </c>
      <c r="E1606" s="1">
        <v>8.5000000000000006E-2</v>
      </c>
      <c r="F1606" s="1">
        <v>5</v>
      </c>
      <c r="G1606" s="1">
        <v>0</v>
      </c>
      <c r="H1606" s="1">
        <v>1.35197920622</v>
      </c>
      <c r="I1606" s="1">
        <v>1.55164771692</v>
      </c>
      <c r="J1606" s="1">
        <v>0.62982710894899996</v>
      </c>
      <c r="K1606" s="1">
        <v>21608.428608599999</v>
      </c>
      <c r="L1606" s="1">
        <v>4687.0946164099996</v>
      </c>
      <c r="M1606" s="1" t="s">
        <v>198</v>
      </c>
      <c r="N1606" s="1" t="b">
        <v>1</v>
      </c>
    </row>
    <row r="1607" spans="1:14" ht="19" customHeight="1" x14ac:dyDescent="0.3">
      <c r="A1607">
        <v>1602</v>
      </c>
      <c r="B1607" s="1">
        <v>6</v>
      </c>
      <c r="C1607" s="1">
        <v>90</v>
      </c>
      <c r="D1607" s="1">
        <v>0.04</v>
      </c>
      <c r="E1607" s="1">
        <v>8.5000000000000006E-2</v>
      </c>
      <c r="F1607" s="1">
        <v>5</v>
      </c>
      <c r="G1607" s="1">
        <v>1</v>
      </c>
      <c r="H1607" s="1">
        <v>1.35197920622</v>
      </c>
      <c r="I1607" s="1">
        <v>1.1637357876900001</v>
      </c>
      <c r="J1607" s="1">
        <v>0.51645822933800001</v>
      </c>
      <c r="K1607" s="1">
        <v>18721.636520299999</v>
      </c>
      <c r="L1607" s="1">
        <v>3843.4175854499999</v>
      </c>
      <c r="M1607" s="1" t="s">
        <v>198</v>
      </c>
      <c r="N1607" s="1" t="b">
        <v>1</v>
      </c>
    </row>
    <row r="1608" spans="1:14" ht="19" customHeight="1" x14ac:dyDescent="0.3">
      <c r="A1608">
        <v>1603</v>
      </c>
      <c r="B1608" s="1">
        <v>6</v>
      </c>
      <c r="C1608" s="1">
        <v>90</v>
      </c>
      <c r="D1608" s="1">
        <v>5.5E-2</v>
      </c>
      <c r="E1608" s="1">
        <v>0.04</v>
      </c>
      <c r="F1608" s="1">
        <v>-5</v>
      </c>
      <c r="G1608" s="1">
        <v>0</v>
      </c>
      <c r="H1608" s="1">
        <v>1.27621460659</v>
      </c>
      <c r="I1608" s="1">
        <v>1.4380008174900001</v>
      </c>
      <c r="J1608" s="1">
        <v>0.62304685420200001</v>
      </c>
      <c r="K1608" s="1">
        <v>20198.851909100002</v>
      </c>
      <c r="L1608" s="1">
        <v>4636.6368081099999</v>
      </c>
      <c r="M1608" s="1" t="s">
        <v>198</v>
      </c>
      <c r="N1608" s="1" t="b">
        <v>1</v>
      </c>
    </row>
    <row r="1609" spans="1:14" ht="19" customHeight="1" x14ac:dyDescent="0.3">
      <c r="A1609">
        <v>1604</v>
      </c>
      <c r="B1609" s="1">
        <v>6</v>
      </c>
      <c r="C1609" s="1">
        <v>90</v>
      </c>
      <c r="D1609" s="1">
        <v>5.5E-2</v>
      </c>
      <c r="E1609" s="1">
        <v>0.04</v>
      </c>
      <c r="F1609" s="1">
        <v>-5</v>
      </c>
      <c r="G1609" s="1">
        <v>1</v>
      </c>
      <c r="H1609" s="1">
        <v>1.27621460659</v>
      </c>
      <c r="I1609" s="1">
        <v>1.0785006131199999</v>
      </c>
      <c r="J1609" s="1">
        <v>0.51089842044599998</v>
      </c>
      <c r="K1609" s="1">
        <v>17523.496325600001</v>
      </c>
      <c r="L1609" s="1">
        <v>3802.0421826500001</v>
      </c>
      <c r="M1609" s="1" t="s">
        <v>198</v>
      </c>
      <c r="N1609" s="1" t="b">
        <v>1</v>
      </c>
    </row>
    <row r="1610" spans="1:14" ht="19" customHeight="1" x14ac:dyDescent="0.3">
      <c r="A1610">
        <v>1605</v>
      </c>
      <c r="B1610" s="1">
        <v>6</v>
      </c>
      <c r="C1610" s="1">
        <v>90</v>
      </c>
      <c r="D1610" s="1">
        <v>5.5E-2</v>
      </c>
      <c r="E1610" s="1">
        <v>0.04</v>
      </c>
      <c r="F1610" s="1">
        <v>0</v>
      </c>
      <c r="G1610" s="1">
        <v>0</v>
      </c>
      <c r="H1610" s="1">
        <v>1.30525491356</v>
      </c>
      <c r="I1610" s="1">
        <v>1.4707225752199999</v>
      </c>
      <c r="J1610" s="1">
        <v>0.61554685420199995</v>
      </c>
      <c r="K1610" s="1">
        <v>20658.477474300002</v>
      </c>
      <c r="L1610" s="1">
        <v>4580.8227456100003</v>
      </c>
      <c r="M1610" s="1" t="s">
        <v>198</v>
      </c>
      <c r="N1610" s="1" t="b">
        <v>1</v>
      </c>
    </row>
    <row r="1611" spans="1:14" ht="19" customHeight="1" x14ac:dyDescent="0.3">
      <c r="A1611">
        <v>1606</v>
      </c>
      <c r="B1611" s="1">
        <v>6</v>
      </c>
      <c r="C1611" s="1">
        <v>90</v>
      </c>
      <c r="D1611" s="1">
        <v>5.5E-2</v>
      </c>
      <c r="E1611" s="1">
        <v>0.04</v>
      </c>
      <c r="F1611" s="1">
        <v>0</v>
      </c>
      <c r="G1611" s="1">
        <v>1</v>
      </c>
      <c r="H1611" s="1">
        <v>1.30525491356</v>
      </c>
      <c r="I1611" s="1">
        <v>1.10304193141</v>
      </c>
      <c r="J1611" s="1">
        <v>0.50474842044599999</v>
      </c>
      <c r="K1611" s="1">
        <v>17922.244083199999</v>
      </c>
      <c r="L1611" s="1">
        <v>3756.2746514</v>
      </c>
      <c r="M1611" s="1" t="s">
        <v>198</v>
      </c>
      <c r="N1611" s="1" t="b">
        <v>1</v>
      </c>
    </row>
    <row r="1612" spans="1:14" ht="19" customHeight="1" x14ac:dyDescent="0.3">
      <c r="A1612">
        <v>1607</v>
      </c>
      <c r="B1612" s="1">
        <v>6</v>
      </c>
      <c r="C1612" s="1">
        <v>90</v>
      </c>
      <c r="D1612" s="1">
        <v>5.5E-2</v>
      </c>
      <c r="E1612" s="1">
        <v>0.04</v>
      </c>
      <c r="F1612" s="1">
        <v>5</v>
      </c>
      <c r="G1612" s="1">
        <v>0</v>
      </c>
      <c r="H1612" s="1">
        <v>1.27621460659</v>
      </c>
      <c r="I1612" s="1">
        <v>1.4380008174900001</v>
      </c>
      <c r="J1612" s="1">
        <v>0.62304685420200001</v>
      </c>
      <c r="K1612" s="1">
        <v>20198.851909100002</v>
      </c>
      <c r="L1612" s="1">
        <v>4636.6368081099999</v>
      </c>
      <c r="M1612" s="1" t="s">
        <v>198</v>
      </c>
      <c r="N1612" s="1" t="b">
        <v>1</v>
      </c>
    </row>
    <row r="1613" spans="1:14" ht="19" customHeight="1" x14ac:dyDescent="0.3">
      <c r="A1613">
        <v>1608</v>
      </c>
      <c r="B1613" s="1">
        <v>6</v>
      </c>
      <c r="C1613" s="1">
        <v>90</v>
      </c>
      <c r="D1613" s="1">
        <v>5.5E-2</v>
      </c>
      <c r="E1613" s="1">
        <v>0.04</v>
      </c>
      <c r="F1613" s="1">
        <v>5</v>
      </c>
      <c r="G1613" s="1">
        <v>1</v>
      </c>
      <c r="H1613" s="1">
        <v>1.27621460659</v>
      </c>
      <c r="I1613" s="1">
        <v>1.0785006131199999</v>
      </c>
      <c r="J1613" s="1">
        <v>0.51089842044599998</v>
      </c>
      <c r="K1613" s="1">
        <v>17523.496325600001</v>
      </c>
      <c r="L1613" s="1">
        <v>3802.0421826500001</v>
      </c>
      <c r="M1613" s="1" t="s">
        <v>198</v>
      </c>
      <c r="N1613" s="1" t="b">
        <v>1</v>
      </c>
    </row>
    <row r="1614" spans="1:14" ht="19" customHeight="1" x14ac:dyDescent="0.3">
      <c r="A1614">
        <v>1609</v>
      </c>
      <c r="B1614" s="1">
        <v>6</v>
      </c>
      <c r="C1614" s="1">
        <v>90</v>
      </c>
      <c r="D1614" s="1">
        <v>5.5E-2</v>
      </c>
      <c r="E1614" s="1">
        <v>0.06</v>
      </c>
      <c r="F1614" s="1">
        <v>-5</v>
      </c>
      <c r="G1614" s="1">
        <v>0</v>
      </c>
      <c r="H1614" s="1">
        <v>1.3038442063</v>
      </c>
      <c r="I1614" s="1">
        <v>1.4794452170500001</v>
      </c>
      <c r="J1614" s="1">
        <v>0.62551945651899998</v>
      </c>
      <c r="K1614" s="1">
        <v>20712.891977399999</v>
      </c>
      <c r="L1614" s="1">
        <v>4655.0376054799999</v>
      </c>
      <c r="M1614" s="1" t="s">
        <v>198</v>
      </c>
      <c r="N1614" s="1" t="b">
        <v>1</v>
      </c>
    </row>
    <row r="1615" spans="1:14" ht="19" customHeight="1" x14ac:dyDescent="0.3">
      <c r="A1615">
        <v>1610</v>
      </c>
      <c r="B1615" s="1">
        <v>6</v>
      </c>
      <c r="C1615" s="1">
        <v>90</v>
      </c>
      <c r="D1615" s="1">
        <v>5.5E-2</v>
      </c>
      <c r="E1615" s="1">
        <v>0.06</v>
      </c>
      <c r="F1615" s="1">
        <v>-5</v>
      </c>
      <c r="G1615" s="1">
        <v>1</v>
      </c>
      <c r="H1615" s="1">
        <v>1.3038442063</v>
      </c>
      <c r="I1615" s="1">
        <v>1.10958391279</v>
      </c>
      <c r="J1615" s="1">
        <v>0.51292595434499999</v>
      </c>
      <c r="K1615" s="1">
        <v>17960.430383700001</v>
      </c>
      <c r="L1615" s="1">
        <v>3817.1308364900001</v>
      </c>
      <c r="M1615" s="1" t="s">
        <v>198</v>
      </c>
      <c r="N1615" s="1" t="b">
        <v>1</v>
      </c>
    </row>
    <row r="1616" spans="1:14" ht="19" customHeight="1" x14ac:dyDescent="0.3">
      <c r="A1616">
        <v>1611</v>
      </c>
      <c r="B1616" s="1">
        <v>6</v>
      </c>
      <c r="C1616" s="1">
        <v>90</v>
      </c>
      <c r="D1616" s="1">
        <v>5.5E-2</v>
      </c>
      <c r="E1616" s="1">
        <v>0.06</v>
      </c>
      <c r="F1616" s="1">
        <v>0</v>
      </c>
      <c r="G1616" s="1">
        <v>0</v>
      </c>
      <c r="H1616" s="1">
        <v>1.33351322576</v>
      </c>
      <c r="I1616" s="1">
        <v>1.51311004351</v>
      </c>
      <c r="J1616" s="1">
        <v>0.61801945651900003</v>
      </c>
      <c r="K1616" s="1">
        <v>21184.214541900001</v>
      </c>
      <c r="L1616" s="1">
        <v>4599.2235429800003</v>
      </c>
      <c r="M1616" s="1" t="s">
        <v>198</v>
      </c>
      <c r="N1616" s="1" t="b">
        <v>1</v>
      </c>
    </row>
    <row r="1617" spans="1:14" ht="19" customHeight="1" x14ac:dyDescent="0.3">
      <c r="A1617">
        <v>1612</v>
      </c>
      <c r="B1617" s="1">
        <v>6</v>
      </c>
      <c r="C1617" s="1">
        <v>90</v>
      </c>
      <c r="D1617" s="1">
        <v>5.5E-2</v>
      </c>
      <c r="E1617" s="1">
        <v>0.06</v>
      </c>
      <c r="F1617" s="1">
        <v>0</v>
      </c>
      <c r="G1617" s="1">
        <v>1</v>
      </c>
      <c r="H1617" s="1">
        <v>1.33351322576</v>
      </c>
      <c r="I1617" s="1">
        <v>1.1348325326299999</v>
      </c>
      <c r="J1617" s="1">
        <v>0.506775954345</v>
      </c>
      <c r="K1617" s="1">
        <v>18369.1205907</v>
      </c>
      <c r="L1617" s="1">
        <v>3771.36330524</v>
      </c>
      <c r="M1617" s="1" t="s">
        <v>198</v>
      </c>
      <c r="N1617" s="1" t="b">
        <v>1</v>
      </c>
    </row>
    <row r="1618" spans="1:14" ht="19" customHeight="1" x14ac:dyDescent="0.3">
      <c r="A1618">
        <v>1613</v>
      </c>
      <c r="B1618" s="1">
        <v>6</v>
      </c>
      <c r="C1618" s="1">
        <v>90</v>
      </c>
      <c r="D1618" s="1">
        <v>5.5E-2</v>
      </c>
      <c r="E1618" s="1">
        <v>0.06</v>
      </c>
      <c r="F1618" s="1">
        <v>5</v>
      </c>
      <c r="G1618" s="1">
        <v>0</v>
      </c>
      <c r="H1618" s="1">
        <v>1.3038442063</v>
      </c>
      <c r="I1618" s="1">
        <v>1.4794452170500001</v>
      </c>
      <c r="J1618" s="1">
        <v>0.62551945651899998</v>
      </c>
      <c r="K1618" s="1">
        <v>20712.891977399999</v>
      </c>
      <c r="L1618" s="1">
        <v>4655.0376054799999</v>
      </c>
      <c r="M1618" s="1" t="s">
        <v>198</v>
      </c>
      <c r="N1618" s="1" t="b">
        <v>1</v>
      </c>
    </row>
    <row r="1619" spans="1:14" ht="19" customHeight="1" x14ac:dyDescent="0.3">
      <c r="A1619">
        <v>1614</v>
      </c>
      <c r="B1619" s="1">
        <v>6</v>
      </c>
      <c r="C1619" s="1">
        <v>90</v>
      </c>
      <c r="D1619" s="1">
        <v>5.5E-2</v>
      </c>
      <c r="E1619" s="1">
        <v>0.06</v>
      </c>
      <c r="F1619" s="1">
        <v>5</v>
      </c>
      <c r="G1619" s="1">
        <v>1</v>
      </c>
      <c r="H1619" s="1">
        <v>1.3038442063</v>
      </c>
      <c r="I1619" s="1">
        <v>1.10958391279</v>
      </c>
      <c r="J1619" s="1">
        <v>0.51292595434499999</v>
      </c>
      <c r="K1619" s="1">
        <v>17960.430383700001</v>
      </c>
      <c r="L1619" s="1">
        <v>3817.1308364900001</v>
      </c>
      <c r="M1619" s="1" t="s">
        <v>198</v>
      </c>
      <c r="N1619" s="1" t="b">
        <v>1</v>
      </c>
    </row>
    <row r="1620" spans="1:14" ht="19" customHeight="1" x14ac:dyDescent="0.3">
      <c r="A1620">
        <v>1615</v>
      </c>
      <c r="B1620" s="1">
        <v>6</v>
      </c>
      <c r="C1620" s="1">
        <v>90</v>
      </c>
      <c r="D1620" s="1">
        <v>5.5E-2</v>
      </c>
      <c r="E1620" s="1">
        <v>8.5000000000000006E-2</v>
      </c>
      <c r="F1620" s="1">
        <v>-5</v>
      </c>
      <c r="G1620" s="1">
        <v>0</v>
      </c>
      <c r="H1620" s="1">
        <v>1.2332096607900001</v>
      </c>
      <c r="I1620" s="1">
        <v>1.37349339878</v>
      </c>
      <c r="J1620" s="1">
        <v>0.61919829578100005</v>
      </c>
      <c r="K1620" s="1">
        <v>19398.7583314</v>
      </c>
      <c r="L1620" s="1">
        <v>4607.9963174100003</v>
      </c>
      <c r="M1620" s="1" t="s">
        <v>198</v>
      </c>
      <c r="N1620" s="1" t="b">
        <v>1</v>
      </c>
    </row>
    <row r="1621" spans="1:14" ht="19" customHeight="1" x14ac:dyDescent="0.3">
      <c r="A1621">
        <v>1616</v>
      </c>
      <c r="B1621" s="1">
        <v>6</v>
      </c>
      <c r="C1621" s="1">
        <v>90</v>
      </c>
      <c r="D1621" s="1">
        <v>5.5E-2</v>
      </c>
      <c r="E1621" s="1">
        <v>8.5000000000000006E-2</v>
      </c>
      <c r="F1621" s="1">
        <v>-5</v>
      </c>
      <c r="G1621" s="1">
        <v>1</v>
      </c>
      <c r="H1621" s="1">
        <v>1.2332096607900001</v>
      </c>
      <c r="I1621" s="1">
        <v>1.03012004908</v>
      </c>
      <c r="J1621" s="1">
        <v>0.50774260254000003</v>
      </c>
      <c r="K1621" s="1">
        <v>16843.416784599998</v>
      </c>
      <c r="L1621" s="1">
        <v>3778.5569802800001</v>
      </c>
      <c r="M1621" s="1" t="s">
        <v>198</v>
      </c>
      <c r="N1621" s="1" t="b">
        <v>1</v>
      </c>
    </row>
    <row r="1622" spans="1:14" ht="19" customHeight="1" x14ac:dyDescent="0.3">
      <c r="A1622">
        <v>1617</v>
      </c>
      <c r="B1622" s="1">
        <v>6</v>
      </c>
      <c r="C1622" s="1">
        <v>90</v>
      </c>
      <c r="D1622" s="1">
        <v>5.5E-2</v>
      </c>
      <c r="E1622" s="1">
        <v>8.5000000000000006E-2</v>
      </c>
      <c r="F1622" s="1">
        <v>0</v>
      </c>
      <c r="G1622" s="1">
        <v>0</v>
      </c>
      <c r="H1622" s="1">
        <v>1.26127138875</v>
      </c>
      <c r="I1622" s="1">
        <v>1.40474728799</v>
      </c>
      <c r="J1622" s="1">
        <v>0.61169829578099999</v>
      </c>
      <c r="K1622" s="1">
        <v>19840.177739999999</v>
      </c>
      <c r="L1622" s="1">
        <v>4552.1822549099998</v>
      </c>
      <c r="M1622" s="1" t="s">
        <v>198</v>
      </c>
      <c r="N1622" s="1" t="b">
        <v>1</v>
      </c>
    </row>
    <row r="1623" spans="1:14" ht="19" customHeight="1" x14ac:dyDescent="0.3">
      <c r="A1623">
        <v>1618</v>
      </c>
      <c r="B1623" s="1">
        <v>6</v>
      </c>
      <c r="C1623" s="1">
        <v>90</v>
      </c>
      <c r="D1623" s="1">
        <v>5.5E-2</v>
      </c>
      <c r="E1623" s="1">
        <v>8.5000000000000006E-2</v>
      </c>
      <c r="F1623" s="1">
        <v>0</v>
      </c>
      <c r="G1623" s="1">
        <v>1</v>
      </c>
      <c r="H1623" s="1">
        <v>1.26127138875</v>
      </c>
      <c r="I1623" s="1">
        <v>1.05356046599</v>
      </c>
      <c r="J1623" s="1">
        <v>0.50159260254000004</v>
      </c>
      <c r="K1623" s="1">
        <v>17226.689309000001</v>
      </c>
      <c r="L1623" s="1">
        <v>3732.78944903</v>
      </c>
      <c r="M1623" s="1" t="s">
        <v>198</v>
      </c>
      <c r="N1623" s="1" t="b">
        <v>1</v>
      </c>
    </row>
    <row r="1624" spans="1:14" ht="19" customHeight="1" x14ac:dyDescent="0.3">
      <c r="A1624">
        <v>1619</v>
      </c>
      <c r="B1624" s="1">
        <v>6</v>
      </c>
      <c r="C1624" s="1">
        <v>90</v>
      </c>
      <c r="D1624" s="1">
        <v>5.5E-2</v>
      </c>
      <c r="E1624" s="1">
        <v>8.5000000000000006E-2</v>
      </c>
      <c r="F1624" s="1">
        <v>5</v>
      </c>
      <c r="G1624" s="1">
        <v>0</v>
      </c>
      <c r="H1624" s="1">
        <v>1.2332096607900001</v>
      </c>
      <c r="I1624" s="1">
        <v>1.37349339878</v>
      </c>
      <c r="J1624" s="1">
        <v>0.61919829578100005</v>
      </c>
      <c r="K1624" s="1">
        <v>19398.7583314</v>
      </c>
      <c r="L1624" s="1">
        <v>4607.9963174100003</v>
      </c>
      <c r="M1624" s="1" t="s">
        <v>198</v>
      </c>
      <c r="N1624" s="1" t="b">
        <v>1</v>
      </c>
    </row>
    <row r="1625" spans="1:14" ht="19" customHeight="1" x14ac:dyDescent="0.3">
      <c r="A1625">
        <v>1620</v>
      </c>
      <c r="B1625" s="1">
        <v>6</v>
      </c>
      <c r="C1625" s="1">
        <v>90</v>
      </c>
      <c r="D1625" s="1">
        <v>5.5E-2</v>
      </c>
      <c r="E1625" s="1">
        <v>8.5000000000000006E-2</v>
      </c>
      <c r="F1625" s="1">
        <v>5</v>
      </c>
      <c r="G1625" s="1">
        <v>1</v>
      </c>
      <c r="H1625" s="1">
        <v>1.2332096607900001</v>
      </c>
      <c r="I1625" s="1">
        <v>1.03012004908</v>
      </c>
      <c r="J1625" s="1">
        <v>0.50774260254000003</v>
      </c>
      <c r="K1625" s="1">
        <v>16843.416784599998</v>
      </c>
      <c r="L1625" s="1">
        <v>3778.5569802800001</v>
      </c>
      <c r="M1625" s="1" t="s">
        <v>198</v>
      </c>
      <c r="N1625" s="1" t="b">
        <v>1</v>
      </c>
    </row>
    <row r="1626" spans="1:14" ht="19" customHeight="1" x14ac:dyDescent="0.3">
      <c r="A1626">
        <v>1621</v>
      </c>
      <c r="B1626" s="1">
        <v>7</v>
      </c>
      <c r="C1626" s="1">
        <v>0</v>
      </c>
      <c r="D1626" s="1">
        <v>2.5000000000000001E-2</v>
      </c>
      <c r="E1626" s="1">
        <v>0.04</v>
      </c>
      <c r="F1626" s="1">
        <v>-5</v>
      </c>
      <c r="G1626" s="1">
        <v>0</v>
      </c>
      <c r="H1626" s="1">
        <v>1.4698034744399999</v>
      </c>
      <c r="I1626" s="1">
        <v>1.7798286886100001</v>
      </c>
      <c r="J1626" s="1">
        <v>0.76327415168599999</v>
      </c>
      <c r="K1626" s="1">
        <v>0</v>
      </c>
      <c r="L1626" s="1">
        <v>0</v>
      </c>
      <c r="M1626" s="1" t="s">
        <v>198</v>
      </c>
      <c r="N1626" s="1" t="b">
        <v>1</v>
      </c>
    </row>
    <row r="1627" spans="1:14" ht="19" customHeight="1" x14ac:dyDescent="0.3">
      <c r="A1627">
        <v>1622</v>
      </c>
      <c r="B1627" s="1">
        <v>7</v>
      </c>
      <c r="C1627" s="1">
        <v>0</v>
      </c>
      <c r="D1627" s="1">
        <v>2.5000000000000001E-2</v>
      </c>
      <c r="E1627" s="1">
        <v>0.04</v>
      </c>
      <c r="F1627" s="1">
        <v>-5</v>
      </c>
      <c r="G1627" s="1">
        <v>1</v>
      </c>
      <c r="H1627" s="1">
        <v>1.4698034744399999</v>
      </c>
      <c r="I1627" s="1">
        <v>1.33487151646</v>
      </c>
      <c r="J1627" s="1">
        <v>0.625884804382</v>
      </c>
      <c r="K1627" s="1">
        <v>0</v>
      </c>
      <c r="L1627" s="1">
        <v>0</v>
      </c>
      <c r="M1627" s="1" t="s">
        <v>198</v>
      </c>
      <c r="N1627" s="1" t="b">
        <v>1</v>
      </c>
    </row>
    <row r="1628" spans="1:14" ht="19" customHeight="1" x14ac:dyDescent="0.3">
      <c r="A1628">
        <v>1623</v>
      </c>
      <c r="B1628" s="1">
        <v>7</v>
      </c>
      <c r="C1628" s="1">
        <v>0</v>
      </c>
      <c r="D1628" s="1">
        <v>2.5000000000000001E-2</v>
      </c>
      <c r="E1628" s="1">
        <v>0.04</v>
      </c>
      <c r="F1628" s="1">
        <v>0</v>
      </c>
      <c r="G1628" s="1">
        <v>0</v>
      </c>
      <c r="H1628" s="1">
        <v>1.50324890272</v>
      </c>
      <c r="I1628" s="1">
        <v>1.8203287512299999</v>
      </c>
      <c r="J1628" s="1">
        <v>0.75577415168600004</v>
      </c>
      <c r="K1628" s="1">
        <v>0</v>
      </c>
      <c r="L1628" s="1">
        <v>0</v>
      </c>
      <c r="M1628" s="1" t="s">
        <v>198</v>
      </c>
      <c r="N1628" s="1" t="b">
        <v>1</v>
      </c>
    </row>
    <row r="1629" spans="1:14" ht="19" customHeight="1" x14ac:dyDescent="0.3">
      <c r="A1629">
        <v>1624</v>
      </c>
      <c r="B1629" s="1">
        <v>7</v>
      </c>
      <c r="C1629" s="1">
        <v>0</v>
      </c>
      <c r="D1629" s="1">
        <v>2.5000000000000001E-2</v>
      </c>
      <c r="E1629" s="1">
        <v>0.04</v>
      </c>
      <c r="F1629" s="1">
        <v>0</v>
      </c>
      <c r="G1629" s="1">
        <v>1</v>
      </c>
      <c r="H1629" s="1">
        <v>1.50324890272</v>
      </c>
      <c r="I1629" s="1">
        <v>1.3652465634199999</v>
      </c>
      <c r="J1629" s="1">
        <v>0.61973480438200002</v>
      </c>
      <c r="K1629" s="1">
        <v>0</v>
      </c>
      <c r="L1629" s="1">
        <v>0</v>
      </c>
      <c r="M1629" s="1" t="s">
        <v>198</v>
      </c>
      <c r="N1629" s="1" t="b">
        <v>1</v>
      </c>
    </row>
    <row r="1630" spans="1:14" ht="19" customHeight="1" x14ac:dyDescent="0.3">
      <c r="A1630">
        <v>1625</v>
      </c>
      <c r="B1630" s="1">
        <v>7</v>
      </c>
      <c r="C1630" s="1">
        <v>0</v>
      </c>
      <c r="D1630" s="1">
        <v>2.5000000000000001E-2</v>
      </c>
      <c r="E1630" s="1">
        <v>0.04</v>
      </c>
      <c r="F1630" s="1">
        <v>5</v>
      </c>
      <c r="G1630" s="1">
        <v>0</v>
      </c>
      <c r="H1630" s="1">
        <v>1.4698034744399999</v>
      </c>
      <c r="I1630" s="1">
        <v>1.7798286886100001</v>
      </c>
      <c r="J1630" s="1">
        <v>0.76327415168599999</v>
      </c>
      <c r="K1630" s="1">
        <v>0</v>
      </c>
      <c r="L1630" s="1">
        <v>0</v>
      </c>
      <c r="M1630" s="1" t="s">
        <v>198</v>
      </c>
      <c r="N1630" s="1" t="b">
        <v>1</v>
      </c>
    </row>
    <row r="1631" spans="1:14" ht="19" customHeight="1" x14ac:dyDescent="0.3">
      <c r="A1631">
        <v>1626</v>
      </c>
      <c r="B1631" s="1">
        <v>7</v>
      </c>
      <c r="C1631" s="1">
        <v>0</v>
      </c>
      <c r="D1631" s="1">
        <v>2.5000000000000001E-2</v>
      </c>
      <c r="E1631" s="1">
        <v>0.04</v>
      </c>
      <c r="F1631" s="1">
        <v>5</v>
      </c>
      <c r="G1631" s="1">
        <v>1</v>
      </c>
      <c r="H1631" s="1">
        <v>1.4698034744399999</v>
      </c>
      <c r="I1631" s="1">
        <v>1.33487151646</v>
      </c>
      <c r="J1631" s="1">
        <v>0.625884804382</v>
      </c>
      <c r="K1631" s="1">
        <v>0</v>
      </c>
      <c r="L1631" s="1">
        <v>0</v>
      </c>
      <c r="M1631" s="1" t="s">
        <v>198</v>
      </c>
      <c r="N1631" s="1" t="b">
        <v>1</v>
      </c>
    </row>
    <row r="1632" spans="1:14" ht="19" customHeight="1" x14ac:dyDescent="0.3">
      <c r="A1632">
        <v>1627</v>
      </c>
      <c r="B1632" s="1">
        <v>7</v>
      </c>
      <c r="C1632" s="1">
        <v>0</v>
      </c>
      <c r="D1632" s="1">
        <v>2.5000000000000001E-2</v>
      </c>
      <c r="E1632" s="1">
        <v>0.06</v>
      </c>
      <c r="F1632" s="1">
        <v>-5</v>
      </c>
      <c r="G1632" s="1">
        <v>0</v>
      </c>
      <c r="H1632" s="1">
        <v>1.51041848808</v>
      </c>
      <c r="I1632" s="1">
        <v>1.84075120907</v>
      </c>
      <c r="J1632" s="1">
        <v>0.76690883253099995</v>
      </c>
      <c r="K1632" s="1">
        <v>0</v>
      </c>
      <c r="L1632" s="1">
        <v>0</v>
      </c>
      <c r="M1632" s="1" t="s">
        <v>198</v>
      </c>
      <c r="N1632" s="1" t="b">
        <v>1</v>
      </c>
    </row>
    <row r="1633" spans="1:14" ht="19" customHeight="1" x14ac:dyDescent="0.3">
      <c r="A1633">
        <v>1628</v>
      </c>
      <c r="B1633" s="1">
        <v>7</v>
      </c>
      <c r="C1633" s="1">
        <v>0</v>
      </c>
      <c r="D1633" s="1">
        <v>2.5000000000000001E-2</v>
      </c>
      <c r="E1633" s="1">
        <v>0.06</v>
      </c>
      <c r="F1633" s="1">
        <v>-5</v>
      </c>
      <c r="G1633" s="1">
        <v>1</v>
      </c>
      <c r="H1633" s="1">
        <v>1.51041848808</v>
      </c>
      <c r="I1633" s="1">
        <v>1.3805634067999999</v>
      </c>
      <c r="J1633" s="1">
        <v>0.62886524267499999</v>
      </c>
      <c r="K1633" s="1">
        <v>0</v>
      </c>
      <c r="L1633" s="1">
        <v>0</v>
      </c>
      <c r="M1633" s="1" t="s">
        <v>198</v>
      </c>
      <c r="N1633" s="1" t="b">
        <v>1</v>
      </c>
    </row>
    <row r="1634" spans="1:14" ht="19" customHeight="1" x14ac:dyDescent="0.3">
      <c r="A1634">
        <v>1629</v>
      </c>
      <c r="B1634" s="1">
        <v>7</v>
      </c>
      <c r="C1634" s="1">
        <v>0</v>
      </c>
      <c r="D1634" s="1">
        <v>2.5000000000000001E-2</v>
      </c>
      <c r="E1634" s="1">
        <v>0.06</v>
      </c>
      <c r="F1634" s="1">
        <v>0</v>
      </c>
      <c r="G1634" s="1">
        <v>0</v>
      </c>
      <c r="H1634" s="1">
        <v>1.54478811238</v>
      </c>
      <c r="I1634" s="1">
        <v>1.8826375657200001</v>
      </c>
      <c r="J1634" s="1">
        <v>0.759408832531</v>
      </c>
      <c r="K1634" s="1">
        <v>0</v>
      </c>
      <c r="L1634" s="1">
        <v>0</v>
      </c>
      <c r="M1634" s="1" t="s">
        <v>198</v>
      </c>
      <c r="N1634" s="1" t="b">
        <v>1</v>
      </c>
    </row>
    <row r="1635" spans="1:14" ht="19" customHeight="1" x14ac:dyDescent="0.3">
      <c r="A1635">
        <v>1630</v>
      </c>
      <c r="B1635" s="1">
        <v>7</v>
      </c>
      <c r="C1635" s="1">
        <v>0</v>
      </c>
      <c r="D1635" s="1">
        <v>2.5000000000000001E-2</v>
      </c>
      <c r="E1635" s="1">
        <v>0.06</v>
      </c>
      <c r="F1635" s="1">
        <v>0</v>
      </c>
      <c r="G1635" s="1">
        <v>1</v>
      </c>
      <c r="H1635" s="1">
        <v>1.54478811238</v>
      </c>
      <c r="I1635" s="1">
        <v>1.4119781742899999</v>
      </c>
      <c r="J1635" s="1">
        <v>0.622715242675</v>
      </c>
      <c r="K1635" s="1">
        <v>0</v>
      </c>
      <c r="L1635" s="1">
        <v>0</v>
      </c>
      <c r="M1635" s="1" t="s">
        <v>198</v>
      </c>
      <c r="N1635" s="1" t="b">
        <v>1</v>
      </c>
    </row>
    <row r="1636" spans="1:14" ht="19" customHeight="1" x14ac:dyDescent="0.3">
      <c r="A1636">
        <v>1631</v>
      </c>
      <c r="B1636" s="1">
        <v>7</v>
      </c>
      <c r="C1636" s="1">
        <v>0</v>
      </c>
      <c r="D1636" s="1">
        <v>2.5000000000000001E-2</v>
      </c>
      <c r="E1636" s="1">
        <v>0.06</v>
      </c>
      <c r="F1636" s="1">
        <v>5</v>
      </c>
      <c r="G1636" s="1">
        <v>0</v>
      </c>
      <c r="H1636" s="1">
        <v>1.51041848808</v>
      </c>
      <c r="I1636" s="1">
        <v>1.84075120907</v>
      </c>
      <c r="J1636" s="1">
        <v>0.76690883253099995</v>
      </c>
      <c r="K1636" s="1">
        <v>0</v>
      </c>
      <c r="L1636" s="1">
        <v>0</v>
      </c>
      <c r="M1636" s="1" t="s">
        <v>198</v>
      </c>
      <c r="N1636" s="1" t="b">
        <v>1</v>
      </c>
    </row>
    <row r="1637" spans="1:14" ht="19" customHeight="1" x14ac:dyDescent="0.3">
      <c r="A1637">
        <v>1632</v>
      </c>
      <c r="B1637" s="1">
        <v>7</v>
      </c>
      <c r="C1637" s="1">
        <v>0</v>
      </c>
      <c r="D1637" s="1">
        <v>2.5000000000000001E-2</v>
      </c>
      <c r="E1637" s="1">
        <v>0.06</v>
      </c>
      <c r="F1637" s="1">
        <v>5</v>
      </c>
      <c r="G1637" s="1">
        <v>1</v>
      </c>
      <c r="H1637" s="1">
        <v>1.51041848808</v>
      </c>
      <c r="I1637" s="1">
        <v>1.3805634067999999</v>
      </c>
      <c r="J1637" s="1">
        <v>0.62886524267499999</v>
      </c>
      <c r="K1637" s="1">
        <v>0</v>
      </c>
      <c r="L1637" s="1">
        <v>0</v>
      </c>
      <c r="M1637" s="1" t="s">
        <v>198</v>
      </c>
      <c r="N1637" s="1" t="b">
        <v>1</v>
      </c>
    </row>
    <row r="1638" spans="1:14" ht="19" customHeight="1" x14ac:dyDescent="0.3">
      <c r="A1638">
        <v>1633</v>
      </c>
      <c r="B1638" s="1">
        <v>7</v>
      </c>
      <c r="C1638" s="1">
        <v>0</v>
      </c>
      <c r="D1638" s="1">
        <v>2.5000000000000001E-2</v>
      </c>
      <c r="E1638" s="1">
        <v>8.5000000000000006E-2</v>
      </c>
      <c r="F1638" s="1">
        <v>-5</v>
      </c>
      <c r="G1638" s="1">
        <v>0</v>
      </c>
      <c r="H1638" s="1">
        <v>1.4065869791300001</v>
      </c>
      <c r="I1638" s="1">
        <v>1.6850039456499999</v>
      </c>
      <c r="J1638" s="1">
        <v>0.75761684016399999</v>
      </c>
      <c r="K1638" s="1">
        <v>0</v>
      </c>
      <c r="L1638" s="1">
        <v>0</v>
      </c>
      <c r="M1638" s="1" t="s">
        <v>198</v>
      </c>
      <c r="N1638" s="1" t="b">
        <v>1</v>
      </c>
    </row>
    <row r="1639" spans="1:14" ht="19" customHeight="1" x14ac:dyDescent="0.3">
      <c r="A1639">
        <v>1634</v>
      </c>
      <c r="B1639" s="1">
        <v>7</v>
      </c>
      <c r="C1639" s="1">
        <v>0</v>
      </c>
      <c r="D1639" s="1">
        <v>2.5000000000000001E-2</v>
      </c>
      <c r="E1639" s="1">
        <v>8.5000000000000006E-2</v>
      </c>
      <c r="F1639" s="1">
        <v>-5</v>
      </c>
      <c r="G1639" s="1">
        <v>1</v>
      </c>
      <c r="H1639" s="1">
        <v>1.4065869791300001</v>
      </c>
      <c r="I1639" s="1">
        <v>1.2637529592400001</v>
      </c>
      <c r="J1639" s="1">
        <v>0.62124580893400005</v>
      </c>
      <c r="K1639" s="1">
        <v>0</v>
      </c>
      <c r="L1639" s="1">
        <v>0</v>
      </c>
      <c r="M1639" s="1" t="s">
        <v>198</v>
      </c>
      <c r="N1639" s="1" t="b">
        <v>1</v>
      </c>
    </row>
    <row r="1640" spans="1:14" ht="19" customHeight="1" x14ac:dyDescent="0.3">
      <c r="A1640">
        <v>1635</v>
      </c>
      <c r="B1640" s="1">
        <v>7</v>
      </c>
      <c r="C1640" s="1">
        <v>0</v>
      </c>
      <c r="D1640" s="1">
        <v>2.5000000000000001E-2</v>
      </c>
      <c r="E1640" s="1">
        <v>8.5000000000000006E-2</v>
      </c>
      <c r="F1640" s="1">
        <v>0</v>
      </c>
      <c r="G1640" s="1">
        <v>0</v>
      </c>
      <c r="H1640" s="1">
        <v>1.4385939138999999</v>
      </c>
      <c r="I1640" s="1">
        <v>1.723346268</v>
      </c>
      <c r="J1640" s="1">
        <v>0.75011684016400004</v>
      </c>
      <c r="K1640" s="1">
        <v>0</v>
      </c>
      <c r="L1640" s="1">
        <v>0</v>
      </c>
      <c r="M1640" s="1" t="s">
        <v>198</v>
      </c>
      <c r="N1640" s="1" t="b">
        <v>1</v>
      </c>
    </row>
    <row r="1641" spans="1:14" ht="19" customHeight="1" x14ac:dyDescent="0.3">
      <c r="A1641">
        <v>1636</v>
      </c>
      <c r="B1641" s="1">
        <v>7</v>
      </c>
      <c r="C1641" s="1">
        <v>0</v>
      </c>
      <c r="D1641" s="1">
        <v>2.5000000000000001E-2</v>
      </c>
      <c r="E1641" s="1">
        <v>8.5000000000000006E-2</v>
      </c>
      <c r="F1641" s="1">
        <v>0</v>
      </c>
      <c r="G1641" s="1">
        <v>1</v>
      </c>
      <c r="H1641" s="1">
        <v>1.4385939138999999</v>
      </c>
      <c r="I1641" s="1">
        <v>1.292509701</v>
      </c>
      <c r="J1641" s="1">
        <v>0.61509580893399995</v>
      </c>
      <c r="K1641" s="1">
        <v>0</v>
      </c>
      <c r="L1641" s="1">
        <v>0</v>
      </c>
      <c r="M1641" s="1" t="s">
        <v>198</v>
      </c>
      <c r="N1641" s="1" t="b">
        <v>1</v>
      </c>
    </row>
    <row r="1642" spans="1:14" ht="19" customHeight="1" x14ac:dyDescent="0.3">
      <c r="A1642">
        <v>1637</v>
      </c>
      <c r="B1642" s="1">
        <v>7</v>
      </c>
      <c r="C1642" s="1">
        <v>0</v>
      </c>
      <c r="D1642" s="1">
        <v>2.5000000000000001E-2</v>
      </c>
      <c r="E1642" s="1">
        <v>8.5000000000000006E-2</v>
      </c>
      <c r="F1642" s="1">
        <v>5</v>
      </c>
      <c r="G1642" s="1">
        <v>0</v>
      </c>
      <c r="H1642" s="1">
        <v>1.4065869791300001</v>
      </c>
      <c r="I1642" s="1">
        <v>1.6850039456499999</v>
      </c>
      <c r="J1642" s="1">
        <v>0.75761684016399999</v>
      </c>
      <c r="K1642" s="1">
        <v>0</v>
      </c>
      <c r="L1642" s="1">
        <v>0</v>
      </c>
      <c r="M1642" s="1" t="s">
        <v>198</v>
      </c>
      <c r="N1642" s="1" t="b">
        <v>1</v>
      </c>
    </row>
    <row r="1643" spans="1:14" ht="19" customHeight="1" x14ac:dyDescent="0.3">
      <c r="A1643">
        <v>1638</v>
      </c>
      <c r="B1643" s="1">
        <v>7</v>
      </c>
      <c r="C1643" s="1">
        <v>0</v>
      </c>
      <c r="D1643" s="1">
        <v>2.5000000000000001E-2</v>
      </c>
      <c r="E1643" s="1">
        <v>8.5000000000000006E-2</v>
      </c>
      <c r="F1643" s="1">
        <v>5</v>
      </c>
      <c r="G1643" s="1">
        <v>1</v>
      </c>
      <c r="H1643" s="1">
        <v>1.4065869791300001</v>
      </c>
      <c r="I1643" s="1">
        <v>1.2637529592400001</v>
      </c>
      <c r="J1643" s="1">
        <v>0.62124580893400005</v>
      </c>
      <c r="K1643" s="1">
        <v>0</v>
      </c>
      <c r="L1643" s="1">
        <v>0</v>
      </c>
      <c r="M1643" s="1" t="s">
        <v>198</v>
      </c>
      <c r="N1643" s="1" t="b">
        <v>1</v>
      </c>
    </row>
    <row r="1644" spans="1:14" ht="19" customHeight="1" x14ac:dyDescent="0.3">
      <c r="A1644">
        <v>1639</v>
      </c>
      <c r="B1644" s="1">
        <v>7</v>
      </c>
      <c r="C1644" s="1">
        <v>0</v>
      </c>
      <c r="D1644" s="1">
        <v>0.04</v>
      </c>
      <c r="E1644" s="1">
        <v>0.04</v>
      </c>
      <c r="F1644" s="1">
        <v>-5</v>
      </c>
      <c r="G1644" s="1">
        <v>0</v>
      </c>
      <c r="H1644" s="1">
        <v>1.4757922878900001</v>
      </c>
      <c r="I1644" s="1">
        <v>1.7888119087900001</v>
      </c>
      <c r="J1644" s="1">
        <v>0.76381009698299995</v>
      </c>
      <c r="K1644" s="1">
        <v>0</v>
      </c>
      <c r="L1644" s="1">
        <v>0</v>
      </c>
      <c r="M1644" s="1" t="s">
        <v>198</v>
      </c>
      <c r="N1644" s="1" t="b">
        <v>1</v>
      </c>
    </row>
    <row r="1645" spans="1:14" ht="19" customHeight="1" x14ac:dyDescent="0.3">
      <c r="A1645">
        <v>1640</v>
      </c>
      <c r="B1645" s="1">
        <v>7</v>
      </c>
      <c r="C1645" s="1">
        <v>0</v>
      </c>
      <c r="D1645" s="1">
        <v>0.04</v>
      </c>
      <c r="E1645" s="1">
        <v>0.04</v>
      </c>
      <c r="F1645" s="1">
        <v>-5</v>
      </c>
      <c r="G1645" s="1">
        <v>1</v>
      </c>
      <c r="H1645" s="1">
        <v>1.4757922878900001</v>
      </c>
      <c r="I1645" s="1">
        <v>1.3416089315999999</v>
      </c>
      <c r="J1645" s="1">
        <v>0.62632427952600001</v>
      </c>
      <c r="K1645" s="1">
        <v>0</v>
      </c>
      <c r="L1645" s="1">
        <v>0</v>
      </c>
      <c r="M1645" s="1" t="s">
        <v>198</v>
      </c>
      <c r="N1645" s="1" t="b">
        <v>1</v>
      </c>
    </row>
    <row r="1646" spans="1:14" ht="19" customHeight="1" x14ac:dyDescent="0.3">
      <c r="A1646">
        <v>1641</v>
      </c>
      <c r="B1646" s="1">
        <v>7</v>
      </c>
      <c r="C1646" s="1">
        <v>0</v>
      </c>
      <c r="D1646" s="1">
        <v>0.04</v>
      </c>
      <c r="E1646" s="1">
        <v>0.04</v>
      </c>
      <c r="F1646" s="1">
        <v>0</v>
      </c>
      <c r="G1646" s="1">
        <v>0</v>
      </c>
      <c r="H1646" s="1">
        <v>1.50937399183</v>
      </c>
      <c r="I1646" s="1">
        <v>1.82951638489</v>
      </c>
      <c r="J1646" s="1">
        <v>0.756310096983</v>
      </c>
      <c r="K1646" s="1">
        <v>0</v>
      </c>
      <c r="L1646" s="1">
        <v>0</v>
      </c>
      <c r="M1646" s="1" t="s">
        <v>198</v>
      </c>
      <c r="N1646" s="1" t="b">
        <v>1</v>
      </c>
    </row>
    <row r="1647" spans="1:14" ht="19" customHeight="1" x14ac:dyDescent="0.3">
      <c r="A1647">
        <v>1642</v>
      </c>
      <c r="B1647" s="1">
        <v>7</v>
      </c>
      <c r="C1647" s="1">
        <v>0</v>
      </c>
      <c r="D1647" s="1">
        <v>0.04</v>
      </c>
      <c r="E1647" s="1">
        <v>0.04</v>
      </c>
      <c r="F1647" s="1">
        <v>0</v>
      </c>
      <c r="G1647" s="1">
        <v>1</v>
      </c>
      <c r="H1647" s="1">
        <v>1.50937399183</v>
      </c>
      <c r="I1647" s="1">
        <v>1.3721372886700001</v>
      </c>
      <c r="J1647" s="1">
        <v>0.62017427952600002</v>
      </c>
      <c r="K1647" s="1">
        <v>0</v>
      </c>
      <c r="L1647" s="1">
        <v>0</v>
      </c>
      <c r="M1647" s="1" t="s">
        <v>198</v>
      </c>
      <c r="N1647" s="1" t="b">
        <v>1</v>
      </c>
    </row>
    <row r="1648" spans="1:14" ht="19" customHeight="1" x14ac:dyDescent="0.3">
      <c r="A1648">
        <v>1643</v>
      </c>
      <c r="B1648" s="1">
        <v>7</v>
      </c>
      <c r="C1648" s="1">
        <v>0</v>
      </c>
      <c r="D1648" s="1">
        <v>0.04</v>
      </c>
      <c r="E1648" s="1">
        <v>0.04</v>
      </c>
      <c r="F1648" s="1">
        <v>5</v>
      </c>
      <c r="G1648" s="1">
        <v>0</v>
      </c>
      <c r="H1648" s="1">
        <v>1.4757922878900001</v>
      </c>
      <c r="I1648" s="1">
        <v>1.7888119087900001</v>
      </c>
      <c r="J1648" s="1">
        <v>0.76381009698299995</v>
      </c>
      <c r="K1648" s="1">
        <v>0</v>
      </c>
      <c r="L1648" s="1">
        <v>0</v>
      </c>
      <c r="M1648" s="1" t="s">
        <v>198</v>
      </c>
      <c r="N1648" s="1" t="b">
        <v>1</v>
      </c>
    </row>
    <row r="1649" spans="1:14" ht="19" customHeight="1" x14ac:dyDescent="0.3">
      <c r="A1649">
        <v>1644</v>
      </c>
      <c r="B1649" s="1">
        <v>7</v>
      </c>
      <c r="C1649" s="1">
        <v>0</v>
      </c>
      <c r="D1649" s="1">
        <v>0.04</v>
      </c>
      <c r="E1649" s="1">
        <v>0.04</v>
      </c>
      <c r="F1649" s="1">
        <v>5</v>
      </c>
      <c r="G1649" s="1">
        <v>1</v>
      </c>
      <c r="H1649" s="1">
        <v>1.4757922878900001</v>
      </c>
      <c r="I1649" s="1">
        <v>1.3416089315999999</v>
      </c>
      <c r="J1649" s="1">
        <v>0.62632427952600001</v>
      </c>
      <c r="K1649" s="1">
        <v>0</v>
      </c>
      <c r="L1649" s="1">
        <v>0</v>
      </c>
      <c r="M1649" s="1" t="s">
        <v>198</v>
      </c>
      <c r="N1649" s="1" t="b">
        <v>1</v>
      </c>
    </row>
    <row r="1650" spans="1:14" ht="19" customHeight="1" x14ac:dyDescent="0.3">
      <c r="A1650">
        <v>1645</v>
      </c>
      <c r="B1650" s="1">
        <v>7</v>
      </c>
      <c r="C1650" s="1">
        <v>0</v>
      </c>
      <c r="D1650" s="1">
        <v>0.04</v>
      </c>
      <c r="E1650" s="1">
        <v>0.06</v>
      </c>
      <c r="F1650" s="1">
        <v>-5</v>
      </c>
      <c r="G1650" s="1">
        <v>0</v>
      </c>
      <c r="H1650" s="1">
        <v>1.5169881034499999</v>
      </c>
      <c r="I1650" s="1">
        <v>1.85060563213</v>
      </c>
      <c r="J1650" s="1">
        <v>0.76749675440999998</v>
      </c>
      <c r="K1650" s="1">
        <v>0</v>
      </c>
      <c r="L1650" s="1">
        <v>0</v>
      </c>
      <c r="M1650" s="1" t="s">
        <v>198</v>
      </c>
      <c r="N1650" s="1" t="b">
        <v>1</v>
      </c>
    </row>
    <row r="1651" spans="1:14" ht="19" customHeight="1" x14ac:dyDescent="0.3">
      <c r="A1651">
        <v>1646</v>
      </c>
      <c r="B1651" s="1">
        <v>7</v>
      </c>
      <c r="C1651" s="1">
        <v>0</v>
      </c>
      <c r="D1651" s="1">
        <v>0.04</v>
      </c>
      <c r="E1651" s="1">
        <v>0.06</v>
      </c>
      <c r="F1651" s="1">
        <v>-5</v>
      </c>
      <c r="G1651" s="1">
        <v>1</v>
      </c>
      <c r="H1651" s="1">
        <v>1.5169881034499999</v>
      </c>
      <c r="I1651" s="1">
        <v>1.3879542241</v>
      </c>
      <c r="J1651" s="1">
        <v>0.62934733861699999</v>
      </c>
      <c r="K1651" s="1">
        <v>0</v>
      </c>
      <c r="L1651" s="1">
        <v>0</v>
      </c>
      <c r="M1651" s="1" t="s">
        <v>198</v>
      </c>
      <c r="N1651" s="1" t="b">
        <v>1</v>
      </c>
    </row>
    <row r="1652" spans="1:14" ht="19" customHeight="1" x14ac:dyDescent="0.3">
      <c r="A1652">
        <v>1647</v>
      </c>
      <c r="B1652" s="1">
        <v>7</v>
      </c>
      <c r="C1652" s="1">
        <v>0</v>
      </c>
      <c r="D1652" s="1">
        <v>0.04</v>
      </c>
      <c r="E1652" s="1">
        <v>0.06</v>
      </c>
      <c r="F1652" s="1">
        <v>0</v>
      </c>
      <c r="G1652" s="1">
        <v>0</v>
      </c>
      <c r="H1652" s="1">
        <v>1.5515072195699999</v>
      </c>
      <c r="I1652" s="1">
        <v>1.8927162265099999</v>
      </c>
      <c r="J1652" s="1">
        <v>0.75999675441000003</v>
      </c>
      <c r="K1652" s="1">
        <v>0</v>
      </c>
      <c r="L1652" s="1">
        <v>0</v>
      </c>
      <c r="M1652" s="1" t="s">
        <v>198</v>
      </c>
      <c r="N1652" s="1" t="b">
        <v>1</v>
      </c>
    </row>
    <row r="1653" spans="1:14" ht="19" customHeight="1" x14ac:dyDescent="0.3">
      <c r="A1653">
        <v>1648</v>
      </c>
      <c r="B1653" s="1">
        <v>7</v>
      </c>
      <c r="C1653" s="1">
        <v>0</v>
      </c>
      <c r="D1653" s="1">
        <v>0.04</v>
      </c>
      <c r="E1653" s="1">
        <v>0.06</v>
      </c>
      <c r="F1653" s="1">
        <v>0</v>
      </c>
      <c r="G1653" s="1">
        <v>1</v>
      </c>
      <c r="H1653" s="1">
        <v>1.5515072195699999</v>
      </c>
      <c r="I1653" s="1">
        <v>1.4195371698799999</v>
      </c>
      <c r="J1653" s="1">
        <v>0.623197338617</v>
      </c>
      <c r="K1653" s="1">
        <v>0</v>
      </c>
      <c r="L1653" s="1">
        <v>0</v>
      </c>
      <c r="M1653" s="1" t="s">
        <v>198</v>
      </c>
      <c r="N1653" s="1" t="b">
        <v>1</v>
      </c>
    </row>
    <row r="1654" spans="1:14" ht="19" customHeight="1" x14ac:dyDescent="0.3">
      <c r="A1654">
        <v>1649</v>
      </c>
      <c r="B1654" s="1">
        <v>7</v>
      </c>
      <c r="C1654" s="1">
        <v>0</v>
      </c>
      <c r="D1654" s="1">
        <v>0.04</v>
      </c>
      <c r="E1654" s="1">
        <v>0.06</v>
      </c>
      <c r="F1654" s="1">
        <v>5</v>
      </c>
      <c r="G1654" s="1">
        <v>0</v>
      </c>
      <c r="H1654" s="1">
        <v>1.5169881034499999</v>
      </c>
      <c r="I1654" s="1">
        <v>1.85060563213</v>
      </c>
      <c r="J1654" s="1">
        <v>0.76749675440999998</v>
      </c>
      <c r="K1654" s="1">
        <v>0</v>
      </c>
      <c r="L1654" s="1">
        <v>0</v>
      </c>
      <c r="M1654" s="1" t="s">
        <v>198</v>
      </c>
      <c r="N1654" s="1" t="b">
        <v>1</v>
      </c>
    </row>
    <row r="1655" spans="1:14" ht="19" customHeight="1" x14ac:dyDescent="0.3">
      <c r="A1655">
        <v>1650</v>
      </c>
      <c r="B1655" s="1">
        <v>7</v>
      </c>
      <c r="C1655" s="1">
        <v>0</v>
      </c>
      <c r="D1655" s="1">
        <v>0.04</v>
      </c>
      <c r="E1655" s="1">
        <v>0.06</v>
      </c>
      <c r="F1655" s="1">
        <v>5</v>
      </c>
      <c r="G1655" s="1">
        <v>1</v>
      </c>
      <c r="H1655" s="1">
        <v>1.5169881034499999</v>
      </c>
      <c r="I1655" s="1">
        <v>1.3879542241</v>
      </c>
      <c r="J1655" s="1">
        <v>0.62934733861699999</v>
      </c>
      <c r="K1655" s="1">
        <v>0</v>
      </c>
      <c r="L1655" s="1">
        <v>0</v>
      </c>
      <c r="M1655" s="1" t="s">
        <v>198</v>
      </c>
      <c r="N1655" s="1" t="b">
        <v>1</v>
      </c>
    </row>
    <row r="1656" spans="1:14" ht="19" customHeight="1" x14ac:dyDescent="0.3">
      <c r="A1656">
        <v>1651</v>
      </c>
      <c r="B1656" s="1">
        <v>7</v>
      </c>
      <c r="C1656" s="1">
        <v>0</v>
      </c>
      <c r="D1656" s="1">
        <v>0.04</v>
      </c>
      <c r="E1656" s="1">
        <v>8.5000000000000006E-2</v>
      </c>
      <c r="F1656" s="1">
        <v>-5</v>
      </c>
      <c r="G1656" s="1">
        <v>0</v>
      </c>
      <c r="H1656" s="1">
        <v>1.4116717854600001</v>
      </c>
      <c r="I1656" s="1">
        <v>1.69263115514</v>
      </c>
      <c r="J1656" s="1">
        <v>0.75807188489999999</v>
      </c>
      <c r="K1656" s="1">
        <v>0</v>
      </c>
      <c r="L1656" s="1">
        <v>0</v>
      </c>
      <c r="M1656" s="1" t="s">
        <v>198</v>
      </c>
      <c r="N1656" s="1" t="b">
        <v>1</v>
      </c>
    </row>
    <row r="1657" spans="1:14" ht="19" customHeight="1" x14ac:dyDescent="0.3">
      <c r="A1657">
        <v>1652</v>
      </c>
      <c r="B1657" s="1">
        <v>7</v>
      </c>
      <c r="C1657" s="1">
        <v>0</v>
      </c>
      <c r="D1657" s="1">
        <v>0.04</v>
      </c>
      <c r="E1657" s="1">
        <v>8.5000000000000006E-2</v>
      </c>
      <c r="F1657" s="1">
        <v>-5</v>
      </c>
      <c r="G1657" s="1">
        <v>1</v>
      </c>
      <c r="H1657" s="1">
        <v>1.4116717854600001</v>
      </c>
      <c r="I1657" s="1">
        <v>1.26947336635</v>
      </c>
      <c r="J1657" s="1">
        <v>0.62161894561800002</v>
      </c>
      <c r="K1657" s="1">
        <v>0</v>
      </c>
      <c r="L1657" s="1">
        <v>0</v>
      </c>
      <c r="M1657" s="1" t="s">
        <v>198</v>
      </c>
      <c r="N1657" s="1" t="b">
        <v>1</v>
      </c>
    </row>
    <row r="1658" spans="1:14" ht="19" customHeight="1" x14ac:dyDescent="0.3">
      <c r="A1658">
        <v>1653</v>
      </c>
      <c r="B1658" s="1">
        <v>7</v>
      </c>
      <c r="C1658" s="1">
        <v>0</v>
      </c>
      <c r="D1658" s="1">
        <v>0.04</v>
      </c>
      <c r="E1658" s="1">
        <v>8.5000000000000006E-2</v>
      </c>
      <c r="F1658" s="1">
        <v>0</v>
      </c>
      <c r="G1658" s="1">
        <v>0</v>
      </c>
      <c r="H1658" s="1">
        <v>1.4437944251599999</v>
      </c>
      <c r="I1658" s="1">
        <v>1.7311470349</v>
      </c>
      <c r="J1658" s="1">
        <v>0.75057188490000004</v>
      </c>
      <c r="K1658" s="1">
        <v>0</v>
      </c>
      <c r="L1658" s="1">
        <v>0</v>
      </c>
      <c r="M1658" s="1" t="s">
        <v>198</v>
      </c>
      <c r="N1658" s="1" t="b">
        <v>1</v>
      </c>
    </row>
    <row r="1659" spans="1:14" ht="19" customHeight="1" x14ac:dyDescent="0.3">
      <c r="A1659">
        <v>1654</v>
      </c>
      <c r="B1659" s="1">
        <v>7</v>
      </c>
      <c r="C1659" s="1">
        <v>0</v>
      </c>
      <c r="D1659" s="1">
        <v>0.04</v>
      </c>
      <c r="E1659" s="1">
        <v>8.5000000000000006E-2</v>
      </c>
      <c r="F1659" s="1">
        <v>0</v>
      </c>
      <c r="G1659" s="1">
        <v>1</v>
      </c>
      <c r="H1659" s="1">
        <v>1.4437944251599999</v>
      </c>
      <c r="I1659" s="1">
        <v>1.2983602761699999</v>
      </c>
      <c r="J1659" s="1">
        <v>0.61546894561800003</v>
      </c>
      <c r="K1659" s="1">
        <v>0</v>
      </c>
      <c r="L1659" s="1">
        <v>0</v>
      </c>
      <c r="M1659" s="1" t="s">
        <v>198</v>
      </c>
      <c r="N1659" s="1" t="b">
        <v>1</v>
      </c>
    </row>
    <row r="1660" spans="1:14" ht="19" customHeight="1" x14ac:dyDescent="0.3">
      <c r="A1660">
        <v>1655</v>
      </c>
      <c r="B1660" s="1">
        <v>7</v>
      </c>
      <c r="C1660" s="1">
        <v>0</v>
      </c>
      <c r="D1660" s="1">
        <v>0.04</v>
      </c>
      <c r="E1660" s="1">
        <v>8.5000000000000006E-2</v>
      </c>
      <c r="F1660" s="1">
        <v>5</v>
      </c>
      <c r="G1660" s="1">
        <v>0</v>
      </c>
      <c r="H1660" s="1">
        <v>1.4116717854600001</v>
      </c>
      <c r="I1660" s="1">
        <v>1.69263115514</v>
      </c>
      <c r="J1660" s="1">
        <v>0.75807188489999999</v>
      </c>
      <c r="K1660" s="1">
        <v>0</v>
      </c>
      <c r="L1660" s="1">
        <v>0</v>
      </c>
      <c r="M1660" s="1" t="s">
        <v>198</v>
      </c>
      <c r="N1660" s="1" t="b">
        <v>1</v>
      </c>
    </row>
    <row r="1661" spans="1:14" ht="19" customHeight="1" x14ac:dyDescent="0.3">
      <c r="A1661">
        <v>1656</v>
      </c>
      <c r="B1661" s="1">
        <v>7</v>
      </c>
      <c r="C1661" s="1">
        <v>0</v>
      </c>
      <c r="D1661" s="1">
        <v>0.04</v>
      </c>
      <c r="E1661" s="1">
        <v>8.5000000000000006E-2</v>
      </c>
      <c r="F1661" s="1">
        <v>5</v>
      </c>
      <c r="G1661" s="1">
        <v>1</v>
      </c>
      <c r="H1661" s="1">
        <v>1.4116717854600001</v>
      </c>
      <c r="I1661" s="1">
        <v>1.26947336635</v>
      </c>
      <c r="J1661" s="1">
        <v>0.62161894561800002</v>
      </c>
      <c r="K1661" s="1">
        <v>0</v>
      </c>
      <c r="L1661" s="1">
        <v>0</v>
      </c>
      <c r="M1661" s="1" t="s">
        <v>198</v>
      </c>
      <c r="N1661" s="1" t="b">
        <v>1</v>
      </c>
    </row>
    <row r="1662" spans="1:14" ht="19" customHeight="1" x14ac:dyDescent="0.3">
      <c r="A1662">
        <v>1657</v>
      </c>
      <c r="B1662" s="1">
        <v>7</v>
      </c>
      <c r="C1662" s="1">
        <v>0</v>
      </c>
      <c r="D1662" s="1">
        <v>5.5E-2</v>
      </c>
      <c r="E1662" s="1">
        <v>0.04</v>
      </c>
      <c r="F1662" s="1">
        <v>-5</v>
      </c>
      <c r="G1662" s="1">
        <v>0</v>
      </c>
      <c r="H1662" s="1">
        <v>1.33590718583</v>
      </c>
      <c r="I1662" s="1">
        <v>1.5789842557</v>
      </c>
      <c r="J1662" s="1">
        <v>0.75129163015300005</v>
      </c>
      <c r="K1662" s="1">
        <v>0</v>
      </c>
      <c r="L1662" s="1">
        <v>0</v>
      </c>
      <c r="M1662" s="1" t="s">
        <v>198</v>
      </c>
      <c r="N1662" s="1" t="b">
        <v>1</v>
      </c>
    </row>
    <row r="1663" spans="1:14" ht="19" customHeight="1" x14ac:dyDescent="0.3">
      <c r="A1663">
        <v>1658</v>
      </c>
      <c r="B1663" s="1">
        <v>7</v>
      </c>
      <c r="C1663" s="1">
        <v>0</v>
      </c>
      <c r="D1663" s="1">
        <v>5.5E-2</v>
      </c>
      <c r="E1663" s="1">
        <v>0.04</v>
      </c>
      <c r="F1663" s="1">
        <v>-5</v>
      </c>
      <c r="G1663" s="1">
        <v>1</v>
      </c>
      <c r="H1663" s="1">
        <v>1.33590718583</v>
      </c>
      <c r="I1663" s="1">
        <v>1.18423819177</v>
      </c>
      <c r="J1663" s="1">
        <v>0.61605913672500001</v>
      </c>
      <c r="K1663" s="1">
        <v>0</v>
      </c>
      <c r="L1663" s="1">
        <v>0</v>
      </c>
      <c r="M1663" s="1" t="s">
        <v>198</v>
      </c>
      <c r="N1663" s="1" t="b">
        <v>1</v>
      </c>
    </row>
    <row r="1664" spans="1:14" ht="19" customHeight="1" x14ac:dyDescent="0.3">
      <c r="A1664">
        <v>1659</v>
      </c>
      <c r="B1664" s="1">
        <v>7</v>
      </c>
      <c r="C1664" s="1">
        <v>0</v>
      </c>
      <c r="D1664" s="1">
        <v>5.5E-2</v>
      </c>
      <c r="E1664" s="1">
        <v>0.04</v>
      </c>
      <c r="F1664" s="1">
        <v>0</v>
      </c>
      <c r="G1664" s="1">
        <v>0</v>
      </c>
      <c r="H1664" s="1">
        <v>1.3663057994900001</v>
      </c>
      <c r="I1664" s="1">
        <v>1.6149140963799999</v>
      </c>
      <c r="J1664" s="1">
        <v>0.74379163015299998</v>
      </c>
      <c r="K1664" s="1">
        <v>0</v>
      </c>
      <c r="L1664" s="1">
        <v>0</v>
      </c>
      <c r="M1664" s="1" t="s">
        <v>198</v>
      </c>
      <c r="N1664" s="1" t="b">
        <v>1</v>
      </c>
    </row>
    <row r="1665" spans="1:14" ht="19" customHeight="1" x14ac:dyDescent="0.3">
      <c r="A1665">
        <v>1660</v>
      </c>
      <c r="B1665" s="1">
        <v>7</v>
      </c>
      <c r="C1665" s="1">
        <v>0</v>
      </c>
      <c r="D1665" s="1">
        <v>5.5E-2</v>
      </c>
      <c r="E1665" s="1">
        <v>0.04</v>
      </c>
      <c r="F1665" s="1">
        <v>0</v>
      </c>
      <c r="G1665" s="1">
        <v>1</v>
      </c>
      <c r="H1665" s="1">
        <v>1.3663057994900001</v>
      </c>
      <c r="I1665" s="1">
        <v>1.21118557229</v>
      </c>
      <c r="J1665" s="1">
        <v>0.60990913672500002</v>
      </c>
      <c r="K1665" s="1">
        <v>0</v>
      </c>
      <c r="L1665" s="1">
        <v>0</v>
      </c>
      <c r="M1665" s="1" t="s">
        <v>198</v>
      </c>
      <c r="N1665" s="1" t="b">
        <v>1</v>
      </c>
    </row>
    <row r="1666" spans="1:14" ht="19" customHeight="1" x14ac:dyDescent="0.3">
      <c r="A1666">
        <v>1661</v>
      </c>
      <c r="B1666" s="1">
        <v>7</v>
      </c>
      <c r="C1666" s="1">
        <v>0</v>
      </c>
      <c r="D1666" s="1">
        <v>5.5E-2</v>
      </c>
      <c r="E1666" s="1">
        <v>0.04</v>
      </c>
      <c r="F1666" s="1">
        <v>5</v>
      </c>
      <c r="G1666" s="1">
        <v>0</v>
      </c>
      <c r="H1666" s="1">
        <v>1.33590718583</v>
      </c>
      <c r="I1666" s="1">
        <v>1.5789842557</v>
      </c>
      <c r="J1666" s="1">
        <v>0.75129163015300005</v>
      </c>
      <c r="K1666" s="1">
        <v>0</v>
      </c>
      <c r="L1666" s="1">
        <v>0</v>
      </c>
      <c r="M1666" s="1" t="s">
        <v>198</v>
      </c>
      <c r="N1666" s="1" t="b">
        <v>1</v>
      </c>
    </row>
    <row r="1667" spans="1:14" ht="19" customHeight="1" x14ac:dyDescent="0.3">
      <c r="A1667">
        <v>1662</v>
      </c>
      <c r="B1667" s="1">
        <v>7</v>
      </c>
      <c r="C1667" s="1">
        <v>0</v>
      </c>
      <c r="D1667" s="1">
        <v>5.5E-2</v>
      </c>
      <c r="E1667" s="1">
        <v>0.04</v>
      </c>
      <c r="F1667" s="1">
        <v>5</v>
      </c>
      <c r="G1667" s="1">
        <v>1</v>
      </c>
      <c r="H1667" s="1">
        <v>1.33590718583</v>
      </c>
      <c r="I1667" s="1">
        <v>1.18423819177</v>
      </c>
      <c r="J1667" s="1">
        <v>0.61605913672500001</v>
      </c>
      <c r="K1667" s="1">
        <v>0</v>
      </c>
      <c r="L1667" s="1">
        <v>0</v>
      </c>
      <c r="M1667" s="1" t="s">
        <v>198</v>
      </c>
      <c r="N1667" s="1" t="b">
        <v>1</v>
      </c>
    </row>
    <row r="1668" spans="1:14" ht="19" customHeight="1" x14ac:dyDescent="0.3">
      <c r="A1668">
        <v>1663</v>
      </c>
      <c r="B1668" s="1">
        <v>7</v>
      </c>
      <c r="C1668" s="1">
        <v>0</v>
      </c>
      <c r="D1668" s="1">
        <v>5.5E-2</v>
      </c>
      <c r="E1668" s="1">
        <v>0.06</v>
      </c>
      <c r="F1668" s="1">
        <v>-5</v>
      </c>
      <c r="G1668" s="1">
        <v>0</v>
      </c>
      <c r="H1668" s="1">
        <v>1.36353678554</v>
      </c>
      <c r="I1668" s="1">
        <v>1.62042865526</v>
      </c>
      <c r="J1668" s="1">
        <v>0.75376423247000002</v>
      </c>
      <c r="K1668" s="1">
        <v>0</v>
      </c>
      <c r="L1668" s="1">
        <v>0</v>
      </c>
      <c r="M1668" s="1" t="s">
        <v>198</v>
      </c>
      <c r="N1668" s="1" t="b">
        <v>1</v>
      </c>
    </row>
    <row r="1669" spans="1:14" ht="19" customHeight="1" x14ac:dyDescent="0.3">
      <c r="A1669">
        <v>1664</v>
      </c>
      <c r="B1669" s="1">
        <v>7</v>
      </c>
      <c r="C1669" s="1">
        <v>0</v>
      </c>
      <c r="D1669" s="1">
        <v>5.5E-2</v>
      </c>
      <c r="E1669" s="1">
        <v>0.06</v>
      </c>
      <c r="F1669" s="1">
        <v>-5</v>
      </c>
      <c r="G1669" s="1">
        <v>1</v>
      </c>
      <c r="H1669" s="1">
        <v>1.36353678554</v>
      </c>
      <c r="I1669" s="1">
        <v>1.2153214914399999</v>
      </c>
      <c r="J1669" s="1">
        <v>0.618086670625</v>
      </c>
      <c r="K1669" s="1">
        <v>0</v>
      </c>
      <c r="L1669" s="1">
        <v>0</v>
      </c>
      <c r="M1669" s="1" t="s">
        <v>198</v>
      </c>
      <c r="N1669" s="1" t="b">
        <v>1</v>
      </c>
    </row>
    <row r="1670" spans="1:14" ht="19" customHeight="1" x14ac:dyDescent="0.3">
      <c r="A1670">
        <v>1665</v>
      </c>
      <c r="B1670" s="1">
        <v>7</v>
      </c>
      <c r="C1670" s="1">
        <v>0</v>
      </c>
      <c r="D1670" s="1">
        <v>5.5E-2</v>
      </c>
      <c r="E1670" s="1">
        <v>0.06</v>
      </c>
      <c r="F1670" s="1">
        <v>0</v>
      </c>
      <c r="G1670" s="1">
        <v>0</v>
      </c>
      <c r="H1670" s="1">
        <v>1.3945641116800001</v>
      </c>
      <c r="I1670" s="1">
        <v>1.65730156467</v>
      </c>
      <c r="J1670" s="1">
        <v>0.74626423246999996</v>
      </c>
      <c r="K1670" s="1">
        <v>0</v>
      </c>
      <c r="L1670" s="1">
        <v>0</v>
      </c>
      <c r="M1670" s="1" t="s">
        <v>198</v>
      </c>
      <c r="N1670" s="1" t="b">
        <v>1</v>
      </c>
    </row>
    <row r="1671" spans="1:14" ht="19" customHeight="1" x14ac:dyDescent="0.3">
      <c r="A1671">
        <v>1666</v>
      </c>
      <c r="B1671" s="1">
        <v>7</v>
      </c>
      <c r="C1671" s="1">
        <v>0</v>
      </c>
      <c r="D1671" s="1">
        <v>5.5E-2</v>
      </c>
      <c r="E1671" s="1">
        <v>0.06</v>
      </c>
      <c r="F1671" s="1">
        <v>0</v>
      </c>
      <c r="G1671" s="1">
        <v>1</v>
      </c>
      <c r="H1671" s="1">
        <v>1.3945641116800001</v>
      </c>
      <c r="I1671" s="1">
        <v>1.2429761735</v>
      </c>
      <c r="J1671" s="1">
        <v>0.61193667062500001</v>
      </c>
      <c r="K1671" s="1">
        <v>0</v>
      </c>
      <c r="L1671" s="1">
        <v>0</v>
      </c>
      <c r="M1671" s="1" t="s">
        <v>198</v>
      </c>
      <c r="N1671" s="1" t="b">
        <v>1</v>
      </c>
    </row>
    <row r="1672" spans="1:14" ht="19" customHeight="1" x14ac:dyDescent="0.3">
      <c r="A1672">
        <v>1667</v>
      </c>
      <c r="B1672" s="1">
        <v>7</v>
      </c>
      <c r="C1672" s="1">
        <v>0</v>
      </c>
      <c r="D1672" s="1">
        <v>5.5E-2</v>
      </c>
      <c r="E1672" s="1">
        <v>0.06</v>
      </c>
      <c r="F1672" s="1">
        <v>5</v>
      </c>
      <c r="G1672" s="1">
        <v>0</v>
      </c>
      <c r="H1672" s="1">
        <v>1.36353678554</v>
      </c>
      <c r="I1672" s="1">
        <v>1.62042865526</v>
      </c>
      <c r="J1672" s="1">
        <v>0.75376423247000002</v>
      </c>
      <c r="K1672" s="1">
        <v>0</v>
      </c>
      <c r="L1672" s="1">
        <v>0</v>
      </c>
      <c r="M1672" s="1" t="s">
        <v>198</v>
      </c>
      <c r="N1672" s="1" t="b">
        <v>1</v>
      </c>
    </row>
    <row r="1673" spans="1:14" ht="19" customHeight="1" x14ac:dyDescent="0.3">
      <c r="A1673">
        <v>1668</v>
      </c>
      <c r="B1673" s="1">
        <v>7</v>
      </c>
      <c r="C1673" s="1">
        <v>0</v>
      </c>
      <c r="D1673" s="1">
        <v>5.5E-2</v>
      </c>
      <c r="E1673" s="1">
        <v>0.06</v>
      </c>
      <c r="F1673" s="1">
        <v>5</v>
      </c>
      <c r="G1673" s="1">
        <v>1</v>
      </c>
      <c r="H1673" s="1">
        <v>1.36353678554</v>
      </c>
      <c r="I1673" s="1">
        <v>1.2153214914399999</v>
      </c>
      <c r="J1673" s="1">
        <v>0.618086670625</v>
      </c>
      <c r="K1673" s="1">
        <v>0</v>
      </c>
      <c r="L1673" s="1">
        <v>0</v>
      </c>
      <c r="M1673" s="1" t="s">
        <v>198</v>
      </c>
      <c r="N1673" s="1" t="b">
        <v>1</v>
      </c>
    </row>
    <row r="1674" spans="1:14" ht="19" customHeight="1" x14ac:dyDescent="0.3">
      <c r="A1674">
        <v>1669</v>
      </c>
      <c r="B1674" s="1">
        <v>7</v>
      </c>
      <c r="C1674" s="1">
        <v>0</v>
      </c>
      <c r="D1674" s="1">
        <v>5.5E-2</v>
      </c>
      <c r="E1674" s="1">
        <v>8.5000000000000006E-2</v>
      </c>
      <c r="F1674" s="1">
        <v>-5</v>
      </c>
      <c r="G1674" s="1">
        <v>0</v>
      </c>
      <c r="H1674" s="1">
        <v>1.2929022400300001</v>
      </c>
      <c r="I1674" s="1">
        <v>1.5144768369899999</v>
      </c>
      <c r="J1674" s="1">
        <v>0.747443071731</v>
      </c>
      <c r="K1674" s="1">
        <v>0</v>
      </c>
      <c r="L1674" s="1">
        <v>0</v>
      </c>
      <c r="M1674" s="1" t="s">
        <v>198</v>
      </c>
      <c r="N1674" s="1" t="b">
        <v>1</v>
      </c>
    </row>
    <row r="1675" spans="1:14" ht="19" customHeight="1" x14ac:dyDescent="0.3">
      <c r="A1675">
        <v>1670</v>
      </c>
      <c r="B1675" s="1">
        <v>7</v>
      </c>
      <c r="C1675" s="1">
        <v>0</v>
      </c>
      <c r="D1675" s="1">
        <v>5.5E-2</v>
      </c>
      <c r="E1675" s="1">
        <v>8.5000000000000006E-2</v>
      </c>
      <c r="F1675" s="1">
        <v>-5</v>
      </c>
      <c r="G1675" s="1">
        <v>1</v>
      </c>
      <c r="H1675" s="1">
        <v>1.2929022400300001</v>
      </c>
      <c r="I1675" s="1">
        <v>1.1358576277400001</v>
      </c>
      <c r="J1675" s="1">
        <v>0.61290331882000004</v>
      </c>
      <c r="K1675" s="1">
        <v>0</v>
      </c>
      <c r="L1675" s="1">
        <v>0</v>
      </c>
      <c r="M1675" s="1" t="s">
        <v>198</v>
      </c>
      <c r="N1675" s="1" t="b">
        <v>1</v>
      </c>
    </row>
    <row r="1676" spans="1:14" ht="19" customHeight="1" x14ac:dyDescent="0.3">
      <c r="A1676">
        <v>1671</v>
      </c>
      <c r="B1676" s="1">
        <v>7</v>
      </c>
      <c r="C1676" s="1">
        <v>0</v>
      </c>
      <c r="D1676" s="1">
        <v>5.5E-2</v>
      </c>
      <c r="E1676" s="1">
        <v>8.5000000000000006E-2</v>
      </c>
      <c r="F1676" s="1">
        <v>0</v>
      </c>
      <c r="G1676" s="1">
        <v>0</v>
      </c>
      <c r="H1676" s="1">
        <v>1.3223222746700001</v>
      </c>
      <c r="I1676" s="1">
        <v>1.54893880916</v>
      </c>
      <c r="J1676" s="1">
        <v>0.73994307173100005</v>
      </c>
      <c r="K1676" s="1">
        <v>0</v>
      </c>
      <c r="L1676" s="1">
        <v>0</v>
      </c>
      <c r="M1676" s="1" t="s">
        <v>198</v>
      </c>
      <c r="N1676" s="1" t="b">
        <v>1</v>
      </c>
    </row>
    <row r="1677" spans="1:14" ht="19" customHeight="1" x14ac:dyDescent="0.3">
      <c r="A1677">
        <v>1672</v>
      </c>
      <c r="B1677" s="1">
        <v>7</v>
      </c>
      <c r="C1677" s="1">
        <v>0</v>
      </c>
      <c r="D1677" s="1">
        <v>5.5E-2</v>
      </c>
      <c r="E1677" s="1">
        <v>8.5000000000000006E-2</v>
      </c>
      <c r="F1677" s="1">
        <v>0</v>
      </c>
      <c r="G1677" s="1">
        <v>1</v>
      </c>
      <c r="H1677" s="1">
        <v>1.3223222746700001</v>
      </c>
      <c r="I1677" s="1">
        <v>1.16170410687</v>
      </c>
      <c r="J1677" s="1">
        <v>0.60675331882000005</v>
      </c>
      <c r="K1677" s="1">
        <v>0</v>
      </c>
      <c r="L1677" s="1">
        <v>0</v>
      </c>
      <c r="M1677" s="1" t="s">
        <v>198</v>
      </c>
      <c r="N1677" s="1" t="b">
        <v>1</v>
      </c>
    </row>
    <row r="1678" spans="1:14" ht="19" customHeight="1" x14ac:dyDescent="0.3">
      <c r="A1678">
        <v>1673</v>
      </c>
      <c r="B1678" s="1">
        <v>7</v>
      </c>
      <c r="C1678" s="1">
        <v>0</v>
      </c>
      <c r="D1678" s="1">
        <v>5.5E-2</v>
      </c>
      <c r="E1678" s="1">
        <v>8.5000000000000006E-2</v>
      </c>
      <c r="F1678" s="1">
        <v>5</v>
      </c>
      <c r="G1678" s="1">
        <v>0</v>
      </c>
      <c r="H1678" s="1">
        <v>1.2929022400300001</v>
      </c>
      <c r="I1678" s="1">
        <v>1.5144768369899999</v>
      </c>
      <c r="J1678" s="1">
        <v>0.747443071731</v>
      </c>
      <c r="K1678" s="1">
        <v>0</v>
      </c>
      <c r="L1678" s="1">
        <v>0</v>
      </c>
      <c r="M1678" s="1" t="s">
        <v>198</v>
      </c>
      <c r="N1678" s="1" t="b">
        <v>1</v>
      </c>
    </row>
    <row r="1679" spans="1:14" ht="19" customHeight="1" x14ac:dyDescent="0.3">
      <c r="A1679">
        <v>1674</v>
      </c>
      <c r="B1679" s="1">
        <v>7</v>
      </c>
      <c r="C1679" s="1">
        <v>0</v>
      </c>
      <c r="D1679" s="1">
        <v>5.5E-2</v>
      </c>
      <c r="E1679" s="1">
        <v>8.5000000000000006E-2</v>
      </c>
      <c r="F1679" s="1">
        <v>5</v>
      </c>
      <c r="G1679" s="1">
        <v>1</v>
      </c>
      <c r="H1679" s="1">
        <v>1.2929022400300001</v>
      </c>
      <c r="I1679" s="1">
        <v>1.1358576277400001</v>
      </c>
      <c r="J1679" s="1">
        <v>0.61290331882000004</v>
      </c>
      <c r="K1679" s="1">
        <v>0</v>
      </c>
      <c r="L1679" s="1">
        <v>0</v>
      </c>
      <c r="M1679" s="1" t="s">
        <v>198</v>
      </c>
      <c r="N1679" s="1" t="b">
        <v>1</v>
      </c>
    </row>
    <row r="1680" spans="1:14" ht="19" customHeight="1" x14ac:dyDescent="0.3">
      <c r="A1680">
        <v>1675</v>
      </c>
      <c r="B1680" s="1">
        <v>7</v>
      </c>
      <c r="C1680" s="1">
        <v>30</v>
      </c>
      <c r="D1680" s="1">
        <v>2.5000000000000001E-2</v>
      </c>
      <c r="E1680" s="1">
        <v>0.04</v>
      </c>
      <c r="F1680" s="1">
        <v>-5</v>
      </c>
      <c r="G1680" s="1">
        <v>0</v>
      </c>
      <c r="H1680" s="1">
        <v>1.4698034744399999</v>
      </c>
      <c r="I1680" s="1">
        <v>1.7798286886100001</v>
      </c>
      <c r="J1680" s="1">
        <v>0.76327415168599999</v>
      </c>
      <c r="K1680" s="1">
        <v>2687.0395948300002</v>
      </c>
      <c r="L1680" s="1">
        <v>631.13231417500003</v>
      </c>
      <c r="M1680" s="1" t="s">
        <v>198</v>
      </c>
      <c r="N1680" s="1" t="b">
        <v>1</v>
      </c>
    </row>
    <row r="1681" spans="1:14" ht="19" customHeight="1" x14ac:dyDescent="0.3">
      <c r="A1681">
        <v>1676</v>
      </c>
      <c r="B1681" s="1">
        <v>7</v>
      </c>
      <c r="C1681" s="1">
        <v>30</v>
      </c>
      <c r="D1681" s="1">
        <v>2.5000000000000001E-2</v>
      </c>
      <c r="E1681" s="1">
        <v>0.04</v>
      </c>
      <c r="F1681" s="1">
        <v>-5</v>
      </c>
      <c r="G1681" s="1">
        <v>1</v>
      </c>
      <c r="H1681" s="1">
        <v>1.4698034744399999</v>
      </c>
      <c r="I1681" s="1">
        <v>1.33487151646</v>
      </c>
      <c r="J1681" s="1">
        <v>0.625884804382</v>
      </c>
      <c r="K1681" s="1">
        <v>2319.1156331000002</v>
      </c>
      <c r="L1681" s="1">
        <v>517.52849762400001</v>
      </c>
      <c r="M1681" s="1" t="s">
        <v>198</v>
      </c>
      <c r="N1681" s="1" t="b">
        <v>1</v>
      </c>
    </row>
    <row r="1682" spans="1:14" ht="19" customHeight="1" x14ac:dyDescent="0.3">
      <c r="A1682">
        <v>1677</v>
      </c>
      <c r="B1682" s="1">
        <v>7</v>
      </c>
      <c r="C1682" s="1">
        <v>30</v>
      </c>
      <c r="D1682" s="1">
        <v>2.5000000000000001E-2</v>
      </c>
      <c r="E1682" s="1">
        <v>0.04</v>
      </c>
      <c r="F1682" s="1">
        <v>0</v>
      </c>
      <c r="G1682" s="1">
        <v>0</v>
      </c>
      <c r="H1682" s="1">
        <v>1.50324890272</v>
      </c>
      <c r="I1682" s="1">
        <v>1.8203287512299999</v>
      </c>
      <c r="J1682" s="1">
        <v>0.75577415168600004</v>
      </c>
      <c r="K1682" s="1">
        <v>2748.1832726100001</v>
      </c>
      <c r="L1682" s="1">
        <v>624.93075167500001</v>
      </c>
      <c r="M1682" s="1" t="s">
        <v>198</v>
      </c>
      <c r="N1682" s="1" t="b">
        <v>1</v>
      </c>
    </row>
    <row r="1683" spans="1:14" ht="19" customHeight="1" x14ac:dyDescent="0.3">
      <c r="A1683">
        <v>1678</v>
      </c>
      <c r="B1683" s="1">
        <v>7</v>
      </c>
      <c r="C1683" s="1">
        <v>30</v>
      </c>
      <c r="D1683" s="1">
        <v>2.5000000000000001E-2</v>
      </c>
      <c r="E1683" s="1">
        <v>0.04</v>
      </c>
      <c r="F1683" s="1">
        <v>0</v>
      </c>
      <c r="G1683" s="1">
        <v>1</v>
      </c>
      <c r="H1683" s="1">
        <v>1.50324890272</v>
      </c>
      <c r="I1683" s="1">
        <v>1.3652465634199999</v>
      </c>
      <c r="J1683" s="1">
        <v>0.61973480438200002</v>
      </c>
      <c r="K1683" s="1">
        <v>2371.88718857</v>
      </c>
      <c r="L1683" s="1">
        <v>512.44321637400003</v>
      </c>
      <c r="M1683" s="1" t="s">
        <v>198</v>
      </c>
      <c r="N1683" s="1" t="b">
        <v>1</v>
      </c>
    </row>
    <row r="1684" spans="1:14" ht="19" customHeight="1" x14ac:dyDescent="0.3">
      <c r="A1684">
        <v>1679</v>
      </c>
      <c r="B1684" s="1">
        <v>7</v>
      </c>
      <c r="C1684" s="1">
        <v>30</v>
      </c>
      <c r="D1684" s="1">
        <v>2.5000000000000001E-2</v>
      </c>
      <c r="E1684" s="1">
        <v>0.04</v>
      </c>
      <c r="F1684" s="1">
        <v>5</v>
      </c>
      <c r="G1684" s="1">
        <v>0</v>
      </c>
      <c r="H1684" s="1">
        <v>1.4698034744399999</v>
      </c>
      <c r="I1684" s="1">
        <v>1.7798286886100001</v>
      </c>
      <c r="J1684" s="1">
        <v>0.76327415168599999</v>
      </c>
      <c r="K1684" s="1">
        <v>2687.0395948300002</v>
      </c>
      <c r="L1684" s="1">
        <v>631.13231417500003</v>
      </c>
      <c r="M1684" s="1" t="s">
        <v>198</v>
      </c>
      <c r="N1684" s="1" t="b">
        <v>1</v>
      </c>
    </row>
    <row r="1685" spans="1:14" ht="19" customHeight="1" x14ac:dyDescent="0.3">
      <c r="A1685">
        <v>1680</v>
      </c>
      <c r="B1685" s="1">
        <v>7</v>
      </c>
      <c r="C1685" s="1">
        <v>30</v>
      </c>
      <c r="D1685" s="1">
        <v>2.5000000000000001E-2</v>
      </c>
      <c r="E1685" s="1">
        <v>0.04</v>
      </c>
      <c r="F1685" s="1">
        <v>5</v>
      </c>
      <c r="G1685" s="1">
        <v>1</v>
      </c>
      <c r="H1685" s="1">
        <v>1.4698034744399999</v>
      </c>
      <c r="I1685" s="1">
        <v>1.33487151646</v>
      </c>
      <c r="J1685" s="1">
        <v>0.625884804382</v>
      </c>
      <c r="K1685" s="1">
        <v>2319.1156331000002</v>
      </c>
      <c r="L1685" s="1">
        <v>517.52849762400001</v>
      </c>
      <c r="M1685" s="1" t="s">
        <v>198</v>
      </c>
      <c r="N1685" s="1" t="b">
        <v>1</v>
      </c>
    </row>
    <row r="1686" spans="1:14" ht="19" customHeight="1" x14ac:dyDescent="0.3">
      <c r="A1686">
        <v>1681</v>
      </c>
      <c r="B1686" s="1">
        <v>7</v>
      </c>
      <c r="C1686" s="1">
        <v>30</v>
      </c>
      <c r="D1686" s="1">
        <v>2.5000000000000001E-2</v>
      </c>
      <c r="E1686" s="1">
        <v>0.06</v>
      </c>
      <c r="F1686" s="1">
        <v>-5</v>
      </c>
      <c r="G1686" s="1">
        <v>0</v>
      </c>
      <c r="H1686" s="1">
        <v>1.51041848808</v>
      </c>
      <c r="I1686" s="1">
        <v>1.84075120907</v>
      </c>
      <c r="J1686" s="1">
        <v>0.76690883253099995</v>
      </c>
      <c r="K1686" s="1">
        <v>2770.9984433300001</v>
      </c>
      <c r="L1686" s="1">
        <v>634.13774089900005</v>
      </c>
      <c r="M1686" s="1" t="s">
        <v>198</v>
      </c>
      <c r="N1686" s="1" t="b">
        <v>1</v>
      </c>
    </row>
    <row r="1687" spans="1:14" ht="19" customHeight="1" x14ac:dyDescent="0.3">
      <c r="A1687">
        <v>1682</v>
      </c>
      <c r="B1687" s="1">
        <v>7</v>
      </c>
      <c r="C1687" s="1">
        <v>30</v>
      </c>
      <c r="D1687" s="1">
        <v>2.5000000000000001E-2</v>
      </c>
      <c r="E1687" s="1">
        <v>0.06</v>
      </c>
      <c r="F1687" s="1">
        <v>-5</v>
      </c>
      <c r="G1687" s="1">
        <v>1</v>
      </c>
      <c r="H1687" s="1">
        <v>1.51041848808</v>
      </c>
      <c r="I1687" s="1">
        <v>1.3805634067999999</v>
      </c>
      <c r="J1687" s="1">
        <v>0.62886524267499999</v>
      </c>
      <c r="K1687" s="1">
        <v>2390.4806543300001</v>
      </c>
      <c r="L1687" s="1">
        <v>519.99294753699996</v>
      </c>
      <c r="M1687" s="1" t="s">
        <v>198</v>
      </c>
      <c r="N1687" s="1" t="b">
        <v>1</v>
      </c>
    </row>
    <row r="1688" spans="1:14" ht="19" customHeight="1" x14ac:dyDescent="0.3">
      <c r="A1688">
        <v>1683</v>
      </c>
      <c r="B1688" s="1">
        <v>7</v>
      </c>
      <c r="C1688" s="1">
        <v>30</v>
      </c>
      <c r="D1688" s="1">
        <v>2.5000000000000001E-2</v>
      </c>
      <c r="E1688" s="1">
        <v>0.06</v>
      </c>
      <c r="F1688" s="1">
        <v>0</v>
      </c>
      <c r="G1688" s="1">
        <v>0</v>
      </c>
      <c r="H1688" s="1">
        <v>1.54478811238</v>
      </c>
      <c r="I1688" s="1">
        <v>1.8826375657200001</v>
      </c>
      <c r="J1688" s="1">
        <v>0.759408832531</v>
      </c>
      <c r="K1688" s="1">
        <v>2834.05260757</v>
      </c>
      <c r="L1688" s="1">
        <v>627.93617839900003</v>
      </c>
      <c r="M1688" s="1" t="s">
        <v>198</v>
      </c>
      <c r="N1688" s="1" t="b">
        <v>1</v>
      </c>
    </row>
    <row r="1689" spans="1:14" ht="19" customHeight="1" x14ac:dyDescent="0.3">
      <c r="A1689">
        <v>1684</v>
      </c>
      <c r="B1689" s="1">
        <v>7</v>
      </c>
      <c r="C1689" s="1">
        <v>30</v>
      </c>
      <c r="D1689" s="1">
        <v>2.5000000000000001E-2</v>
      </c>
      <c r="E1689" s="1">
        <v>0.06</v>
      </c>
      <c r="F1689" s="1">
        <v>0</v>
      </c>
      <c r="G1689" s="1">
        <v>1</v>
      </c>
      <c r="H1689" s="1">
        <v>1.54478811238</v>
      </c>
      <c r="I1689" s="1">
        <v>1.4119781742899999</v>
      </c>
      <c r="J1689" s="1">
        <v>0.622715242675</v>
      </c>
      <c r="K1689" s="1">
        <v>2444.8761232900001</v>
      </c>
      <c r="L1689" s="1">
        <v>514.90766628699998</v>
      </c>
      <c r="M1689" s="1" t="s">
        <v>198</v>
      </c>
      <c r="N1689" s="1" t="b">
        <v>1</v>
      </c>
    </row>
    <row r="1690" spans="1:14" ht="19" customHeight="1" x14ac:dyDescent="0.3">
      <c r="A1690">
        <v>1685</v>
      </c>
      <c r="B1690" s="1">
        <v>7</v>
      </c>
      <c r="C1690" s="1">
        <v>30</v>
      </c>
      <c r="D1690" s="1">
        <v>2.5000000000000001E-2</v>
      </c>
      <c r="E1690" s="1">
        <v>0.06</v>
      </c>
      <c r="F1690" s="1">
        <v>5</v>
      </c>
      <c r="G1690" s="1">
        <v>0</v>
      </c>
      <c r="H1690" s="1">
        <v>1.51041848808</v>
      </c>
      <c r="I1690" s="1">
        <v>1.84075120907</v>
      </c>
      <c r="J1690" s="1">
        <v>0.76690883253099995</v>
      </c>
      <c r="K1690" s="1">
        <v>2770.9984433300001</v>
      </c>
      <c r="L1690" s="1">
        <v>634.13774089900005</v>
      </c>
      <c r="M1690" s="1" t="s">
        <v>198</v>
      </c>
      <c r="N1690" s="1" t="b">
        <v>1</v>
      </c>
    </row>
    <row r="1691" spans="1:14" ht="19" customHeight="1" x14ac:dyDescent="0.3">
      <c r="A1691">
        <v>1686</v>
      </c>
      <c r="B1691" s="1">
        <v>7</v>
      </c>
      <c r="C1691" s="1">
        <v>30</v>
      </c>
      <c r="D1691" s="1">
        <v>2.5000000000000001E-2</v>
      </c>
      <c r="E1691" s="1">
        <v>0.06</v>
      </c>
      <c r="F1691" s="1">
        <v>5</v>
      </c>
      <c r="G1691" s="1">
        <v>1</v>
      </c>
      <c r="H1691" s="1">
        <v>1.51041848808</v>
      </c>
      <c r="I1691" s="1">
        <v>1.3805634067999999</v>
      </c>
      <c r="J1691" s="1">
        <v>0.62886524267499999</v>
      </c>
      <c r="K1691" s="1">
        <v>2390.4806543300001</v>
      </c>
      <c r="L1691" s="1">
        <v>519.99294753699996</v>
      </c>
      <c r="M1691" s="1" t="s">
        <v>198</v>
      </c>
      <c r="N1691" s="1" t="b">
        <v>1</v>
      </c>
    </row>
    <row r="1692" spans="1:14" ht="19" customHeight="1" x14ac:dyDescent="0.3">
      <c r="A1692">
        <v>1687</v>
      </c>
      <c r="B1692" s="1">
        <v>7</v>
      </c>
      <c r="C1692" s="1">
        <v>30</v>
      </c>
      <c r="D1692" s="1">
        <v>2.5000000000000001E-2</v>
      </c>
      <c r="E1692" s="1">
        <v>8.5000000000000006E-2</v>
      </c>
      <c r="F1692" s="1">
        <v>-5</v>
      </c>
      <c r="G1692" s="1">
        <v>0</v>
      </c>
      <c r="H1692" s="1">
        <v>1.4065869791300001</v>
      </c>
      <c r="I1692" s="1">
        <v>1.6850039456499999</v>
      </c>
      <c r="J1692" s="1">
        <v>0.75761684016399999</v>
      </c>
      <c r="K1692" s="1">
        <v>2556.3592459299998</v>
      </c>
      <c r="L1692" s="1">
        <v>626.454424711</v>
      </c>
      <c r="M1692" s="1" t="s">
        <v>198</v>
      </c>
      <c r="N1692" s="1" t="b">
        <v>1</v>
      </c>
    </row>
    <row r="1693" spans="1:14" ht="19" customHeight="1" x14ac:dyDescent="0.3">
      <c r="A1693">
        <v>1688</v>
      </c>
      <c r="B1693" s="1">
        <v>7</v>
      </c>
      <c r="C1693" s="1">
        <v>30</v>
      </c>
      <c r="D1693" s="1">
        <v>2.5000000000000001E-2</v>
      </c>
      <c r="E1693" s="1">
        <v>8.5000000000000006E-2</v>
      </c>
      <c r="F1693" s="1">
        <v>-5</v>
      </c>
      <c r="G1693" s="1">
        <v>1</v>
      </c>
      <c r="H1693" s="1">
        <v>1.4065869791300001</v>
      </c>
      <c r="I1693" s="1">
        <v>1.2637529592400001</v>
      </c>
      <c r="J1693" s="1">
        <v>0.62124580893400005</v>
      </c>
      <c r="K1693" s="1">
        <v>2208.0373365400001</v>
      </c>
      <c r="L1693" s="1">
        <v>513.69262826299996</v>
      </c>
      <c r="M1693" s="1" t="s">
        <v>198</v>
      </c>
      <c r="N1693" s="1" t="b">
        <v>1</v>
      </c>
    </row>
    <row r="1694" spans="1:14" ht="19" customHeight="1" x14ac:dyDescent="0.3">
      <c r="A1694">
        <v>1689</v>
      </c>
      <c r="B1694" s="1">
        <v>7</v>
      </c>
      <c r="C1694" s="1">
        <v>30</v>
      </c>
      <c r="D1694" s="1">
        <v>2.5000000000000001E-2</v>
      </c>
      <c r="E1694" s="1">
        <v>8.5000000000000006E-2</v>
      </c>
      <c r="F1694" s="1">
        <v>0</v>
      </c>
      <c r="G1694" s="1">
        <v>0</v>
      </c>
      <c r="H1694" s="1">
        <v>1.4385939138999999</v>
      </c>
      <c r="I1694" s="1">
        <v>1.723346268</v>
      </c>
      <c r="J1694" s="1">
        <v>0.75011684016400004</v>
      </c>
      <c r="K1694" s="1">
        <v>2614.5292879100002</v>
      </c>
      <c r="L1694" s="1">
        <v>620.25286221099998</v>
      </c>
      <c r="M1694" s="1" t="s">
        <v>198</v>
      </c>
      <c r="N1694" s="1" t="b">
        <v>1</v>
      </c>
    </row>
    <row r="1695" spans="1:14" ht="19" customHeight="1" x14ac:dyDescent="0.3">
      <c r="A1695">
        <v>1690</v>
      </c>
      <c r="B1695" s="1">
        <v>7</v>
      </c>
      <c r="C1695" s="1">
        <v>30</v>
      </c>
      <c r="D1695" s="1">
        <v>2.5000000000000001E-2</v>
      </c>
      <c r="E1695" s="1">
        <v>8.5000000000000006E-2</v>
      </c>
      <c r="F1695" s="1">
        <v>0</v>
      </c>
      <c r="G1695" s="1">
        <v>1</v>
      </c>
      <c r="H1695" s="1">
        <v>1.4385939138999999</v>
      </c>
      <c r="I1695" s="1">
        <v>1.292509701</v>
      </c>
      <c r="J1695" s="1">
        <v>0.61509580893399995</v>
      </c>
      <c r="K1695" s="1">
        <v>2258.2813015699999</v>
      </c>
      <c r="L1695" s="1">
        <v>508.60734701299998</v>
      </c>
      <c r="M1695" s="1" t="s">
        <v>198</v>
      </c>
      <c r="N1695" s="1" t="b">
        <v>1</v>
      </c>
    </row>
    <row r="1696" spans="1:14" ht="19" customHeight="1" x14ac:dyDescent="0.3">
      <c r="A1696">
        <v>1691</v>
      </c>
      <c r="B1696" s="1">
        <v>7</v>
      </c>
      <c r="C1696" s="1">
        <v>30</v>
      </c>
      <c r="D1696" s="1">
        <v>2.5000000000000001E-2</v>
      </c>
      <c r="E1696" s="1">
        <v>8.5000000000000006E-2</v>
      </c>
      <c r="F1696" s="1">
        <v>5</v>
      </c>
      <c r="G1696" s="1">
        <v>0</v>
      </c>
      <c r="H1696" s="1">
        <v>1.4065869791300001</v>
      </c>
      <c r="I1696" s="1">
        <v>1.6850039456499999</v>
      </c>
      <c r="J1696" s="1">
        <v>0.75761684016399999</v>
      </c>
      <c r="K1696" s="1">
        <v>2556.3592459299998</v>
      </c>
      <c r="L1696" s="1">
        <v>626.454424711</v>
      </c>
      <c r="M1696" s="1" t="s">
        <v>198</v>
      </c>
      <c r="N1696" s="1" t="b">
        <v>1</v>
      </c>
    </row>
    <row r="1697" spans="1:14" ht="19" customHeight="1" x14ac:dyDescent="0.3">
      <c r="A1697">
        <v>1692</v>
      </c>
      <c r="B1697" s="1">
        <v>7</v>
      </c>
      <c r="C1697" s="1">
        <v>30</v>
      </c>
      <c r="D1697" s="1">
        <v>2.5000000000000001E-2</v>
      </c>
      <c r="E1697" s="1">
        <v>8.5000000000000006E-2</v>
      </c>
      <c r="F1697" s="1">
        <v>5</v>
      </c>
      <c r="G1697" s="1">
        <v>1</v>
      </c>
      <c r="H1697" s="1">
        <v>1.4065869791300001</v>
      </c>
      <c r="I1697" s="1">
        <v>1.2637529592400001</v>
      </c>
      <c r="J1697" s="1">
        <v>0.62124580893400005</v>
      </c>
      <c r="K1697" s="1">
        <v>2208.0373365400001</v>
      </c>
      <c r="L1697" s="1">
        <v>513.69262826299996</v>
      </c>
      <c r="M1697" s="1" t="s">
        <v>198</v>
      </c>
      <c r="N1697" s="1" t="b">
        <v>1</v>
      </c>
    </row>
    <row r="1698" spans="1:14" ht="19" customHeight="1" x14ac:dyDescent="0.3">
      <c r="A1698">
        <v>1693</v>
      </c>
      <c r="B1698" s="1">
        <v>7</v>
      </c>
      <c r="C1698" s="1">
        <v>30</v>
      </c>
      <c r="D1698" s="1">
        <v>0.04</v>
      </c>
      <c r="E1698" s="1">
        <v>0.04</v>
      </c>
      <c r="F1698" s="1">
        <v>-5</v>
      </c>
      <c r="G1698" s="1">
        <v>0</v>
      </c>
      <c r="H1698" s="1">
        <v>1.4757922878900001</v>
      </c>
      <c r="I1698" s="1">
        <v>1.7888119087900001</v>
      </c>
      <c r="J1698" s="1">
        <v>0.76381009698299995</v>
      </c>
      <c r="K1698" s="1">
        <v>2699.4195951400002</v>
      </c>
      <c r="L1698" s="1">
        <v>631.57547394200003</v>
      </c>
      <c r="M1698" s="1" t="s">
        <v>198</v>
      </c>
      <c r="N1698" s="1" t="b">
        <v>1</v>
      </c>
    </row>
    <row r="1699" spans="1:14" ht="19" customHeight="1" x14ac:dyDescent="0.3">
      <c r="A1699">
        <v>1694</v>
      </c>
      <c r="B1699" s="1">
        <v>7</v>
      </c>
      <c r="C1699" s="1">
        <v>30</v>
      </c>
      <c r="D1699" s="1">
        <v>0.04</v>
      </c>
      <c r="E1699" s="1">
        <v>0.04</v>
      </c>
      <c r="F1699" s="1">
        <v>-5</v>
      </c>
      <c r="G1699" s="1">
        <v>1</v>
      </c>
      <c r="H1699" s="1">
        <v>1.4757922878900001</v>
      </c>
      <c r="I1699" s="1">
        <v>1.3416089315999999</v>
      </c>
      <c r="J1699" s="1">
        <v>0.62632427952600001</v>
      </c>
      <c r="K1699" s="1">
        <v>2329.6386333700002</v>
      </c>
      <c r="L1699" s="1">
        <v>517.89188863300001</v>
      </c>
      <c r="M1699" s="1" t="s">
        <v>198</v>
      </c>
      <c r="N1699" s="1" t="b">
        <v>1</v>
      </c>
    </row>
    <row r="1700" spans="1:14" ht="19" customHeight="1" x14ac:dyDescent="0.3">
      <c r="A1700">
        <v>1695</v>
      </c>
      <c r="B1700" s="1">
        <v>7</v>
      </c>
      <c r="C1700" s="1">
        <v>30</v>
      </c>
      <c r="D1700" s="1">
        <v>0.04</v>
      </c>
      <c r="E1700" s="1">
        <v>0.04</v>
      </c>
      <c r="F1700" s="1">
        <v>0</v>
      </c>
      <c r="G1700" s="1">
        <v>0</v>
      </c>
      <c r="H1700" s="1">
        <v>1.50937399183</v>
      </c>
      <c r="I1700" s="1">
        <v>1.82951638489</v>
      </c>
      <c r="J1700" s="1">
        <v>0.756310096983</v>
      </c>
      <c r="K1700" s="1">
        <v>2760.8449802499999</v>
      </c>
      <c r="L1700" s="1">
        <v>625.37391144200001</v>
      </c>
      <c r="M1700" s="1" t="s">
        <v>198</v>
      </c>
      <c r="N1700" s="1" t="b">
        <v>1</v>
      </c>
    </row>
    <row r="1701" spans="1:14" ht="19" customHeight="1" x14ac:dyDescent="0.3">
      <c r="A1701">
        <v>1696</v>
      </c>
      <c r="B1701" s="1">
        <v>7</v>
      </c>
      <c r="C1701" s="1">
        <v>30</v>
      </c>
      <c r="D1701" s="1">
        <v>0.04</v>
      </c>
      <c r="E1701" s="1">
        <v>0.04</v>
      </c>
      <c r="F1701" s="1">
        <v>0</v>
      </c>
      <c r="G1701" s="1">
        <v>1</v>
      </c>
      <c r="H1701" s="1">
        <v>1.50937399183</v>
      </c>
      <c r="I1701" s="1">
        <v>1.3721372886700001</v>
      </c>
      <c r="J1701" s="1">
        <v>0.62017427952600002</v>
      </c>
      <c r="K1701" s="1">
        <v>2382.6496400599999</v>
      </c>
      <c r="L1701" s="1">
        <v>512.80660738300003</v>
      </c>
      <c r="M1701" s="1" t="s">
        <v>198</v>
      </c>
      <c r="N1701" s="1" t="b">
        <v>1</v>
      </c>
    </row>
    <row r="1702" spans="1:14" ht="19" customHeight="1" x14ac:dyDescent="0.3">
      <c r="A1702">
        <v>1697</v>
      </c>
      <c r="B1702" s="1">
        <v>7</v>
      </c>
      <c r="C1702" s="1">
        <v>30</v>
      </c>
      <c r="D1702" s="1">
        <v>0.04</v>
      </c>
      <c r="E1702" s="1">
        <v>0.04</v>
      </c>
      <c r="F1702" s="1">
        <v>5</v>
      </c>
      <c r="G1702" s="1">
        <v>0</v>
      </c>
      <c r="H1702" s="1">
        <v>1.4757922878900001</v>
      </c>
      <c r="I1702" s="1">
        <v>1.7888119087900001</v>
      </c>
      <c r="J1702" s="1">
        <v>0.76381009698299995</v>
      </c>
      <c r="K1702" s="1">
        <v>2699.4195951400002</v>
      </c>
      <c r="L1702" s="1">
        <v>631.57547394200003</v>
      </c>
      <c r="M1702" s="1" t="s">
        <v>198</v>
      </c>
      <c r="N1702" s="1" t="b">
        <v>1</v>
      </c>
    </row>
    <row r="1703" spans="1:14" ht="19" customHeight="1" x14ac:dyDescent="0.3">
      <c r="A1703">
        <v>1698</v>
      </c>
      <c r="B1703" s="1">
        <v>7</v>
      </c>
      <c r="C1703" s="1">
        <v>30</v>
      </c>
      <c r="D1703" s="1">
        <v>0.04</v>
      </c>
      <c r="E1703" s="1">
        <v>0.04</v>
      </c>
      <c r="F1703" s="1">
        <v>5</v>
      </c>
      <c r="G1703" s="1">
        <v>1</v>
      </c>
      <c r="H1703" s="1">
        <v>1.4757922878900001</v>
      </c>
      <c r="I1703" s="1">
        <v>1.3416089315999999</v>
      </c>
      <c r="J1703" s="1">
        <v>0.62632427952600001</v>
      </c>
      <c r="K1703" s="1">
        <v>2329.6386333700002</v>
      </c>
      <c r="L1703" s="1">
        <v>517.89188863300001</v>
      </c>
      <c r="M1703" s="1" t="s">
        <v>198</v>
      </c>
      <c r="N1703" s="1" t="b">
        <v>1</v>
      </c>
    </row>
    <row r="1704" spans="1:14" ht="19" customHeight="1" x14ac:dyDescent="0.3">
      <c r="A1704">
        <v>1699</v>
      </c>
      <c r="B1704" s="1">
        <v>7</v>
      </c>
      <c r="C1704" s="1">
        <v>30</v>
      </c>
      <c r="D1704" s="1">
        <v>0.04</v>
      </c>
      <c r="E1704" s="1">
        <v>0.06</v>
      </c>
      <c r="F1704" s="1">
        <v>-5</v>
      </c>
      <c r="G1704" s="1">
        <v>0</v>
      </c>
      <c r="H1704" s="1">
        <v>1.5169881034499999</v>
      </c>
      <c r="I1704" s="1">
        <v>1.85060563213</v>
      </c>
      <c r="J1704" s="1">
        <v>0.76749675440999998</v>
      </c>
      <c r="K1704" s="1">
        <v>2784.57907011</v>
      </c>
      <c r="L1704" s="1">
        <v>634.62387880300003</v>
      </c>
      <c r="M1704" s="1" t="s">
        <v>198</v>
      </c>
      <c r="N1704" s="1" t="b">
        <v>1</v>
      </c>
    </row>
    <row r="1705" spans="1:14" ht="19" customHeight="1" x14ac:dyDescent="0.3">
      <c r="A1705">
        <v>1700</v>
      </c>
      <c r="B1705" s="1">
        <v>7</v>
      </c>
      <c r="C1705" s="1">
        <v>30</v>
      </c>
      <c r="D1705" s="1">
        <v>0.04</v>
      </c>
      <c r="E1705" s="1">
        <v>0.06</v>
      </c>
      <c r="F1705" s="1">
        <v>-5</v>
      </c>
      <c r="G1705" s="1">
        <v>1</v>
      </c>
      <c r="H1705" s="1">
        <v>1.5169881034499999</v>
      </c>
      <c r="I1705" s="1">
        <v>1.3879542241</v>
      </c>
      <c r="J1705" s="1">
        <v>0.62934733861699999</v>
      </c>
      <c r="K1705" s="1">
        <v>2402.0241870899999</v>
      </c>
      <c r="L1705" s="1">
        <v>520.39158061900002</v>
      </c>
      <c r="M1705" s="1" t="s">
        <v>198</v>
      </c>
      <c r="N1705" s="1" t="b">
        <v>1</v>
      </c>
    </row>
    <row r="1706" spans="1:14" ht="19" customHeight="1" x14ac:dyDescent="0.3">
      <c r="A1706">
        <v>1701</v>
      </c>
      <c r="B1706" s="1">
        <v>7</v>
      </c>
      <c r="C1706" s="1">
        <v>30</v>
      </c>
      <c r="D1706" s="1">
        <v>0.04</v>
      </c>
      <c r="E1706" s="1">
        <v>0.06</v>
      </c>
      <c r="F1706" s="1">
        <v>0</v>
      </c>
      <c r="G1706" s="1">
        <v>0</v>
      </c>
      <c r="H1706" s="1">
        <v>1.5515072195699999</v>
      </c>
      <c r="I1706" s="1">
        <v>1.8927162265099999</v>
      </c>
      <c r="J1706" s="1">
        <v>0.75999675441000003</v>
      </c>
      <c r="K1706" s="1">
        <v>2847.9422619799998</v>
      </c>
      <c r="L1706" s="1">
        <v>628.422316303</v>
      </c>
      <c r="M1706" s="1" t="s">
        <v>198</v>
      </c>
      <c r="N1706" s="1" t="b">
        <v>1</v>
      </c>
    </row>
    <row r="1707" spans="1:14" ht="19" customHeight="1" x14ac:dyDescent="0.3">
      <c r="A1707">
        <v>1702</v>
      </c>
      <c r="B1707" s="1">
        <v>7</v>
      </c>
      <c r="C1707" s="1">
        <v>30</v>
      </c>
      <c r="D1707" s="1">
        <v>0.04</v>
      </c>
      <c r="E1707" s="1">
        <v>0.06</v>
      </c>
      <c r="F1707" s="1">
        <v>0</v>
      </c>
      <c r="G1707" s="1">
        <v>1</v>
      </c>
      <c r="H1707" s="1">
        <v>1.5515072195699999</v>
      </c>
      <c r="I1707" s="1">
        <v>1.4195371698799999</v>
      </c>
      <c r="J1707" s="1">
        <v>0.623197338617</v>
      </c>
      <c r="K1707" s="1">
        <v>2456.6823295300001</v>
      </c>
      <c r="L1707" s="1">
        <v>515.30629936900004</v>
      </c>
      <c r="M1707" s="1" t="s">
        <v>198</v>
      </c>
      <c r="N1707" s="1" t="b">
        <v>1</v>
      </c>
    </row>
    <row r="1708" spans="1:14" ht="19" customHeight="1" x14ac:dyDescent="0.3">
      <c r="A1708">
        <v>1703</v>
      </c>
      <c r="B1708" s="1">
        <v>7</v>
      </c>
      <c r="C1708" s="1">
        <v>30</v>
      </c>
      <c r="D1708" s="1">
        <v>0.04</v>
      </c>
      <c r="E1708" s="1">
        <v>0.06</v>
      </c>
      <c r="F1708" s="1">
        <v>5</v>
      </c>
      <c r="G1708" s="1">
        <v>0</v>
      </c>
      <c r="H1708" s="1">
        <v>1.5169881034499999</v>
      </c>
      <c r="I1708" s="1">
        <v>1.85060563213</v>
      </c>
      <c r="J1708" s="1">
        <v>0.76749675440999998</v>
      </c>
      <c r="K1708" s="1">
        <v>2784.57907011</v>
      </c>
      <c r="L1708" s="1">
        <v>634.62387880300003</v>
      </c>
      <c r="M1708" s="1" t="s">
        <v>198</v>
      </c>
      <c r="N1708" s="1" t="b">
        <v>1</v>
      </c>
    </row>
    <row r="1709" spans="1:14" ht="19" customHeight="1" x14ac:dyDescent="0.3">
      <c r="A1709">
        <v>1704</v>
      </c>
      <c r="B1709" s="1">
        <v>7</v>
      </c>
      <c r="C1709" s="1">
        <v>30</v>
      </c>
      <c r="D1709" s="1">
        <v>0.04</v>
      </c>
      <c r="E1709" s="1">
        <v>0.06</v>
      </c>
      <c r="F1709" s="1">
        <v>5</v>
      </c>
      <c r="G1709" s="1">
        <v>1</v>
      </c>
      <c r="H1709" s="1">
        <v>1.5169881034499999</v>
      </c>
      <c r="I1709" s="1">
        <v>1.3879542241</v>
      </c>
      <c r="J1709" s="1">
        <v>0.62934733861699999</v>
      </c>
      <c r="K1709" s="1">
        <v>2402.0241870899999</v>
      </c>
      <c r="L1709" s="1">
        <v>520.39158061900002</v>
      </c>
      <c r="M1709" s="1" t="s">
        <v>198</v>
      </c>
      <c r="N1709" s="1" t="b">
        <v>1</v>
      </c>
    </row>
    <row r="1710" spans="1:14" ht="19" customHeight="1" x14ac:dyDescent="0.3">
      <c r="A1710">
        <v>1705</v>
      </c>
      <c r="B1710" s="1">
        <v>7</v>
      </c>
      <c r="C1710" s="1">
        <v>30</v>
      </c>
      <c r="D1710" s="1">
        <v>0.04</v>
      </c>
      <c r="E1710" s="1">
        <v>8.5000000000000006E-2</v>
      </c>
      <c r="F1710" s="1">
        <v>-5</v>
      </c>
      <c r="G1710" s="1">
        <v>0</v>
      </c>
      <c r="H1710" s="1">
        <v>1.4116717854600001</v>
      </c>
      <c r="I1710" s="1">
        <v>1.69263115514</v>
      </c>
      <c r="J1710" s="1">
        <v>0.75807188489999999</v>
      </c>
      <c r="K1710" s="1">
        <v>2566.8704939999998</v>
      </c>
      <c r="L1710" s="1">
        <v>626.83068982600003</v>
      </c>
      <c r="M1710" s="1" t="s">
        <v>198</v>
      </c>
      <c r="N1710" s="1" t="b">
        <v>1</v>
      </c>
    </row>
    <row r="1711" spans="1:14" ht="19" customHeight="1" x14ac:dyDescent="0.3">
      <c r="A1711">
        <v>1706</v>
      </c>
      <c r="B1711" s="1">
        <v>7</v>
      </c>
      <c r="C1711" s="1">
        <v>30</v>
      </c>
      <c r="D1711" s="1">
        <v>0.04</v>
      </c>
      <c r="E1711" s="1">
        <v>8.5000000000000006E-2</v>
      </c>
      <c r="F1711" s="1">
        <v>-5</v>
      </c>
      <c r="G1711" s="1">
        <v>1</v>
      </c>
      <c r="H1711" s="1">
        <v>1.4116717854600001</v>
      </c>
      <c r="I1711" s="1">
        <v>1.26947336635</v>
      </c>
      <c r="J1711" s="1">
        <v>0.62161894561800002</v>
      </c>
      <c r="K1711" s="1">
        <v>2216.9718974000002</v>
      </c>
      <c r="L1711" s="1">
        <v>514.00116565799999</v>
      </c>
      <c r="M1711" s="1" t="s">
        <v>198</v>
      </c>
      <c r="N1711" s="1" t="b">
        <v>1</v>
      </c>
    </row>
    <row r="1712" spans="1:14" ht="19" customHeight="1" x14ac:dyDescent="0.3">
      <c r="A1712">
        <v>1707</v>
      </c>
      <c r="B1712" s="1">
        <v>7</v>
      </c>
      <c r="C1712" s="1">
        <v>30</v>
      </c>
      <c r="D1712" s="1">
        <v>0.04</v>
      </c>
      <c r="E1712" s="1">
        <v>8.5000000000000006E-2</v>
      </c>
      <c r="F1712" s="1">
        <v>0</v>
      </c>
      <c r="G1712" s="1">
        <v>0</v>
      </c>
      <c r="H1712" s="1">
        <v>1.4437944251599999</v>
      </c>
      <c r="I1712" s="1">
        <v>1.7311470349</v>
      </c>
      <c r="J1712" s="1">
        <v>0.75057188490000004</v>
      </c>
      <c r="K1712" s="1">
        <v>2625.2797197899999</v>
      </c>
      <c r="L1712" s="1">
        <v>620.629127326</v>
      </c>
      <c r="M1712" s="1" t="s">
        <v>198</v>
      </c>
      <c r="N1712" s="1" t="b">
        <v>1</v>
      </c>
    </row>
    <row r="1713" spans="1:14" ht="19" customHeight="1" x14ac:dyDescent="0.3">
      <c r="A1713">
        <v>1708</v>
      </c>
      <c r="B1713" s="1">
        <v>7</v>
      </c>
      <c r="C1713" s="1">
        <v>30</v>
      </c>
      <c r="D1713" s="1">
        <v>0.04</v>
      </c>
      <c r="E1713" s="1">
        <v>8.5000000000000006E-2</v>
      </c>
      <c r="F1713" s="1">
        <v>0</v>
      </c>
      <c r="G1713" s="1">
        <v>1</v>
      </c>
      <c r="H1713" s="1">
        <v>1.4437944251599999</v>
      </c>
      <c r="I1713" s="1">
        <v>1.2983602761699999</v>
      </c>
      <c r="J1713" s="1">
        <v>0.61546894561800003</v>
      </c>
      <c r="K1713" s="1">
        <v>2267.4191686700001</v>
      </c>
      <c r="L1713" s="1">
        <v>508.91588440800001</v>
      </c>
      <c r="M1713" s="1" t="s">
        <v>198</v>
      </c>
      <c r="N1713" s="1" t="b">
        <v>1</v>
      </c>
    </row>
    <row r="1714" spans="1:14" ht="19" customHeight="1" x14ac:dyDescent="0.3">
      <c r="A1714">
        <v>1709</v>
      </c>
      <c r="B1714" s="1">
        <v>7</v>
      </c>
      <c r="C1714" s="1">
        <v>30</v>
      </c>
      <c r="D1714" s="1">
        <v>0.04</v>
      </c>
      <c r="E1714" s="1">
        <v>8.5000000000000006E-2</v>
      </c>
      <c r="F1714" s="1">
        <v>5</v>
      </c>
      <c r="G1714" s="1">
        <v>0</v>
      </c>
      <c r="H1714" s="1">
        <v>1.4116717854600001</v>
      </c>
      <c r="I1714" s="1">
        <v>1.69263115514</v>
      </c>
      <c r="J1714" s="1">
        <v>0.75807188489999999</v>
      </c>
      <c r="K1714" s="1">
        <v>2566.8704939999998</v>
      </c>
      <c r="L1714" s="1">
        <v>626.83068982600003</v>
      </c>
      <c r="M1714" s="1" t="s">
        <v>198</v>
      </c>
      <c r="N1714" s="1" t="b">
        <v>1</v>
      </c>
    </row>
    <row r="1715" spans="1:14" ht="19" customHeight="1" x14ac:dyDescent="0.3">
      <c r="A1715">
        <v>1710</v>
      </c>
      <c r="B1715" s="1">
        <v>7</v>
      </c>
      <c r="C1715" s="1">
        <v>30</v>
      </c>
      <c r="D1715" s="1">
        <v>0.04</v>
      </c>
      <c r="E1715" s="1">
        <v>8.5000000000000006E-2</v>
      </c>
      <c r="F1715" s="1">
        <v>5</v>
      </c>
      <c r="G1715" s="1">
        <v>1</v>
      </c>
      <c r="H1715" s="1">
        <v>1.4116717854600001</v>
      </c>
      <c r="I1715" s="1">
        <v>1.26947336635</v>
      </c>
      <c r="J1715" s="1">
        <v>0.62161894561800002</v>
      </c>
      <c r="K1715" s="1">
        <v>2216.9718974000002</v>
      </c>
      <c r="L1715" s="1">
        <v>514.00116565799999</v>
      </c>
      <c r="M1715" s="1" t="s">
        <v>198</v>
      </c>
      <c r="N1715" s="1" t="b">
        <v>1</v>
      </c>
    </row>
    <row r="1716" spans="1:14" ht="19" customHeight="1" x14ac:dyDescent="0.3">
      <c r="A1716">
        <v>1711</v>
      </c>
      <c r="B1716" s="1">
        <v>7</v>
      </c>
      <c r="C1716" s="1">
        <v>30</v>
      </c>
      <c r="D1716" s="1">
        <v>5.5E-2</v>
      </c>
      <c r="E1716" s="1">
        <v>0.04</v>
      </c>
      <c r="F1716" s="1">
        <v>-5</v>
      </c>
      <c r="G1716" s="1">
        <v>0</v>
      </c>
      <c r="H1716" s="1">
        <v>1.33590718583</v>
      </c>
      <c r="I1716" s="1">
        <v>1.5789842557</v>
      </c>
      <c r="J1716" s="1">
        <v>0.75129163015300005</v>
      </c>
      <c r="K1716" s="1">
        <v>2410.2508607099999</v>
      </c>
      <c r="L1716" s="1">
        <v>621.224266683</v>
      </c>
      <c r="M1716" s="1" t="s">
        <v>198</v>
      </c>
      <c r="N1716" s="1" t="b">
        <v>1</v>
      </c>
    </row>
    <row r="1717" spans="1:14" ht="19" customHeight="1" x14ac:dyDescent="0.3">
      <c r="A1717">
        <v>1712</v>
      </c>
      <c r="B1717" s="1">
        <v>7</v>
      </c>
      <c r="C1717" s="1">
        <v>30</v>
      </c>
      <c r="D1717" s="1">
        <v>5.5E-2</v>
      </c>
      <c r="E1717" s="1">
        <v>0.04</v>
      </c>
      <c r="F1717" s="1">
        <v>-5</v>
      </c>
      <c r="G1717" s="1">
        <v>1</v>
      </c>
      <c r="H1717" s="1">
        <v>1.33590718583</v>
      </c>
      <c r="I1717" s="1">
        <v>1.18423819177</v>
      </c>
      <c r="J1717" s="1">
        <v>0.61605913672500001</v>
      </c>
      <c r="K1717" s="1">
        <v>2083.8452091099998</v>
      </c>
      <c r="L1717" s="1">
        <v>509.40389868</v>
      </c>
      <c r="M1717" s="1" t="s">
        <v>198</v>
      </c>
      <c r="N1717" s="1" t="b">
        <v>1</v>
      </c>
    </row>
    <row r="1718" spans="1:14" ht="19" customHeight="1" x14ac:dyDescent="0.3">
      <c r="A1718">
        <v>1713</v>
      </c>
      <c r="B1718" s="1">
        <v>7</v>
      </c>
      <c r="C1718" s="1">
        <v>30</v>
      </c>
      <c r="D1718" s="1">
        <v>5.5E-2</v>
      </c>
      <c r="E1718" s="1">
        <v>0.04</v>
      </c>
      <c r="F1718" s="1">
        <v>0</v>
      </c>
      <c r="G1718" s="1">
        <v>0</v>
      </c>
      <c r="H1718" s="1">
        <v>1.3663057994900001</v>
      </c>
      <c r="I1718" s="1">
        <v>1.6149140963799999</v>
      </c>
      <c r="J1718" s="1">
        <v>0.74379163015299998</v>
      </c>
      <c r="K1718" s="1">
        <v>2465.0962014000002</v>
      </c>
      <c r="L1718" s="1">
        <v>615.02270418299997</v>
      </c>
      <c r="M1718" s="1" t="s">
        <v>198</v>
      </c>
      <c r="N1718" s="1" t="b">
        <v>1</v>
      </c>
    </row>
    <row r="1719" spans="1:14" ht="19" customHeight="1" x14ac:dyDescent="0.3">
      <c r="A1719">
        <v>1714</v>
      </c>
      <c r="B1719" s="1">
        <v>7</v>
      </c>
      <c r="C1719" s="1">
        <v>30</v>
      </c>
      <c r="D1719" s="1">
        <v>5.5E-2</v>
      </c>
      <c r="E1719" s="1">
        <v>0.04</v>
      </c>
      <c r="F1719" s="1">
        <v>0</v>
      </c>
      <c r="G1719" s="1">
        <v>1</v>
      </c>
      <c r="H1719" s="1">
        <v>1.3663057994900001</v>
      </c>
      <c r="I1719" s="1">
        <v>1.21118557229</v>
      </c>
      <c r="J1719" s="1">
        <v>0.60990913672500002</v>
      </c>
      <c r="K1719" s="1">
        <v>2131.2631780299998</v>
      </c>
      <c r="L1719" s="1">
        <v>504.31861743000002</v>
      </c>
      <c r="M1719" s="1" t="s">
        <v>198</v>
      </c>
      <c r="N1719" s="1" t="b">
        <v>1</v>
      </c>
    </row>
    <row r="1720" spans="1:14" ht="19" customHeight="1" x14ac:dyDescent="0.3">
      <c r="A1720">
        <v>1715</v>
      </c>
      <c r="B1720" s="1">
        <v>7</v>
      </c>
      <c r="C1720" s="1">
        <v>30</v>
      </c>
      <c r="D1720" s="1">
        <v>5.5E-2</v>
      </c>
      <c r="E1720" s="1">
        <v>0.04</v>
      </c>
      <c r="F1720" s="1">
        <v>5</v>
      </c>
      <c r="G1720" s="1">
        <v>0</v>
      </c>
      <c r="H1720" s="1">
        <v>1.33590718583</v>
      </c>
      <c r="I1720" s="1">
        <v>1.5789842557</v>
      </c>
      <c r="J1720" s="1">
        <v>0.75129163015300005</v>
      </c>
      <c r="K1720" s="1">
        <v>2410.2508607099999</v>
      </c>
      <c r="L1720" s="1">
        <v>621.224266683</v>
      </c>
      <c r="M1720" s="1" t="s">
        <v>198</v>
      </c>
      <c r="N1720" s="1" t="b">
        <v>1</v>
      </c>
    </row>
    <row r="1721" spans="1:14" ht="19" customHeight="1" x14ac:dyDescent="0.3">
      <c r="A1721">
        <v>1716</v>
      </c>
      <c r="B1721" s="1">
        <v>7</v>
      </c>
      <c r="C1721" s="1">
        <v>30</v>
      </c>
      <c r="D1721" s="1">
        <v>5.5E-2</v>
      </c>
      <c r="E1721" s="1">
        <v>0.04</v>
      </c>
      <c r="F1721" s="1">
        <v>5</v>
      </c>
      <c r="G1721" s="1">
        <v>1</v>
      </c>
      <c r="H1721" s="1">
        <v>1.33590718583</v>
      </c>
      <c r="I1721" s="1">
        <v>1.18423819177</v>
      </c>
      <c r="J1721" s="1">
        <v>0.61605913672500001</v>
      </c>
      <c r="K1721" s="1">
        <v>2083.8452091099998</v>
      </c>
      <c r="L1721" s="1">
        <v>509.40389868</v>
      </c>
      <c r="M1721" s="1" t="s">
        <v>198</v>
      </c>
      <c r="N1721" s="1" t="b">
        <v>1</v>
      </c>
    </row>
    <row r="1722" spans="1:14" ht="19" customHeight="1" x14ac:dyDescent="0.3">
      <c r="A1722">
        <v>1717</v>
      </c>
      <c r="B1722" s="1">
        <v>7</v>
      </c>
      <c r="C1722" s="1">
        <v>30</v>
      </c>
      <c r="D1722" s="1">
        <v>5.5E-2</v>
      </c>
      <c r="E1722" s="1">
        <v>0.06</v>
      </c>
      <c r="F1722" s="1">
        <v>-5</v>
      </c>
      <c r="G1722" s="1">
        <v>0</v>
      </c>
      <c r="H1722" s="1">
        <v>1.36353678554</v>
      </c>
      <c r="I1722" s="1">
        <v>1.62042865526</v>
      </c>
      <c r="J1722" s="1">
        <v>0.75376423247000002</v>
      </c>
      <c r="K1722" s="1">
        <v>2467.3664238599999</v>
      </c>
      <c r="L1722" s="1">
        <v>623.26879972300003</v>
      </c>
      <c r="M1722" s="1" t="s">
        <v>198</v>
      </c>
      <c r="N1722" s="1" t="b">
        <v>1</v>
      </c>
    </row>
    <row r="1723" spans="1:14" ht="19" customHeight="1" x14ac:dyDescent="0.3">
      <c r="A1723">
        <v>1718</v>
      </c>
      <c r="B1723" s="1">
        <v>7</v>
      </c>
      <c r="C1723" s="1">
        <v>30</v>
      </c>
      <c r="D1723" s="1">
        <v>5.5E-2</v>
      </c>
      <c r="E1723" s="1">
        <v>0.06</v>
      </c>
      <c r="F1723" s="1">
        <v>-5</v>
      </c>
      <c r="G1723" s="1">
        <v>1</v>
      </c>
      <c r="H1723" s="1">
        <v>1.36353678554</v>
      </c>
      <c r="I1723" s="1">
        <v>1.2153214914399999</v>
      </c>
      <c r="J1723" s="1">
        <v>0.618086670625</v>
      </c>
      <c r="K1723" s="1">
        <v>2132.3934377800001</v>
      </c>
      <c r="L1723" s="1">
        <v>511.08041577300003</v>
      </c>
      <c r="M1723" s="1" t="s">
        <v>198</v>
      </c>
      <c r="N1723" s="1" t="b">
        <v>1</v>
      </c>
    </row>
    <row r="1724" spans="1:14" ht="19" customHeight="1" x14ac:dyDescent="0.3">
      <c r="A1724">
        <v>1719</v>
      </c>
      <c r="B1724" s="1">
        <v>7</v>
      </c>
      <c r="C1724" s="1">
        <v>30</v>
      </c>
      <c r="D1724" s="1">
        <v>5.5E-2</v>
      </c>
      <c r="E1724" s="1">
        <v>0.06</v>
      </c>
      <c r="F1724" s="1">
        <v>0</v>
      </c>
      <c r="G1724" s="1">
        <v>0</v>
      </c>
      <c r="H1724" s="1">
        <v>1.3945641116800001</v>
      </c>
      <c r="I1724" s="1">
        <v>1.65730156467</v>
      </c>
      <c r="J1724" s="1">
        <v>0.74626423246999996</v>
      </c>
      <c r="K1724" s="1">
        <v>2523.5114311299999</v>
      </c>
      <c r="L1724" s="1">
        <v>617.06723722300001</v>
      </c>
      <c r="M1724" s="1" t="s">
        <v>198</v>
      </c>
      <c r="N1724" s="1" t="b">
        <v>1</v>
      </c>
    </row>
    <row r="1725" spans="1:14" ht="19" customHeight="1" x14ac:dyDescent="0.3">
      <c r="A1725">
        <v>1720</v>
      </c>
      <c r="B1725" s="1">
        <v>7</v>
      </c>
      <c r="C1725" s="1">
        <v>30</v>
      </c>
      <c r="D1725" s="1">
        <v>5.5E-2</v>
      </c>
      <c r="E1725" s="1">
        <v>0.06</v>
      </c>
      <c r="F1725" s="1">
        <v>0</v>
      </c>
      <c r="G1725" s="1">
        <v>1</v>
      </c>
      <c r="H1725" s="1">
        <v>1.3945641116800001</v>
      </c>
      <c r="I1725" s="1">
        <v>1.2429761735</v>
      </c>
      <c r="J1725" s="1">
        <v>0.61193667062500001</v>
      </c>
      <c r="K1725" s="1">
        <v>2180.9161233099999</v>
      </c>
      <c r="L1725" s="1">
        <v>505.99513452299999</v>
      </c>
      <c r="M1725" s="1" t="s">
        <v>198</v>
      </c>
      <c r="N1725" s="1" t="b">
        <v>1</v>
      </c>
    </row>
    <row r="1726" spans="1:14" ht="19" customHeight="1" x14ac:dyDescent="0.3">
      <c r="A1726">
        <v>1721</v>
      </c>
      <c r="B1726" s="1">
        <v>7</v>
      </c>
      <c r="C1726" s="1">
        <v>30</v>
      </c>
      <c r="D1726" s="1">
        <v>5.5E-2</v>
      </c>
      <c r="E1726" s="1">
        <v>0.06</v>
      </c>
      <c r="F1726" s="1">
        <v>5</v>
      </c>
      <c r="G1726" s="1">
        <v>0</v>
      </c>
      <c r="H1726" s="1">
        <v>1.36353678554</v>
      </c>
      <c r="I1726" s="1">
        <v>1.62042865526</v>
      </c>
      <c r="J1726" s="1">
        <v>0.75376423247000002</v>
      </c>
      <c r="K1726" s="1">
        <v>2467.3664238599999</v>
      </c>
      <c r="L1726" s="1">
        <v>623.26879972300003</v>
      </c>
      <c r="M1726" s="1" t="s">
        <v>198</v>
      </c>
      <c r="N1726" s="1" t="b">
        <v>1</v>
      </c>
    </row>
    <row r="1727" spans="1:14" ht="19" customHeight="1" x14ac:dyDescent="0.3">
      <c r="A1727">
        <v>1722</v>
      </c>
      <c r="B1727" s="1">
        <v>7</v>
      </c>
      <c r="C1727" s="1">
        <v>30</v>
      </c>
      <c r="D1727" s="1">
        <v>5.5E-2</v>
      </c>
      <c r="E1727" s="1">
        <v>0.06</v>
      </c>
      <c r="F1727" s="1">
        <v>5</v>
      </c>
      <c r="G1727" s="1">
        <v>1</v>
      </c>
      <c r="H1727" s="1">
        <v>1.36353678554</v>
      </c>
      <c r="I1727" s="1">
        <v>1.2153214914399999</v>
      </c>
      <c r="J1727" s="1">
        <v>0.618086670625</v>
      </c>
      <c r="K1727" s="1">
        <v>2132.3934377800001</v>
      </c>
      <c r="L1727" s="1">
        <v>511.08041577300003</v>
      </c>
      <c r="M1727" s="1" t="s">
        <v>198</v>
      </c>
      <c r="N1727" s="1" t="b">
        <v>1</v>
      </c>
    </row>
    <row r="1728" spans="1:14" ht="19" customHeight="1" x14ac:dyDescent="0.3">
      <c r="A1728">
        <v>1723</v>
      </c>
      <c r="B1728" s="1">
        <v>7</v>
      </c>
      <c r="C1728" s="1">
        <v>30</v>
      </c>
      <c r="D1728" s="1">
        <v>5.5E-2</v>
      </c>
      <c r="E1728" s="1">
        <v>8.5000000000000006E-2</v>
      </c>
      <c r="F1728" s="1">
        <v>-5</v>
      </c>
      <c r="G1728" s="1">
        <v>0</v>
      </c>
      <c r="H1728" s="1">
        <v>1.2929022400300001</v>
      </c>
      <c r="I1728" s="1">
        <v>1.5144768369899999</v>
      </c>
      <c r="J1728" s="1">
        <v>0.747443071731</v>
      </c>
      <c r="K1728" s="1">
        <v>2321.3515743100002</v>
      </c>
      <c r="L1728" s="1">
        <v>618.04198993800003</v>
      </c>
      <c r="M1728" s="1" t="s">
        <v>198</v>
      </c>
      <c r="N1728" s="1" t="b">
        <v>1</v>
      </c>
    </row>
    <row r="1729" spans="1:14" ht="19" customHeight="1" x14ac:dyDescent="0.3">
      <c r="A1729">
        <v>1724</v>
      </c>
      <c r="B1729" s="1">
        <v>7</v>
      </c>
      <c r="C1729" s="1">
        <v>30</v>
      </c>
      <c r="D1729" s="1">
        <v>5.5E-2</v>
      </c>
      <c r="E1729" s="1">
        <v>8.5000000000000006E-2</v>
      </c>
      <c r="F1729" s="1">
        <v>-5</v>
      </c>
      <c r="G1729" s="1">
        <v>1</v>
      </c>
      <c r="H1729" s="1">
        <v>1.2929022400300001</v>
      </c>
      <c r="I1729" s="1">
        <v>1.1358576277400001</v>
      </c>
      <c r="J1729" s="1">
        <v>0.61290331882000004</v>
      </c>
      <c r="K1729" s="1">
        <v>2008.2808156599999</v>
      </c>
      <c r="L1729" s="1">
        <v>506.79443174900001</v>
      </c>
      <c r="M1729" s="1" t="s">
        <v>198</v>
      </c>
      <c r="N1729" s="1" t="b">
        <v>1</v>
      </c>
    </row>
    <row r="1730" spans="1:14" ht="19" customHeight="1" x14ac:dyDescent="0.3">
      <c r="A1730">
        <v>1725</v>
      </c>
      <c r="B1730" s="1">
        <v>7</v>
      </c>
      <c r="C1730" s="1">
        <v>30</v>
      </c>
      <c r="D1730" s="1">
        <v>5.5E-2</v>
      </c>
      <c r="E1730" s="1">
        <v>8.5000000000000006E-2</v>
      </c>
      <c r="F1730" s="1">
        <v>0</v>
      </c>
      <c r="G1730" s="1">
        <v>0</v>
      </c>
      <c r="H1730" s="1">
        <v>1.3223222746700001</v>
      </c>
      <c r="I1730" s="1">
        <v>1.54893880916</v>
      </c>
      <c r="J1730" s="1">
        <v>0.73994307173100005</v>
      </c>
      <c r="K1730" s="1">
        <v>2374.1740086899999</v>
      </c>
      <c r="L1730" s="1">
        <v>611.84042743800001</v>
      </c>
      <c r="M1730" s="1" t="s">
        <v>198</v>
      </c>
      <c r="N1730" s="1" t="b">
        <v>1</v>
      </c>
    </row>
    <row r="1731" spans="1:14" ht="19" customHeight="1" x14ac:dyDescent="0.3">
      <c r="A1731">
        <v>1726</v>
      </c>
      <c r="B1731" s="1">
        <v>7</v>
      </c>
      <c r="C1731" s="1">
        <v>30</v>
      </c>
      <c r="D1731" s="1">
        <v>5.5E-2</v>
      </c>
      <c r="E1731" s="1">
        <v>8.5000000000000006E-2</v>
      </c>
      <c r="F1731" s="1">
        <v>0</v>
      </c>
      <c r="G1731" s="1">
        <v>1</v>
      </c>
      <c r="H1731" s="1">
        <v>1.3223222746700001</v>
      </c>
      <c r="I1731" s="1">
        <v>1.16170410687</v>
      </c>
      <c r="J1731" s="1">
        <v>0.60675331882000005</v>
      </c>
      <c r="K1731" s="1">
        <v>2053.97931423</v>
      </c>
      <c r="L1731" s="1">
        <v>501.70915049899997</v>
      </c>
      <c r="M1731" s="1" t="s">
        <v>198</v>
      </c>
      <c r="N1731" s="1" t="b">
        <v>1</v>
      </c>
    </row>
    <row r="1732" spans="1:14" ht="19" customHeight="1" x14ac:dyDescent="0.3">
      <c r="A1732">
        <v>1727</v>
      </c>
      <c r="B1732" s="1">
        <v>7</v>
      </c>
      <c r="C1732" s="1">
        <v>30</v>
      </c>
      <c r="D1732" s="1">
        <v>5.5E-2</v>
      </c>
      <c r="E1732" s="1">
        <v>8.5000000000000006E-2</v>
      </c>
      <c r="F1732" s="1">
        <v>5</v>
      </c>
      <c r="G1732" s="1">
        <v>0</v>
      </c>
      <c r="H1732" s="1">
        <v>1.2929022400300001</v>
      </c>
      <c r="I1732" s="1">
        <v>1.5144768369899999</v>
      </c>
      <c r="J1732" s="1">
        <v>0.747443071731</v>
      </c>
      <c r="K1732" s="1">
        <v>2321.3515743100002</v>
      </c>
      <c r="L1732" s="1">
        <v>618.04198993800003</v>
      </c>
      <c r="M1732" s="1" t="s">
        <v>198</v>
      </c>
      <c r="N1732" s="1" t="b">
        <v>1</v>
      </c>
    </row>
    <row r="1733" spans="1:14" ht="19" customHeight="1" x14ac:dyDescent="0.3">
      <c r="A1733">
        <v>1728</v>
      </c>
      <c r="B1733" s="1">
        <v>7</v>
      </c>
      <c r="C1733" s="1">
        <v>30</v>
      </c>
      <c r="D1733" s="1">
        <v>5.5E-2</v>
      </c>
      <c r="E1733" s="1">
        <v>8.5000000000000006E-2</v>
      </c>
      <c r="F1733" s="1">
        <v>5</v>
      </c>
      <c r="G1733" s="1">
        <v>1</v>
      </c>
      <c r="H1733" s="1">
        <v>1.2929022400300001</v>
      </c>
      <c r="I1733" s="1">
        <v>1.1358576277400001</v>
      </c>
      <c r="J1733" s="1">
        <v>0.61290331882000004</v>
      </c>
      <c r="K1733" s="1">
        <v>2008.2808156599999</v>
      </c>
      <c r="L1733" s="1">
        <v>506.79443174900001</v>
      </c>
      <c r="M1733" s="1" t="s">
        <v>198</v>
      </c>
      <c r="N1733" s="1" t="b">
        <v>1</v>
      </c>
    </row>
    <row r="1734" spans="1:14" ht="19" customHeight="1" x14ac:dyDescent="0.3">
      <c r="A1734">
        <v>1729</v>
      </c>
      <c r="B1734" s="1">
        <v>7</v>
      </c>
      <c r="C1734" s="1">
        <v>50</v>
      </c>
      <c r="D1734" s="1">
        <v>2.5000000000000001E-2</v>
      </c>
      <c r="E1734" s="1">
        <v>0.04</v>
      </c>
      <c r="F1734" s="1">
        <v>-5</v>
      </c>
      <c r="G1734" s="1">
        <v>0</v>
      </c>
      <c r="H1734" s="1">
        <v>1.4698034744399999</v>
      </c>
      <c r="I1734" s="1">
        <v>1.7798286886100001</v>
      </c>
      <c r="J1734" s="1">
        <v>0.76327415168599999</v>
      </c>
      <c r="K1734" s="1">
        <v>7463.9988745199998</v>
      </c>
      <c r="L1734" s="1">
        <v>1753.14531715</v>
      </c>
      <c r="M1734" s="1" t="s">
        <v>198</v>
      </c>
      <c r="N1734" s="1" t="b">
        <v>1</v>
      </c>
    </row>
    <row r="1735" spans="1:14" ht="19" customHeight="1" x14ac:dyDescent="0.3">
      <c r="A1735">
        <v>1730</v>
      </c>
      <c r="B1735" s="1">
        <v>7</v>
      </c>
      <c r="C1735" s="1">
        <v>50</v>
      </c>
      <c r="D1735" s="1">
        <v>2.5000000000000001E-2</v>
      </c>
      <c r="E1735" s="1">
        <v>0.04</v>
      </c>
      <c r="F1735" s="1">
        <v>-5</v>
      </c>
      <c r="G1735" s="1">
        <v>1</v>
      </c>
      <c r="H1735" s="1">
        <v>1.4698034744399999</v>
      </c>
      <c r="I1735" s="1">
        <v>1.33487151646</v>
      </c>
      <c r="J1735" s="1">
        <v>0.625884804382</v>
      </c>
      <c r="K1735" s="1">
        <v>6441.9878697300001</v>
      </c>
      <c r="L1735" s="1">
        <v>1437.5791600699999</v>
      </c>
      <c r="M1735" s="1" t="s">
        <v>198</v>
      </c>
      <c r="N1735" s="1" t="b">
        <v>1</v>
      </c>
    </row>
    <row r="1736" spans="1:14" ht="19" customHeight="1" x14ac:dyDescent="0.3">
      <c r="A1736">
        <v>1731</v>
      </c>
      <c r="B1736" s="1">
        <v>7</v>
      </c>
      <c r="C1736" s="1">
        <v>50</v>
      </c>
      <c r="D1736" s="1">
        <v>2.5000000000000001E-2</v>
      </c>
      <c r="E1736" s="1">
        <v>0.04</v>
      </c>
      <c r="F1736" s="1">
        <v>0</v>
      </c>
      <c r="G1736" s="1">
        <v>0</v>
      </c>
      <c r="H1736" s="1">
        <v>1.50324890272</v>
      </c>
      <c r="I1736" s="1">
        <v>1.8203287512299999</v>
      </c>
      <c r="J1736" s="1">
        <v>0.75577415168600004</v>
      </c>
      <c r="K1736" s="1">
        <v>7633.8424239100004</v>
      </c>
      <c r="L1736" s="1">
        <v>1735.91875465</v>
      </c>
      <c r="M1736" s="1" t="s">
        <v>198</v>
      </c>
      <c r="N1736" s="1" t="b">
        <v>1</v>
      </c>
    </row>
    <row r="1737" spans="1:14" ht="19" customHeight="1" x14ac:dyDescent="0.3">
      <c r="A1737">
        <v>1732</v>
      </c>
      <c r="B1737" s="1">
        <v>7</v>
      </c>
      <c r="C1737" s="1">
        <v>50</v>
      </c>
      <c r="D1737" s="1">
        <v>2.5000000000000001E-2</v>
      </c>
      <c r="E1737" s="1">
        <v>0.04</v>
      </c>
      <c r="F1737" s="1">
        <v>0</v>
      </c>
      <c r="G1737" s="1">
        <v>1</v>
      </c>
      <c r="H1737" s="1">
        <v>1.50324890272</v>
      </c>
      <c r="I1737" s="1">
        <v>1.3652465634199999</v>
      </c>
      <c r="J1737" s="1">
        <v>0.61973480438200002</v>
      </c>
      <c r="K1737" s="1">
        <v>6588.5755237900003</v>
      </c>
      <c r="L1737" s="1">
        <v>1423.4533788199999</v>
      </c>
      <c r="M1737" s="1" t="s">
        <v>198</v>
      </c>
      <c r="N1737" s="1" t="b">
        <v>1</v>
      </c>
    </row>
    <row r="1738" spans="1:14" ht="19" customHeight="1" x14ac:dyDescent="0.3">
      <c r="A1738">
        <v>1733</v>
      </c>
      <c r="B1738" s="1">
        <v>7</v>
      </c>
      <c r="C1738" s="1">
        <v>50</v>
      </c>
      <c r="D1738" s="1">
        <v>2.5000000000000001E-2</v>
      </c>
      <c r="E1738" s="1">
        <v>0.04</v>
      </c>
      <c r="F1738" s="1">
        <v>5</v>
      </c>
      <c r="G1738" s="1">
        <v>0</v>
      </c>
      <c r="H1738" s="1">
        <v>1.4698034744399999</v>
      </c>
      <c r="I1738" s="1">
        <v>1.7798286886100001</v>
      </c>
      <c r="J1738" s="1">
        <v>0.76327415168599999</v>
      </c>
      <c r="K1738" s="1">
        <v>7463.9988745199998</v>
      </c>
      <c r="L1738" s="1">
        <v>1753.14531715</v>
      </c>
      <c r="M1738" s="1" t="s">
        <v>198</v>
      </c>
      <c r="N1738" s="1" t="b">
        <v>1</v>
      </c>
    </row>
    <row r="1739" spans="1:14" ht="19" customHeight="1" x14ac:dyDescent="0.3">
      <c r="A1739">
        <v>1734</v>
      </c>
      <c r="B1739" s="1">
        <v>7</v>
      </c>
      <c r="C1739" s="1">
        <v>50</v>
      </c>
      <c r="D1739" s="1">
        <v>2.5000000000000001E-2</v>
      </c>
      <c r="E1739" s="1">
        <v>0.04</v>
      </c>
      <c r="F1739" s="1">
        <v>5</v>
      </c>
      <c r="G1739" s="1">
        <v>1</v>
      </c>
      <c r="H1739" s="1">
        <v>1.4698034744399999</v>
      </c>
      <c r="I1739" s="1">
        <v>1.33487151646</v>
      </c>
      <c r="J1739" s="1">
        <v>0.625884804382</v>
      </c>
      <c r="K1739" s="1">
        <v>6441.9878697300001</v>
      </c>
      <c r="L1739" s="1">
        <v>1437.5791600699999</v>
      </c>
      <c r="M1739" s="1" t="s">
        <v>198</v>
      </c>
      <c r="N1739" s="1" t="b">
        <v>1</v>
      </c>
    </row>
    <row r="1740" spans="1:14" ht="19" customHeight="1" x14ac:dyDescent="0.3">
      <c r="A1740">
        <v>1735</v>
      </c>
      <c r="B1740" s="1">
        <v>7</v>
      </c>
      <c r="C1740" s="1">
        <v>50</v>
      </c>
      <c r="D1740" s="1">
        <v>2.5000000000000001E-2</v>
      </c>
      <c r="E1740" s="1">
        <v>0.06</v>
      </c>
      <c r="F1740" s="1">
        <v>-5</v>
      </c>
      <c r="G1740" s="1">
        <v>0</v>
      </c>
      <c r="H1740" s="1">
        <v>1.51041848808</v>
      </c>
      <c r="I1740" s="1">
        <v>1.84075120907</v>
      </c>
      <c r="J1740" s="1">
        <v>0.76690883253099995</v>
      </c>
      <c r="K1740" s="1">
        <v>7697.2178981300003</v>
      </c>
      <c r="L1740" s="1">
        <v>1761.49372472</v>
      </c>
      <c r="M1740" s="1" t="s">
        <v>198</v>
      </c>
      <c r="N1740" s="1" t="b">
        <v>1</v>
      </c>
    </row>
    <row r="1741" spans="1:14" ht="19" customHeight="1" x14ac:dyDescent="0.3">
      <c r="A1741">
        <v>1736</v>
      </c>
      <c r="B1741" s="1">
        <v>7</v>
      </c>
      <c r="C1741" s="1">
        <v>50</v>
      </c>
      <c r="D1741" s="1">
        <v>2.5000000000000001E-2</v>
      </c>
      <c r="E1741" s="1">
        <v>0.06</v>
      </c>
      <c r="F1741" s="1">
        <v>-5</v>
      </c>
      <c r="G1741" s="1">
        <v>1</v>
      </c>
      <c r="H1741" s="1">
        <v>1.51041848808</v>
      </c>
      <c r="I1741" s="1">
        <v>1.3805634067999999</v>
      </c>
      <c r="J1741" s="1">
        <v>0.62886524267499999</v>
      </c>
      <c r="K1741" s="1">
        <v>6640.2240398000004</v>
      </c>
      <c r="L1741" s="1">
        <v>1444.42485427</v>
      </c>
      <c r="M1741" s="1" t="s">
        <v>198</v>
      </c>
      <c r="N1741" s="1" t="b">
        <v>1</v>
      </c>
    </row>
    <row r="1742" spans="1:14" ht="19" customHeight="1" x14ac:dyDescent="0.3">
      <c r="A1742">
        <v>1737</v>
      </c>
      <c r="B1742" s="1">
        <v>7</v>
      </c>
      <c r="C1742" s="1">
        <v>50</v>
      </c>
      <c r="D1742" s="1">
        <v>2.5000000000000001E-2</v>
      </c>
      <c r="E1742" s="1">
        <v>0.06</v>
      </c>
      <c r="F1742" s="1">
        <v>0</v>
      </c>
      <c r="G1742" s="1">
        <v>0</v>
      </c>
      <c r="H1742" s="1">
        <v>1.54478811238</v>
      </c>
      <c r="I1742" s="1">
        <v>1.8826375657200001</v>
      </c>
      <c r="J1742" s="1">
        <v>0.759408832531</v>
      </c>
      <c r="K1742" s="1">
        <v>7872.3683543699999</v>
      </c>
      <c r="L1742" s="1">
        <v>1744.26716222</v>
      </c>
      <c r="M1742" s="1" t="s">
        <v>198</v>
      </c>
      <c r="N1742" s="1" t="b">
        <v>1</v>
      </c>
    </row>
    <row r="1743" spans="1:14" ht="19" customHeight="1" x14ac:dyDescent="0.3">
      <c r="A1743">
        <v>1738</v>
      </c>
      <c r="B1743" s="1">
        <v>7</v>
      </c>
      <c r="C1743" s="1">
        <v>50</v>
      </c>
      <c r="D1743" s="1">
        <v>2.5000000000000001E-2</v>
      </c>
      <c r="E1743" s="1">
        <v>0.06</v>
      </c>
      <c r="F1743" s="1">
        <v>0</v>
      </c>
      <c r="G1743" s="1">
        <v>1</v>
      </c>
      <c r="H1743" s="1">
        <v>1.54478811238</v>
      </c>
      <c r="I1743" s="1">
        <v>1.4119781742899999</v>
      </c>
      <c r="J1743" s="1">
        <v>0.622715242675</v>
      </c>
      <c r="K1743" s="1">
        <v>6791.3225646800001</v>
      </c>
      <c r="L1743" s="1">
        <v>1430.2990730199999</v>
      </c>
      <c r="M1743" s="1" t="s">
        <v>198</v>
      </c>
      <c r="N1743" s="1" t="b">
        <v>1</v>
      </c>
    </row>
    <row r="1744" spans="1:14" ht="19" customHeight="1" x14ac:dyDescent="0.3">
      <c r="A1744">
        <v>1739</v>
      </c>
      <c r="B1744" s="1">
        <v>7</v>
      </c>
      <c r="C1744" s="1">
        <v>50</v>
      </c>
      <c r="D1744" s="1">
        <v>2.5000000000000001E-2</v>
      </c>
      <c r="E1744" s="1">
        <v>0.06</v>
      </c>
      <c r="F1744" s="1">
        <v>5</v>
      </c>
      <c r="G1744" s="1">
        <v>0</v>
      </c>
      <c r="H1744" s="1">
        <v>1.51041848808</v>
      </c>
      <c r="I1744" s="1">
        <v>1.84075120907</v>
      </c>
      <c r="J1744" s="1">
        <v>0.76690883253099995</v>
      </c>
      <c r="K1744" s="1">
        <v>7697.2178981300003</v>
      </c>
      <c r="L1744" s="1">
        <v>1761.49372472</v>
      </c>
      <c r="M1744" s="1" t="s">
        <v>198</v>
      </c>
      <c r="N1744" s="1" t="b">
        <v>1</v>
      </c>
    </row>
    <row r="1745" spans="1:14" ht="19" customHeight="1" x14ac:dyDescent="0.3">
      <c r="A1745">
        <v>1740</v>
      </c>
      <c r="B1745" s="1">
        <v>7</v>
      </c>
      <c r="C1745" s="1">
        <v>50</v>
      </c>
      <c r="D1745" s="1">
        <v>2.5000000000000001E-2</v>
      </c>
      <c r="E1745" s="1">
        <v>0.06</v>
      </c>
      <c r="F1745" s="1">
        <v>5</v>
      </c>
      <c r="G1745" s="1">
        <v>1</v>
      </c>
      <c r="H1745" s="1">
        <v>1.51041848808</v>
      </c>
      <c r="I1745" s="1">
        <v>1.3805634067999999</v>
      </c>
      <c r="J1745" s="1">
        <v>0.62886524267499999</v>
      </c>
      <c r="K1745" s="1">
        <v>6640.2240398000004</v>
      </c>
      <c r="L1745" s="1">
        <v>1444.42485427</v>
      </c>
      <c r="M1745" s="1" t="s">
        <v>198</v>
      </c>
      <c r="N1745" s="1" t="b">
        <v>1</v>
      </c>
    </row>
    <row r="1746" spans="1:14" ht="19" customHeight="1" x14ac:dyDescent="0.3">
      <c r="A1746">
        <v>1741</v>
      </c>
      <c r="B1746" s="1">
        <v>7</v>
      </c>
      <c r="C1746" s="1">
        <v>50</v>
      </c>
      <c r="D1746" s="1">
        <v>2.5000000000000001E-2</v>
      </c>
      <c r="E1746" s="1">
        <v>8.5000000000000006E-2</v>
      </c>
      <c r="F1746" s="1">
        <v>-5</v>
      </c>
      <c r="G1746" s="1">
        <v>0</v>
      </c>
      <c r="H1746" s="1">
        <v>1.4065869791300001</v>
      </c>
      <c r="I1746" s="1">
        <v>1.6850039456499999</v>
      </c>
      <c r="J1746" s="1">
        <v>0.75761684016399999</v>
      </c>
      <c r="K1746" s="1">
        <v>7100.9979053699999</v>
      </c>
      <c r="L1746" s="1">
        <v>1740.15117975</v>
      </c>
      <c r="M1746" s="1" t="s">
        <v>198</v>
      </c>
      <c r="N1746" s="1" t="b">
        <v>1</v>
      </c>
    </row>
    <row r="1747" spans="1:14" ht="19" customHeight="1" x14ac:dyDescent="0.3">
      <c r="A1747">
        <v>1742</v>
      </c>
      <c r="B1747" s="1">
        <v>7</v>
      </c>
      <c r="C1747" s="1">
        <v>50</v>
      </c>
      <c r="D1747" s="1">
        <v>2.5000000000000001E-2</v>
      </c>
      <c r="E1747" s="1">
        <v>8.5000000000000006E-2</v>
      </c>
      <c r="F1747" s="1">
        <v>-5</v>
      </c>
      <c r="G1747" s="1">
        <v>1</v>
      </c>
      <c r="H1747" s="1">
        <v>1.4065869791300001</v>
      </c>
      <c r="I1747" s="1">
        <v>1.2637529592400001</v>
      </c>
      <c r="J1747" s="1">
        <v>0.62124580893400005</v>
      </c>
      <c r="K1747" s="1">
        <v>6133.4370459499996</v>
      </c>
      <c r="L1747" s="1">
        <v>1426.9239674</v>
      </c>
      <c r="M1747" s="1" t="s">
        <v>198</v>
      </c>
      <c r="N1747" s="1" t="b">
        <v>1</v>
      </c>
    </row>
    <row r="1748" spans="1:14" ht="19" customHeight="1" x14ac:dyDescent="0.3">
      <c r="A1748">
        <v>1743</v>
      </c>
      <c r="B1748" s="1">
        <v>7</v>
      </c>
      <c r="C1748" s="1">
        <v>50</v>
      </c>
      <c r="D1748" s="1">
        <v>2.5000000000000001E-2</v>
      </c>
      <c r="E1748" s="1">
        <v>8.5000000000000006E-2</v>
      </c>
      <c r="F1748" s="1">
        <v>0</v>
      </c>
      <c r="G1748" s="1">
        <v>0</v>
      </c>
      <c r="H1748" s="1">
        <v>1.4385939138999999</v>
      </c>
      <c r="I1748" s="1">
        <v>1.723346268</v>
      </c>
      <c r="J1748" s="1">
        <v>0.75011684016400004</v>
      </c>
      <c r="K1748" s="1">
        <v>7262.5813552999998</v>
      </c>
      <c r="L1748" s="1">
        <v>1722.92461725</v>
      </c>
      <c r="M1748" s="1" t="s">
        <v>198</v>
      </c>
      <c r="N1748" s="1" t="b">
        <v>1</v>
      </c>
    </row>
    <row r="1749" spans="1:14" ht="19" customHeight="1" x14ac:dyDescent="0.3">
      <c r="A1749">
        <v>1744</v>
      </c>
      <c r="B1749" s="1">
        <v>7</v>
      </c>
      <c r="C1749" s="1">
        <v>50</v>
      </c>
      <c r="D1749" s="1">
        <v>2.5000000000000001E-2</v>
      </c>
      <c r="E1749" s="1">
        <v>8.5000000000000006E-2</v>
      </c>
      <c r="F1749" s="1">
        <v>0</v>
      </c>
      <c r="G1749" s="1">
        <v>1</v>
      </c>
      <c r="H1749" s="1">
        <v>1.4385939138999999</v>
      </c>
      <c r="I1749" s="1">
        <v>1.292509701</v>
      </c>
      <c r="J1749" s="1">
        <v>0.61509580893399995</v>
      </c>
      <c r="K1749" s="1">
        <v>6273.0036154700001</v>
      </c>
      <c r="L1749" s="1">
        <v>1412.79818615</v>
      </c>
      <c r="M1749" s="1" t="s">
        <v>198</v>
      </c>
      <c r="N1749" s="1" t="b">
        <v>1</v>
      </c>
    </row>
    <row r="1750" spans="1:14" ht="19" customHeight="1" x14ac:dyDescent="0.3">
      <c r="A1750">
        <v>1745</v>
      </c>
      <c r="B1750" s="1">
        <v>7</v>
      </c>
      <c r="C1750" s="1">
        <v>50</v>
      </c>
      <c r="D1750" s="1">
        <v>2.5000000000000001E-2</v>
      </c>
      <c r="E1750" s="1">
        <v>8.5000000000000006E-2</v>
      </c>
      <c r="F1750" s="1">
        <v>5</v>
      </c>
      <c r="G1750" s="1">
        <v>0</v>
      </c>
      <c r="H1750" s="1">
        <v>1.4065869791300001</v>
      </c>
      <c r="I1750" s="1">
        <v>1.6850039456499999</v>
      </c>
      <c r="J1750" s="1">
        <v>0.75761684016399999</v>
      </c>
      <c r="K1750" s="1">
        <v>7100.9979053699999</v>
      </c>
      <c r="L1750" s="1">
        <v>1740.15117975</v>
      </c>
      <c r="M1750" s="1" t="s">
        <v>198</v>
      </c>
      <c r="N1750" s="1" t="b">
        <v>1</v>
      </c>
    </row>
    <row r="1751" spans="1:14" ht="19" customHeight="1" x14ac:dyDescent="0.3">
      <c r="A1751">
        <v>1746</v>
      </c>
      <c r="B1751" s="1">
        <v>7</v>
      </c>
      <c r="C1751" s="1">
        <v>50</v>
      </c>
      <c r="D1751" s="1">
        <v>2.5000000000000001E-2</v>
      </c>
      <c r="E1751" s="1">
        <v>8.5000000000000006E-2</v>
      </c>
      <c r="F1751" s="1">
        <v>5</v>
      </c>
      <c r="G1751" s="1">
        <v>1</v>
      </c>
      <c r="H1751" s="1">
        <v>1.4065869791300001</v>
      </c>
      <c r="I1751" s="1">
        <v>1.2637529592400001</v>
      </c>
      <c r="J1751" s="1">
        <v>0.62124580893400005</v>
      </c>
      <c r="K1751" s="1">
        <v>6133.4370459499996</v>
      </c>
      <c r="L1751" s="1">
        <v>1426.9239674</v>
      </c>
      <c r="M1751" s="1" t="s">
        <v>198</v>
      </c>
      <c r="N1751" s="1" t="b">
        <v>1</v>
      </c>
    </row>
    <row r="1752" spans="1:14" ht="19" customHeight="1" x14ac:dyDescent="0.3">
      <c r="A1752">
        <v>1747</v>
      </c>
      <c r="B1752" s="1">
        <v>7</v>
      </c>
      <c r="C1752" s="1">
        <v>50</v>
      </c>
      <c r="D1752" s="1">
        <v>0.04</v>
      </c>
      <c r="E1752" s="1">
        <v>0.04</v>
      </c>
      <c r="F1752" s="1">
        <v>-5</v>
      </c>
      <c r="G1752" s="1">
        <v>0</v>
      </c>
      <c r="H1752" s="1">
        <v>1.4757922878900001</v>
      </c>
      <c r="I1752" s="1">
        <v>1.7888119087900001</v>
      </c>
      <c r="J1752" s="1">
        <v>0.76381009698299995</v>
      </c>
      <c r="K1752" s="1">
        <v>7498.3877642699999</v>
      </c>
      <c r="L1752" s="1">
        <v>1754.3763165099999</v>
      </c>
      <c r="M1752" s="1" t="s">
        <v>198</v>
      </c>
      <c r="N1752" s="1" t="b">
        <v>1</v>
      </c>
    </row>
    <row r="1753" spans="1:14" ht="19" customHeight="1" x14ac:dyDescent="0.3">
      <c r="A1753">
        <v>1748</v>
      </c>
      <c r="B1753" s="1">
        <v>7</v>
      </c>
      <c r="C1753" s="1">
        <v>50</v>
      </c>
      <c r="D1753" s="1">
        <v>0.04</v>
      </c>
      <c r="E1753" s="1">
        <v>0.04</v>
      </c>
      <c r="F1753" s="1">
        <v>-5</v>
      </c>
      <c r="G1753" s="1">
        <v>1</v>
      </c>
      <c r="H1753" s="1">
        <v>1.4757922878900001</v>
      </c>
      <c r="I1753" s="1">
        <v>1.3416089315999999</v>
      </c>
      <c r="J1753" s="1">
        <v>0.62632427952600001</v>
      </c>
      <c r="K1753" s="1">
        <v>6471.2184260200002</v>
      </c>
      <c r="L1753" s="1">
        <v>1438.58857954</v>
      </c>
      <c r="M1753" s="1" t="s">
        <v>198</v>
      </c>
      <c r="N1753" s="1" t="b">
        <v>1</v>
      </c>
    </row>
    <row r="1754" spans="1:14" ht="19" customHeight="1" x14ac:dyDescent="0.3">
      <c r="A1754">
        <v>1749</v>
      </c>
      <c r="B1754" s="1">
        <v>7</v>
      </c>
      <c r="C1754" s="1">
        <v>50</v>
      </c>
      <c r="D1754" s="1">
        <v>0.04</v>
      </c>
      <c r="E1754" s="1">
        <v>0.04</v>
      </c>
      <c r="F1754" s="1">
        <v>0</v>
      </c>
      <c r="G1754" s="1">
        <v>0</v>
      </c>
      <c r="H1754" s="1">
        <v>1.50937399183</v>
      </c>
      <c r="I1754" s="1">
        <v>1.82951638489</v>
      </c>
      <c r="J1754" s="1">
        <v>0.756310096983</v>
      </c>
      <c r="K1754" s="1">
        <v>7669.0138340200001</v>
      </c>
      <c r="L1754" s="1">
        <v>1737.1497540099999</v>
      </c>
      <c r="M1754" s="1" t="s">
        <v>198</v>
      </c>
      <c r="N1754" s="1" t="b">
        <v>1</v>
      </c>
    </row>
    <row r="1755" spans="1:14" ht="19" customHeight="1" x14ac:dyDescent="0.3">
      <c r="A1755">
        <v>1750</v>
      </c>
      <c r="B1755" s="1">
        <v>7</v>
      </c>
      <c r="C1755" s="1">
        <v>50</v>
      </c>
      <c r="D1755" s="1">
        <v>0.04</v>
      </c>
      <c r="E1755" s="1">
        <v>0.04</v>
      </c>
      <c r="F1755" s="1">
        <v>0</v>
      </c>
      <c r="G1755" s="1">
        <v>1</v>
      </c>
      <c r="H1755" s="1">
        <v>1.50937399183</v>
      </c>
      <c r="I1755" s="1">
        <v>1.3721372886700001</v>
      </c>
      <c r="J1755" s="1">
        <v>0.62017427952600002</v>
      </c>
      <c r="K1755" s="1">
        <v>6618.4712223899996</v>
      </c>
      <c r="L1755" s="1">
        <v>1424.4627982899999</v>
      </c>
      <c r="M1755" s="1" t="s">
        <v>198</v>
      </c>
      <c r="N1755" s="1" t="b">
        <v>1</v>
      </c>
    </row>
    <row r="1756" spans="1:14" ht="19" customHeight="1" x14ac:dyDescent="0.3">
      <c r="A1756">
        <v>1751</v>
      </c>
      <c r="B1756" s="1">
        <v>7</v>
      </c>
      <c r="C1756" s="1">
        <v>50</v>
      </c>
      <c r="D1756" s="1">
        <v>0.04</v>
      </c>
      <c r="E1756" s="1">
        <v>0.04</v>
      </c>
      <c r="F1756" s="1">
        <v>5</v>
      </c>
      <c r="G1756" s="1">
        <v>0</v>
      </c>
      <c r="H1756" s="1">
        <v>1.4757922878900001</v>
      </c>
      <c r="I1756" s="1">
        <v>1.7888119087900001</v>
      </c>
      <c r="J1756" s="1">
        <v>0.76381009698299995</v>
      </c>
      <c r="K1756" s="1">
        <v>7498.3877642699999</v>
      </c>
      <c r="L1756" s="1">
        <v>1754.3763165099999</v>
      </c>
      <c r="M1756" s="1" t="s">
        <v>198</v>
      </c>
      <c r="N1756" s="1" t="b">
        <v>1</v>
      </c>
    </row>
    <row r="1757" spans="1:14" ht="19" customHeight="1" x14ac:dyDescent="0.3">
      <c r="A1757">
        <v>1752</v>
      </c>
      <c r="B1757" s="1">
        <v>7</v>
      </c>
      <c r="C1757" s="1">
        <v>50</v>
      </c>
      <c r="D1757" s="1">
        <v>0.04</v>
      </c>
      <c r="E1757" s="1">
        <v>0.04</v>
      </c>
      <c r="F1757" s="1">
        <v>5</v>
      </c>
      <c r="G1757" s="1">
        <v>1</v>
      </c>
      <c r="H1757" s="1">
        <v>1.4757922878900001</v>
      </c>
      <c r="I1757" s="1">
        <v>1.3416089315999999</v>
      </c>
      <c r="J1757" s="1">
        <v>0.62632427952600001</v>
      </c>
      <c r="K1757" s="1">
        <v>6471.2184260200002</v>
      </c>
      <c r="L1757" s="1">
        <v>1438.58857954</v>
      </c>
      <c r="M1757" s="1" t="s">
        <v>198</v>
      </c>
      <c r="N1757" s="1" t="b">
        <v>1</v>
      </c>
    </row>
    <row r="1758" spans="1:14" ht="19" customHeight="1" x14ac:dyDescent="0.3">
      <c r="A1758">
        <v>1753</v>
      </c>
      <c r="B1758" s="1">
        <v>7</v>
      </c>
      <c r="C1758" s="1">
        <v>50</v>
      </c>
      <c r="D1758" s="1">
        <v>0.04</v>
      </c>
      <c r="E1758" s="1">
        <v>0.06</v>
      </c>
      <c r="F1758" s="1">
        <v>-5</v>
      </c>
      <c r="G1758" s="1">
        <v>0</v>
      </c>
      <c r="H1758" s="1">
        <v>1.5169881034499999</v>
      </c>
      <c r="I1758" s="1">
        <v>1.85060563213</v>
      </c>
      <c r="J1758" s="1">
        <v>0.76749675440999998</v>
      </c>
      <c r="K1758" s="1">
        <v>7734.9418614099995</v>
      </c>
      <c r="L1758" s="1">
        <v>1762.84410779</v>
      </c>
      <c r="M1758" s="1" t="s">
        <v>198</v>
      </c>
      <c r="N1758" s="1" t="b">
        <v>1</v>
      </c>
    </row>
    <row r="1759" spans="1:14" ht="19" customHeight="1" x14ac:dyDescent="0.3">
      <c r="A1759">
        <v>1754</v>
      </c>
      <c r="B1759" s="1">
        <v>7</v>
      </c>
      <c r="C1759" s="1">
        <v>50</v>
      </c>
      <c r="D1759" s="1">
        <v>0.04</v>
      </c>
      <c r="E1759" s="1">
        <v>0.06</v>
      </c>
      <c r="F1759" s="1">
        <v>-5</v>
      </c>
      <c r="G1759" s="1">
        <v>1</v>
      </c>
      <c r="H1759" s="1">
        <v>1.5169881034499999</v>
      </c>
      <c r="I1759" s="1">
        <v>1.3879542241</v>
      </c>
      <c r="J1759" s="1">
        <v>0.62934733861699999</v>
      </c>
      <c r="K1759" s="1">
        <v>6672.2894085899998</v>
      </c>
      <c r="L1759" s="1">
        <v>1445.53216838</v>
      </c>
      <c r="M1759" s="1" t="s">
        <v>198</v>
      </c>
      <c r="N1759" s="1" t="b">
        <v>1</v>
      </c>
    </row>
    <row r="1760" spans="1:14" ht="19" customHeight="1" x14ac:dyDescent="0.3">
      <c r="A1760">
        <v>1755</v>
      </c>
      <c r="B1760" s="1">
        <v>7</v>
      </c>
      <c r="C1760" s="1">
        <v>50</v>
      </c>
      <c r="D1760" s="1">
        <v>0.04</v>
      </c>
      <c r="E1760" s="1">
        <v>0.06</v>
      </c>
      <c r="F1760" s="1">
        <v>0</v>
      </c>
      <c r="G1760" s="1">
        <v>0</v>
      </c>
      <c r="H1760" s="1">
        <v>1.5515072195699999</v>
      </c>
      <c r="I1760" s="1">
        <v>1.8927162265099999</v>
      </c>
      <c r="J1760" s="1">
        <v>0.75999675441000003</v>
      </c>
      <c r="K1760" s="1">
        <v>7910.9507277299999</v>
      </c>
      <c r="L1760" s="1">
        <v>1745.61754529</v>
      </c>
      <c r="M1760" s="1" t="s">
        <v>198</v>
      </c>
      <c r="N1760" s="1" t="b">
        <v>1</v>
      </c>
    </row>
    <row r="1761" spans="1:14" ht="19" customHeight="1" x14ac:dyDescent="0.3">
      <c r="A1761">
        <v>1756</v>
      </c>
      <c r="B1761" s="1">
        <v>7</v>
      </c>
      <c r="C1761" s="1">
        <v>50</v>
      </c>
      <c r="D1761" s="1">
        <v>0.04</v>
      </c>
      <c r="E1761" s="1">
        <v>0.06</v>
      </c>
      <c r="F1761" s="1">
        <v>0</v>
      </c>
      <c r="G1761" s="1">
        <v>1</v>
      </c>
      <c r="H1761" s="1">
        <v>1.5515072195699999</v>
      </c>
      <c r="I1761" s="1">
        <v>1.4195371698799999</v>
      </c>
      <c r="J1761" s="1">
        <v>0.623197338617</v>
      </c>
      <c r="K1761" s="1">
        <v>6824.1175820300004</v>
      </c>
      <c r="L1761" s="1">
        <v>1431.40638713</v>
      </c>
      <c r="M1761" s="1" t="s">
        <v>198</v>
      </c>
      <c r="N1761" s="1" t="b">
        <v>1</v>
      </c>
    </row>
    <row r="1762" spans="1:14" ht="19" customHeight="1" x14ac:dyDescent="0.3">
      <c r="A1762">
        <v>1757</v>
      </c>
      <c r="B1762" s="1">
        <v>7</v>
      </c>
      <c r="C1762" s="1">
        <v>50</v>
      </c>
      <c r="D1762" s="1">
        <v>0.04</v>
      </c>
      <c r="E1762" s="1">
        <v>0.06</v>
      </c>
      <c r="F1762" s="1">
        <v>5</v>
      </c>
      <c r="G1762" s="1">
        <v>0</v>
      </c>
      <c r="H1762" s="1">
        <v>1.5169881034499999</v>
      </c>
      <c r="I1762" s="1">
        <v>1.85060563213</v>
      </c>
      <c r="J1762" s="1">
        <v>0.76749675440999998</v>
      </c>
      <c r="K1762" s="1">
        <v>7734.9418614099995</v>
      </c>
      <c r="L1762" s="1">
        <v>1762.84410779</v>
      </c>
      <c r="M1762" s="1" t="s">
        <v>198</v>
      </c>
      <c r="N1762" s="1" t="b">
        <v>1</v>
      </c>
    </row>
    <row r="1763" spans="1:14" ht="19" customHeight="1" x14ac:dyDescent="0.3">
      <c r="A1763">
        <v>1758</v>
      </c>
      <c r="B1763" s="1">
        <v>7</v>
      </c>
      <c r="C1763" s="1">
        <v>50</v>
      </c>
      <c r="D1763" s="1">
        <v>0.04</v>
      </c>
      <c r="E1763" s="1">
        <v>0.06</v>
      </c>
      <c r="F1763" s="1">
        <v>5</v>
      </c>
      <c r="G1763" s="1">
        <v>1</v>
      </c>
      <c r="H1763" s="1">
        <v>1.5169881034499999</v>
      </c>
      <c r="I1763" s="1">
        <v>1.3879542241</v>
      </c>
      <c r="J1763" s="1">
        <v>0.62934733861699999</v>
      </c>
      <c r="K1763" s="1">
        <v>6672.2894085899998</v>
      </c>
      <c r="L1763" s="1">
        <v>1445.53216838</v>
      </c>
      <c r="M1763" s="1" t="s">
        <v>198</v>
      </c>
      <c r="N1763" s="1" t="b">
        <v>1</v>
      </c>
    </row>
    <row r="1764" spans="1:14" ht="19" customHeight="1" x14ac:dyDescent="0.3">
      <c r="A1764">
        <v>1759</v>
      </c>
      <c r="B1764" s="1">
        <v>7</v>
      </c>
      <c r="C1764" s="1">
        <v>50</v>
      </c>
      <c r="D1764" s="1">
        <v>0.04</v>
      </c>
      <c r="E1764" s="1">
        <v>8.5000000000000006E-2</v>
      </c>
      <c r="F1764" s="1">
        <v>-5</v>
      </c>
      <c r="G1764" s="1">
        <v>0</v>
      </c>
      <c r="H1764" s="1">
        <v>1.4116717854600001</v>
      </c>
      <c r="I1764" s="1">
        <v>1.69263115514</v>
      </c>
      <c r="J1764" s="1">
        <v>0.75807188489999999</v>
      </c>
      <c r="K1764" s="1">
        <v>7130.1958166699997</v>
      </c>
      <c r="L1764" s="1">
        <v>1741.1963606300001</v>
      </c>
      <c r="M1764" s="1" t="s">
        <v>198</v>
      </c>
      <c r="N1764" s="1" t="b">
        <v>1</v>
      </c>
    </row>
    <row r="1765" spans="1:14" ht="19" customHeight="1" x14ac:dyDescent="0.3">
      <c r="A1765">
        <v>1760</v>
      </c>
      <c r="B1765" s="1">
        <v>7</v>
      </c>
      <c r="C1765" s="1">
        <v>50</v>
      </c>
      <c r="D1765" s="1">
        <v>0.04</v>
      </c>
      <c r="E1765" s="1">
        <v>8.5000000000000006E-2</v>
      </c>
      <c r="F1765" s="1">
        <v>-5</v>
      </c>
      <c r="G1765" s="1">
        <v>1</v>
      </c>
      <c r="H1765" s="1">
        <v>1.4116717854600001</v>
      </c>
      <c r="I1765" s="1">
        <v>1.26947336635</v>
      </c>
      <c r="J1765" s="1">
        <v>0.62161894561800002</v>
      </c>
      <c r="K1765" s="1">
        <v>6158.2552705600001</v>
      </c>
      <c r="L1765" s="1">
        <v>1427.7810157199999</v>
      </c>
      <c r="M1765" s="1" t="s">
        <v>198</v>
      </c>
      <c r="N1765" s="1" t="b">
        <v>1</v>
      </c>
    </row>
    <row r="1766" spans="1:14" ht="19" customHeight="1" x14ac:dyDescent="0.3">
      <c r="A1766">
        <v>1761</v>
      </c>
      <c r="B1766" s="1">
        <v>7</v>
      </c>
      <c r="C1766" s="1">
        <v>50</v>
      </c>
      <c r="D1766" s="1">
        <v>0.04</v>
      </c>
      <c r="E1766" s="1">
        <v>8.5000000000000006E-2</v>
      </c>
      <c r="F1766" s="1">
        <v>0</v>
      </c>
      <c r="G1766" s="1">
        <v>0</v>
      </c>
      <c r="H1766" s="1">
        <v>1.4437944251599999</v>
      </c>
      <c r="I1766" s="1">
        <v>1.7311470349</v>
      </c>
      <c r="J1766" s="1">
        <v>0.75057188490000004</v>
      </c>
      <c r="K1766" s="1">
        <v>7292.4436660800002</v>
      </c>
      <c r="L1766" s="1">
        <v>1723.9697981300001</v>
      </c>
      <c r="M1766" s="1" t="s">
        <v>198</v>
      </c>
      <c r="N1766" s="1" t="b">
        <v>1</v>
      </c>
    </row>
    <row r="1767" spans="1:14" ht="19" customHeight="1" x14ac:dyDescent="0.3">
      <c r="A1767">
        <v>1762</v>
      </c>
      <c r="B1767" s="1">
        <v>7</v>
      </c>
      <c r="C1767" s="1">
        <v>50</v>
      </c>
      <c r="D1767" s="1">
        <v>0.04</v>
      </c>
      <c r="E1767" s="1">
        <v>8.5000000000000006E-2</v>
      </c>
      <c r="F1767" s="1">
        <v>0</v>
      </c>
      <c r="G1767" s="1">
        <v>1</v>
      </c>
      <c r="H1767" s="1">
        <v>1.4437944251599999</v>
      </c>
      <c r="I1767" s="1">
        <v>1.2983602761699999</v>
      </c>
      <c r="J1767" s="1">
        <v>0.61546894561800003</v>
      </c>
      <c r="K1767" s="1">
        <v>6298.3865796399996</v>
      </c>
      <c r="L1767" s="1">
        <v>1413.6552344700001</v>
      </c>
      <c r="M1767" s="1" t="s">
        <v>198</v>
      </c>
      <c r="N1767" s="1" t="b">
        <v>1</v>
      </c>
    </row>
    <row r="1768" spans="1:14" ht="19" customHeight="1" x14ac:dyDescent="0.3">
      <c r="A1768">
        <v>1763</v>
      </c>
      <c r="B1768" s="1">
        <v>7</v>
      </c>
      <c r="C1768" s="1">
        <v>50</v>
      </c>
      <c r="D1768" s="1">
        <v>0.04</v>
      </c>
      <c r="E1768" s="1">
        <v>8.5000000000000006E-2</v>
      </c>
      <c r="F1768" s="1">
        <v>5</v>
      </c>
      <c r="G1768" s="1">
        <v>0</v>
      </c>
      <c r="H1768" s="1">
        <v>1.4116717854600001</v>
      </c>
      <c r="I1768" s="1">
        <v>1.69263115514</v>
      </c>
      <c r="J1768" s="1">
        <v>0.75807188489999999</v>
      </c>
      <c r="K1768" s="1">
        <v>7130.1958166699997</v>
      </c>
      <c r="L1768" s="1">
        <v>1741.1963606300001</v>
      </c>
      <c r="M1768" s="1" t="s">
        <v>198</v>
      </c>
      <c r="N1768" s="1" t="b">
        <v>1</v>
      </c>
    </row>
    <row r="1769" spans="1:14" ht="19" customHeight="1" x14ac:dyDescent="0.3">
      <c r="A1769">
        <v>1764</v>
      </c>
      <c r="B1769" s="1">
        <v>7</v>
      </c>
      <c r="C1769" s="1">
        <v>50</v>
      </c>
      <c r="D1769" s="1">
        <v>0.04</v>
      </c>
      <c r="E1769" s="1">
        <v>8.5000000000000006E-2</v>
      </c>
      <c r="F1769" s="1">
        <v>5</v>
      </c>
      <c r="G1769" s="1">
        <v>1</v>
      </c>
      <c r="H1769" s="1">
        <v>1.4116717854600001</v>
      </c>
      <c r="I1769" s="1">
        <v>1.26947336635</v>
      </c>
      <c r="J1769" s="1">
        <v>0.62161894561800002</v>
      </c>
      <c r="K1769" s="1">
        <v>6158.2552705600001</v>
      </c>
      <c r="L1769" s="1">
        <v>1427.7810157199999</v>
      </c>
      <c r="M1769" s="1" t="s">
        <v>198</v>
      </c>
      <c r="N1769" s="1" t="b">
        <v>1</v>
      </c>
    </row>
    <row r="1770" spans="1:14" ht="19" customHeight="1" x14ac:dyDescent="0.3">
      <c r="A1770">
        <v>1765</v>
      </c>
      <c r="B1770" s="1">
        <v>7</v>
      </c>
      <c r="C1770" s="1">
        <v>50</v>
      </c>
      <c r="D1770" s="1">
        <v>5.5E-2</v>
      </c>
      <c r="E1770" s="1">
        <v>0.04</v>
      </c>
      <c r="F1770" s="1">
        <v>-5</v>
      </c>
      <c r="G1770" s="1">
        <v>0</v>
      </c>
      <c r="H1770" s="1">
        <v>1.33590718583</v>
      </c>
      <c r="I1770" s="1">
        <v>1.5789842557</v>
      </c>
      <c r="J1770" s="1">
        <v>0.75129163015300005</v>
      </c>
      <c r="K1770" s="1">
        <v>6695.1412797599996</v>
      </c>
      <c r="L1770" s="1">
        <v>1725.6229630099999</v>
      </c>
      <c r="M1770" s="1" t="s">
        <v>198</v>
      </c>
      <c r="N1770" s="1" t="b">
        <v>1</v>
      </c>
    </row>
    <row r="1771" spans="1:14" ht="19" customHeight="1" x14ac:dyDescent="0.3">
      <c r="A1771">
        <v>1766</v>
      </c>
      <c r="B1771" s="1">
        <v>7</v>
      </c>
      <c r="C1771" s="1">
        <v>50</v>
      </c>
      <c r="D1771" s="1">
        <v>5.5E-2</v>
      </c>
      <c r="E1771" s="1">
        <v>0.04</v>
      </c>
      <c r="F1771" s="1">
        <v>-5</v>
      </c>
      <c r="G1771" s="1">
        <v>1</v>
      </c>
      <c r="H1771" s="1">
        <v>1.33590718583</v>
      </c>
      <c r="I1771" s="1">
        <v>1.18423819177</v>
      </c>
      <c r="J1771" s="1">
        <v>0.61605913672500001</v>
      </c>
      <c r="K1771" s="1">
        <v>5788.4589141899996</v>
      </c>
      <c r="L1771" s="1">
        <v>1415.01082967</v>
      </c>
      <c r="M1771" s="1" t="s">
        <v>198</v>
      </c>
      <c r="N1771" s="1" t="b">
        <v>1</v>
      </c>
    </row>
    <row r="1772" spans="1:14" ht="19" customHeight="1" x14ac:dyDescent="0.3">
      <c r="A1772">
        <v>1767</v>
      </c>
      <c r="B1772" s="1">
        <v>7</v>
      </c>
      <c r="C1772" s="1">
        <v>50</v>
      </c>
      <c r="D1772" s="1">
        <v>5.5E-2</v>
      </c>
      <c r="E1772" s="1">
        <v>0.04</v>
      </c>
      <c r="F1772" s="1">
        <v>0</v>
      </c>
      <c r="G1772" s="1">
        <v>0</v>
      </c>
      <c r="H1772" s="1">
        <v>1.3663057994900001</v>
      </c>
      <c r="I1772" s="1">
        <v>1.6149140963799999</v>
      </c>
      <c r="J1772" s="1">
        <v>0.74379163015299998</v>
      </c>
      <c r="K1772" s="1">
        <v>6847.4894483199996</v>
      </c>
      <c r="L1772" s="1">
        <v>1708.3964005099999</v>
      </c>
      <c r="M1772" s="1" t="s">
        <v>198</v>
      </c>
      <c r="N1772" s="1" t="b">
        <v>1</v>
      </c>
    </row>
    <row r="1773" spans="1:14" ht="19" customHeight="1" x14ac:dyDescent="0.3">
      <c r="A1773">
        <v>1768</v>
      </c>
      <c r="B1773" s="1">
        <v>7</v>
      </c>
      <c r="C1773" s="1">
        <v>50</v>
      </c>
      <c r="D1773" s="1">
        <v>5.5E-2</v>
      </c>
      <c r="E1773" s="1">
        <v>0.04</v>
      </c>
      <c r="F1773" s="1">
        <v>0</v>
      </c>
      <c r="G1773" s="1">
        <v>1</v>
      </c>
      <c r="H1773" s="1">
        <v>1.3663057994900001</v>
      </c>
      <c r="I1773" s="1">
        <v>1.21118557229</v>
      </c>
      <c r="J1773" s="1">
        <v>0.60990913672500002</v>
      </c>
      <c r="K1773" s="1">
        <v>5920.1754945399998</v>
      </c>
      <c r="L1773" s="1">
        <v>1400.88504842</v>
      </c>
      <c r="M1773" s="1" t="s">
        <v>198</v>
      </c>
      <c r="N1773" s="1" t="b">
        <v>1</v>
      </c>
    </row>
    <row r="1774" spans="1:14" ht="19" customHeight="1" x14ac:dyDescent="0.3">
      <c r="A1774">
        <v>1769</v>
      </c>
      <c r="B1774" s="1">
        <v>7</v>
      </c>
      <c r="C1774" s="1">
        <v>50</v>
      </c>
      <c r="D1774" s="1">
        <v>5.5E-2</v>
      </c>
      <c r="E1774" s="1">
        <v>0.04</v>
      </c>
      <c r="F1774" s="1">
        <v>5</v>
      </c>
      <c r="G1774" s="1">
        <v>0</v>
      </c>
      <c r="H1774" s="1">
        <v>1.33590718583</v>
      </c>
      <c r="I1774" s="1">
        <v>1.5789842557</v>
      </c>
      <c r="J1774" s="1">
        <v>0.75129163015300005</v>
      </c>
      <c r="K1774" s="1">
        <v>6695.1412797599996</v>
      </c>
      <c r="L1774" s="1">
        <v>1725.6229630099999</v>
      </c>
      <c r="M1774" s="1" t="s">
        <v>198</v>
      </c>
      <c r="N1774" s="1" t="b">
        <v>1</v>
      </c>
    </row>
    <row r="1775" spans="1:14" ht="19" customHeight="1" x14ac:dyDescent="0.3">
      <c r="A1775">
        <v>1770</v>
      </c>
      <c r="B1775" s="1">
        <v>7</v>
      </c>
      <c r="C1775" s="1">
        <v>50</v>
      </c>
      <c r="D1775" s="1">
        <v>5.5E-2</v>
      </c>
      <c r="E1775" s="1">
        <v>0.04</v>
      </c>
      <c r="F1775" s="1">
        <v>5</v>
      </c>
      <c r="G1775" s="1">
        <v>1</v>
      </c>
      <c r="H1775" s="1">
        <v>1.33590718583</v>
      </c>
      <c r="I1775" s="1">
        <v>1.18423819177</v>
      </c>
      <c r="J1775" s="1">
        <v>0.61605913672500001</v>
      </c>
      <c r="K1775" s="1">
        <v>5788.4589141899996</v>
      </c>
      <c r="L1775" s="1">
        <v>1415.01082967</v>
      </c>
      <c r="M1775" s="1" t="s">
        <v>198</v>
      </c>
      <c r="N1775" s="1" t="b">
        <v>1</v>
      </c>
    </row>
    <row r="1776" spans="1:14" ht="19" customHeight="1" x14ac:dyDescent="0.3">
      <c r="A1776">
        <v>1771</v>
      </c>
      <c r="B1776" s="1">
        <v>7</v>
      </c>
      <c r="C1776" s="1">
        <v>50</v>
      </c>
      <c r="D1776" s="1">
        <v>5.5E-2</v>
      </c>
      <c r="E1776" s="1">
        <v>0.06</v>
      </c>
      <c r="F1776" s="1">
        <v>-5</v>
      </c>
      <c r="G1776" s="1">
        <v>0</v>
      </c>
      <c r="H1776" s="1">
        <v>1.36353678554</v>
      </c>
      <c r="I1776" s="1">
        <v>1.62042865526</v>
      </c>
      <c r="J1776" s="1">
        <v>0.75376423247000002</v>
      </c>
      <c r="K1776" s="1">
        <v>6853.7956218299996</v>
      </c>
      <c r="L1776" s="1">
        <v>1731.3022214499999</v>
      </c>
      <c r="M1776" s="1" t="s">
        <v>198</v>
      </c>
      <c r="N1776" s="1" t="b">
        <v>1</v>
      </c>
    </row>
    <row r="1777" spans="1:14" ht="19" customHeight="1" x14ac:dyDescent="0.3">
      <c r="A1777">
        <v>1772</v>
      </c>
      <c r="B1777" s="1">
        <v>7</v>
      </c>
      <c r="C1777" s="1">
        <v>50</v>
      </c>
      <c r="D1777" s="1">
        <v>5.5E-2</v>
      </c>
      <c r="E1777" s="1">
        <v>0.06</v>
      </c>
      <c r="F1777" s="1">
        <v>-5</v>
      </c>
      <c r="G1777" s="1">
        <v>1</v>
      </c>
      <c r="H1777" s="1">
        <v>1.36353678554</v>
      </c>
      <c r="I1777" s="1">
        <v>1.2153214914399999</v>
      </c>
      <c r="J1777" s="1">
        <v>0.618086670625</v>
      </c>
      <c r="K1777" s="1">
        <v>5923.3151049500002</v>
      </c>
      <c r="L1777" s="1">
        <v>1419.6678215899999</v>
      </c>
      <c r="M1777" s="1" t="s">
        <v>198</v>
      </c>
      <c r="N1777" s="1" t="b">
        <v>1</v>
      </c>
    </row>
    <row r="1778" spans="1:14" ht="19" customHeight="1" x14ac:dyDescent="0.3">
      <c r="A1778">
        <v>1773</v>
      </c>
      <c r="B1778" s="1">
        <v>7</v>
      </c>
      <c r="C1778" s="1">
        <v>50</v>
      </c>
      <c r="D1778" s="1">
        <v>5.5E-2</v>
      </c>
      <c r="E1778" s="1">
        <v>0.06</v>
      </c>
      <c r="F1778" s="1">
        <v>0</v>
      </c>
      <c r="G1778" s="1">
        <v>0</v>
      </c>
      <c r="H1778" s="1">
        <v>1.3945641116800001</v>
      </c>
      <c r="I1778" s="1">
        <v>1.65730156467</v>
      </c>
      <c r="J1778" s="1">
        <v>0.74626423246999996</v>
      </c>
      <c r="K1778" s="1">
        <v>7009.7539753600004</v>
      </c>
      <c r="L1778" s="1">
        <v>1714.0756589499999</v>
      </c>
      <c r="M1778" s="1" t="s">
        <v>198</v>
      </c>
      <c r="N1778" s="1" t="b">
        <v>1</v>
      </c>
    </row>
    <row r="1779" spans="1:14" ht="19" customHeight="1" x14ac:dyDescent="0.3">
      <c r="A1779">
        <v>1774</v>
      </c>
      <c r="B1779" s="1">
        <v>7</v>
      </c>
      <c r="C1779" s="1">
        <v>50</v>
      </c>
      <c r="D1779" s="1">
        <v>5.5E-2</v>
      </c>
      <c r="E1779" s="1">
        <v>0.06</v>
      </c>
      <c r="F1779" s="1">
        <v>0</v>
      </c>
      <c r="G1779" s="1">
        <v>1</v>
      </c>
      <c r="H1779" s="1">
        <v>1.3945641116800001</v>
      </c>
      <c r="I1779" s="1">
        <v>1.2429761735</v>
      </c>
      <c r="J1779" s="1">
        <v>0.61193667062500001</v>
      </c>
      <c r="K1779" s="1">
        <v>6058.1003425299996</v>
      </c>
      <c r="L1779" s="1">
        <v>1405.5420403400001</v>
      </c>
      <c r="M1779" s="1" t="s">
        <v>198</v>
      </c>
      <c r="N1779" s="1" t="b">
        <v>1</v>
      </c>
    </row>
    <row r="1780" spans="1:14" ht="19" customHeight="1" x14ac:dyDescent="0.3">
      <c r="A1780">
        <v>1775</v>
      </c>
      <c r="B1780" s="1">
        <v>7</v>
      </c>
      <c r="C1780" s="1">
        <v>50</v>
      </c>
      <c r="D1780" s="1">
        <v>5.5E-2</v>
      </c>
      <c r="E1780" s="1">
        <v>0.06</v>
      </c>
      <c r="F1780" s="1">
        <v>5</v>
      </c>
      <c r="G1780" s="1">
        <v>0</v>
      </c>
      <c r="H1780" s="1">
        <v>1.36353678554</v>
      </c>
      <c r="I1780" s="1">
        <v>1.62042865526</v>
      </c>
      <c r="J1780" s="1">
        <v>0.75376423247000002</v>
      </c>
      <c r="K1780" s="1">
        <v>6853.7956218299996</v>
      </c>
      <c r="L1780" s="1">
        <v>1731.3022214499999</v>
      </c>
      <c r="M1780" s="1" t="s">
        <v>198</v>
      </c>
      <c r="N1780" s="1" t="b">
        <v>1</v>
      </c>
    </row>
    <row r="1781" spans="1:14" ht="19" customHeight="1" x14ac:dyDescent="0.3">
      <c r="A1781">
        <v>1776</v>
      </c>
      <c r="B1781" s="1">
        <v>7</v>
      </c>
      <c r="C1781" s="1">
        <v>50</v>
      </c>
      <c r="D1781" s="1">
        <v>5.5E-2</v>
      </c>
      <c r="E1781" s="1">
        <v>0.06</v>
      </c>
      <c r="F1781" s="1">
        <v>5</v>
      </c>
      <c r="G1781" s="1">
        <v>1</v>
      </c>
      <c r="H1781" s="1">
        <v>1.36353678554</v>
      </c>
      <c r="I1781" s="1">
        <v>1.2153214914399999</v>
      </c>
      <c r="J1781" s="1">
        <v>0.618086670625</v>
      </c>
      <c r="K1781" s="1">
        <v>5923.3151049500002</v>
      </c>
      <c r="L1781" s="1">
        <v>1419.6678215899999</v>
      </c>
      <c r="M1781" s="1" t="s">
        <v>198</v>
      </c>
      <c r="N1781" s="1" t="b">
        <v>1</v>
      </c>
    </row>
    <row r="1782" spans="1:14" ht="19" customHeight="1" x14ac:dyDescent="0.3">
      <c r="A1782">
        <v>1777</v>
      </c>
      <c r="B1782" s="1">
        <v>7</v>
      </c>
      <c r="C1782" s="1">
        <v>50</v>
      </c>
      <c r="D1782" s="1">
        <v>5.5E-2</v>
      </c>
      <c r="E1782" s="1">
        <v>8.5000000000000006E-2</v>
      </c>
      <c r="F1782" s="1">
        <v>-5</v>
      </c>
      <c r="G1782" s="1">
        <v>0</v>
      </c>
      <c r="H1782" s="1">
        <v>1.2929022400300001</v>
      </c>
      <c r="I1782" s="1">
        <v>1.5144768369899999</v>
      </c>
      <c r="J1782" s="1">
        <v>0.747443071731</v>
      </c>
      <c r="K1782" s="1">
        <v>6448.1988175200004</v>
      </c>
      <c r="L1782" s="1">
        <v>1716.78330538</v>
      </c>
      <c r="M1782" s="1" t="s">
        <v>198</v>
      </c>
      <c r="N1782" s="1" t="b">
        <v>1</v>
      </c>
    </row>
    <row r="1783" spans="1:14" ht="19" customHeight="1" x14ac:dyDescent="0.3">
      <c r="A1783">
        <v>1778</v>
      </c>
      <c r="B1783" s="1">
        <v>7</v>
      </c>
      <c r="C1783" s="1">
        <v>50</v>
      </c>
      <c r="D1783" s="1">
        <v>5.5E-2</v>
      </c>
      <c r="E1783" s="1">
        <v>8.5000000000000006E-2</v>
      </c>
      <c r="F1783" s="1">
        <v>-5</v>
      </c>
      <c r="G1783" s="1">
        <v>1</v>
      </c>
      <c r="H1783" s="1">
        <v>1.2929022400300001</v>
      </c>
      <c r="I1783" s="1">
        <v>1.1358576277400001</v>
      </c>
      <c r="J1783" s="1">
        <v>0.61290331882000004</v>
      </c>
      <c r="K1783" s="1">
        <v>5578.5578212800001</v>
      </c>
      <c r="L1783" s="1">
        <v>1407.7623104100001</v>
      </c>
      <c r="M1783" s="1" t="s">
        <v>198</v>
      </c>
      <c r="N1783" s="1" t="b">
        <v>1</v>
      </c>
    </row>
    <row r="1784" spans="1:14" ht="19" customHeight="1" x14ac:dyDescent="0.3">
      <c r="A1784">
        <v>1779</v>
      </c>
      <c r="B1784" s="1">
        <v>7</v>
      </c>
      <c r="C1784" s="1">
        <v>50</v>
      </c>
      <c r="D1784" s="1">
        <v>5.5E-2</v>
      </c>
      <c r="E1784" s="1">
        <v>8.5000000000000006E-2</v>
      </c>
      <c r="F1784" s="1">
        <v>0</v>
      </c>
      <c r="G1784" s="1">
        <v>0</v>
      </c>
      <c r="H1784" s="1">
        <v>1.3223222746700001</v>
      </c>
      <c r="I1784" s="1">
        <v>1.54893880916</v>
      </c>
      <c r="J1784" s="1">
        <v>0.73994307173100005</v>
      </c>
      <c r="K1784" s="1">
        <v>6594.9278019100002</v>
      </c>
      <c r="L1784" s="1">
        <v>1699.55674288</v>
      </c>
      <c r="M1784" s="1" t="s">
        <v>198</v>
      </c>
      <c r="N1784" s="1" t="b">
        <v>1</v>
      </c>
    </row>
    <row r="1785" spans="1:14" ht="19" customHeight="1" x14ac:dyDescent="0.3">
      <c r="A1785">
        <v>1780</v>
      </c>
      <c r="B1785" s="1">
        <v>7</v>
      </c>
      <c r="C1785" s="1">
        <v>50</v>
      </c>
      <c r="D1785" s="1">
        <v>5.5E-2</v>
      </c>
      <c r="E1785" s="1">
        <v>8.5000000000000006E-2</v>
      </c>
      <c r="F1785" s="1">
        <v>0</v>
      </c>
      <c r="G1785" s="1">
        <v>1</v>
      </c>
      <c r="H1785" s="1">
        <v>1.3223222746700001</v>
      </c>
      <c r="I1785" s="1">
        <v>1.16170410687</v>
      </c>
      <c r="J1785" s="1">
        <v>0.60675331882000005</v>
      </c>
      <c r="K1785" s="1">
        <v>5705.4980950899999</v>
      </c>
      <c r="L1785" s="1">
        <v>1393.63652916</v>
      </c>
      <c r="M1785" s="1" t="s">
        <v>198</v>
      </c>
      <c r="N1785" s="1" t="b">
        <v>1</v>
      </c>
    </row>
    <row r="1786" spans="1:14" ht="19" customHeight="1" x14ac:dyDescent="0.3">
      <c r="A1786">
        <v>1781</v>
      </c>
      <c r="B1786" s="1">
        <v>7</v>
      </c>
      <c r="C1786" s="1">
        <v>50</v>
      </c>
      <c r="D1786" s="1">
        <v>5.5E-2</v>
      </c>
      <c r="E1786" s="1">
        <v>8.5000000000000006E-2</v>
      </c>
      <c r="F1786" s="1">
        <v>5</v>
      </c>
      <c r="G1786" s="1">
        <v>0</v>
      </c>
      <c r="H1786" s="1">
        <v>1.2929022400300001</v>
      </c>
      <c r="I1786" s="1">
        <v>1.5144768369899999</v>
      </c>
      <c r="J1786" s="1">
        <v>0.747443071731</v>
      </c>
      <c r="K1786" s="1">
        <v>6448.1988175200004</v>
      </c>
      <c r="L1786" s="1">
        <v>1716.78330538</v>
      </c>
      <c r="M1786" s="1" t="s">
        <v>198</v>
      </c>
      <c r="N1786" s="1" t="b">
        <v>1</v>
      </c>
    </row>
    <row r="1787" spans="1:14" ht="19" customHeight="1" x14ac:dyDescent="0.3">
      <c r="A1787">
        <v>1782</v>
      </c>
      <c r="B1787" s="1">
        <v>7</v>
      </c>
      <c r="C1787" s="1">
        <v>50</v>
      </c>
      <c r="D1787" s="1">
        <v>5.5E-2</v>
      </c>
      <c r="E1787" s="1">
        <v>8.5000000000000006E-2</v>
      </c>
      <c r="F1787" s="1">
        <v>5</v>
      </c>
      <c r="G1787" s="1">
        <v>1</v>
      </c>
      <c r="H1787" s="1">
        <v>1.2929022400300001</v>
      </c>
      <c r="I1787" s="1">
        <v>1.1358576277400001</v>
      </c>
      <c r="J1787" s="1">
        <v>0.61290331882000004</v>
      </c>
      <c r="K1787" s="1">
        <v>5578.5578212800001</v>
      </c>
      <c r="L1787" s="1">
        <v>1407.7623104100001</v>
      </c>
      <c r="M1787" s="1" t="s">
        <v>198</v>
      </c>
      <c r="N1787" s="1" t="b">
        <v>1</v>
      </c>
    </row>
    <row r="1788" spans="1:14" ht="19" customHeight="1" x14ac:dyDescent="0.3">
      <c r="A1788">
        <v>1783</v>
      </c>
      <c r="B1788" s="1">
        <v>7</v>
      </c>
      <c r="C1788" s="1">
        <v>70</v>
      </c>
      <c r="D1788" s="1">
        <v>2.5000000000000001E-2</v>
      </c>
      <c r="E1788" s="1">
        <v>0.04</v>
      </c>
      <c r="F1788" s="1">
        <v>-5</v>
      </c>
      <c r="G1788" s="1">
        <v>0</v>
      </c>
      <c r="H1788" s="1">
        <v>1.4698034744399999</v>
      </c>
      <c r="I1788" s="1">
        <v>1.7798286886100001</v>
      </c>
      <c r="J1788" s="1">
        <v>0.76327415168599999</v>
      </c>
      <c r="K1788" s="1">
        <v>14629.4377941</v>
      </c>
      <c r="L1788" s="1">
        <v>3436.1648216200001</v>
      </c>
      <c r="M1788" s="1" t="s">
        <v>198</v>
      </c>
      <c r="N1788" s="1" t="b">
        <v>1</v>
      </c>
    </row>
    <row r="1789" spans="1:14" ht="19" customHeight="1" x14ac:dyDescent="0.3">
      <c r="A1789">
        <v>1784</v>
      </c>
      <c r="B1789" s="1">
        <v>7</v>
      </c>
      <c r="C1789" s="1">
        <v>70</v>
      </c>
      <c r="D1789" s="1">
        <v>2.5000000000000001E-2</v>
      </c>
      <c r="E1789" s="1">
        <v>0.04</v>
      </c>
      <c r="F1789" s="1">
        <v>-5</v>
      </c>
      <c r="G1789" s="1">
        <v>1</v>
      </c>
      <c r="H1789" s="1">
        <v>1.4698034744399999</v>
      </c>
      <c r="I1789" s="1">
        <v>1.33487151646</v>
      </c>
      <c r="J1789" s="1">
        <v>0.625884804382</v>
      </c>
      <c r="K1789" s="1">
        <v>12626.2962247</v>
      </c>
      <c r="L1789" s="1">
        <v>2817.6551537300002</v>
      </c>
      <c r="M1789" s="1" t="s">
        <v>198</v>
      </c>
      <c r="N1789" s="1" t="b">
        <v>1</v>
      </c>
    </row>
    <row r="1790" spans="1:14" ht="19" customHeight="1" x14ac:dyDescent="0.3">
      <c r="A1790">
        <v>1785</v>
      </c>
      <c r="B1790" s="1">
        <v>7</v>
      </c>
      <c r="C1790" s="1">
        <v>70</v>
      </c>
      <c r="D1790" s="1">
        <v>2.5000000000000001E-2</v>
      </c>
      <c r="E1790" s="1">
        <v>0.04</v>
      </c>
      <c r="F1790" s="1">
        <v>0</v>
      </c>
      <c r="G1790" s="1">
        <v>0</v>
      </c>
      <c r="H1790" s="1">
        <v>1.50324890272</v>
      </c>
      <c r="I1790" s="1">
        <v>1.8203287512299999</v>
      </c>
      <c r="J1790" s="1">
        <v>0.75577415168600004</v>
      </c>
      <c r="K1790" s="1">
        <v>14962.3311509</v>
      </c>
      <c r="L1790" s="1">
        <v>3402.4007591200002</v>
      </c>
      <c r="M1790" s="1" t="s">
        <v>198</v>
      </c>
      <c r="N1790" s="1" t="b">
        <v>1</v>
      </c>
    </row>
    <row r="1791" spans="1:14" ht="19" customHeight="1" x14ac:dyDescent="0.3">
      <c r="A1791">
        <v>1786</v>
      </c>
      <c r="B1791" s="1">
        <v>7</v>
      </c>
      <c r="C1791" s="1">
        <v>70</v>
      </c>
      <c r="D1791" s="1">
        <v>2.5000000000000001E-2</v>
      </c>
      <c r="E1791" s="1">
        <v>0.04</v>
      </c>
      <c r="F1791" s="1">
        <v>0</v>
      </c>
      <c r="G1791" s="1">
        <v>1</v>
      </c>
      <c r="H1791" s="1">
        <v>1.50324890272</v>
      </c>
      <c r="I1791" s="1">
        <v>1.3652465634199999</v>
      </c>
      <c r="J1791" s="1">
        <v>0.61973480438200002</v>
      </c>
      <c r="K1791" s="1">
        <v>12913.608026600001</v>
      </c>
      <c r="L1791" s="1">
        <v>2789.9686224799998</v>
      </c>
      <c r="M1791" s="1" t="s">
        <v>198</v>
      </c>
      <c r="N1791" s="1" t="b">
        <v>1</v>
      </c>
    </row>
    <row r="1792" spans="1:14" ht="19" customHeight="1" x14ac:dyDescent="0.3">
      <c r="A1792">
        <v>1787</v>
      </c>
      <c r="B1792" s="1">
        <v>7</v>
      </c>
      <c r="C1792" s="1">
        <v>70</v>
      </c>
      <c r="D1792" s="1">
        <v>2.5000000000000001E-2</v>
      </c>
      <c r="E1792" s="1">
        <v>0.04</v>
      </c>
      <c r="F1792" s="1">
        <v>5</v>
      </c>
      <c r="G1792" s="1">
        <v>0</v>
      </c>
      <c r="H1792" s="1">
        <v>1.4698034744399999</v>
      </c>
      <c r="I1792" s="1">
        <v>1.7798286886100001</v>
      </c>
      <c r="J1792" s="1">
        <v>0.76327415168599999</v>
      </c>
      <c r="K1792" s="1">
        <v>14629.4377941</v>
      </c>
      <c r="L1792" s="1">
        <v>3436.1648216200001</v>
      </c>
      <c r="M1792" s="1" t="s">
        <v>198</v>
      </c>
      <c r="N1792" s="1" t="b">
        <v>1</v>
      </c>
    </row>
    <row r="1793" spans="1:14" ht="19" customHeight="1" x14ac:dyDescent="0.3">
      <c r="A1793">
        <v>1788</v>
      </c>
      <c r="B1793" s="1">
        <v>7</v>
      </c>
      <c r="C1793" s="1">
        <v>70</v>
      </c>
      <c r="D1793" s="1">
        <v>2.5000000000000001E-2</v>
      </c>
      <c r="E1793" s="1">
        <v>0.04</v>
      </c>
      <c r="F1793" s="1">
        <v>5</v>
      </c>
      <c r="G1793" s="1">
        <v>1</v>
      </c>
      <c r="H1793" s="1">
        <v>1.4698034744399999</v>
      </c>
      <c r="I1793" s="1">
        <v>1.33487151646</v>
      </c>
      <c r="J1793" s="1">
        <v>0.625884804382</v>
      </c>
      <c r="K1793" s="1">
        <v>12626.2962247</v>
      </c>
      <c r="L1793" s="1">
        <v>2817.6551537300002</v>
      </c>
      <c r="M1793" s="1" t="s">
        <v>198</v>
      </c>
      <c r="N1793" s="1" t="b">
        <v>1</v>
      </c>
    </row>
    <row r="1794" spans="1:14" ht="19" customHeight="1" x14ac:dyDescent="0.3">
      <c r="A1794">
        <v>1789</v>
      </c>
      <c r="B1794" s="1">
        <v>7</v>
      </c>
      <c r="C1794" s="1">
        <v>70</v>
      </c>
      <c r="D1794" s="1">
        <v>2.5000000000000001E-2</v>
      </c>
      <c r="E1794" s="1">
        <v>0.06</v>
      </c>
      <c r="F1794" s="1">
        <v>-5</v>
      </c>
      <c r="G1794" s="1">
        <v>0</v>
      </c>
      <c r="H1794" s="1">
        <v>1.51041848808</v>
      </c>
      <c r="I1794" s="1">
        <v>1.84075120907</v>
      </c>
      <c r="J1794" s="1">
        <v>0.76690883253099995</v>
      </c>
      <c r="K1794" s="1">
        <v>15086.547080300001</v>
      </c>
      <c r="L1794" s="1">
        <v>3452.5277004499999</v>
      </c>
      <c r="M1794" s="1" t="s">
        <v>198</v>
      </c>
      <c r="N1794" s="1" t="b">
        <v>1</v>
      </c>
    </row>
    <row r="1795" spans="1:14" ht="19" customHeight="1" x14ac:dyDescent="0.3">
      <c r="A1795">
        <v>1790</v>
      </c>
      <c r="B1795" s="1">
        <v>7</v>
      </c>
      <c r="C1795" s="1">
        <v>70</v>
      </c>
      <c r="D1795" s="1">
        <v>2.5000000000000001E-2</v>
      </c>
      <c r="E1795" s="1">
        <v>0.06</v>
      </c>
      <c r="F1795" s="1">
        <v>-5</v>
      </c>
      <c r="G1795" s="1">
        <v>1</v>
      </c>
      <c r="H1795" s="1">
        <v>1.51041848808</v>
      </c>
      <c r="I1795" s="1">
        <v>1.3805634067999999</v>
      </c>
      <c r="J1795" s="1">
        <v>0.62886524267499999</v>
      </c>
      <c r="K1795" s="1">
        <v>13014.839118</v>
      </c>
      <c r="L1795" s="1">
        <v>2831.0727143700001</v>
      </c>
      <c r="M1795" s="1" t="s">
        <v>198</v>
      </c>
      <c r="N1795" s="1" t="b">
        <v>1</v>
      </c>
    </row>
    <row r="1796" spans="1:14" ht="19" customHeight="1" x14ac:dyDescent="0.3">
      <c r="A1796">
        <v>1791</v>
      </c>
      <c r="B1796" s="1">
        <v>7</v>
      </c>
      <c r="C1796" s="1">
        <v>70</v>
      </c>
      <c r="D1796" s="1">
        <v>2.5000000000000001E-2</v>
      </c>
      <c r="E1796" s="1">
        <v>0.06</v>
      </c>
      <c r="F1796" s="1">
        <v>0</v>
      </c>
      <c r="G1796" s="1">
        <v>0</v>
      </c>
      <c r="H1796" s="1">
        <v>1.54478811238</v>
      </c>
      <c r="I1796" s="1">
        <v>1.8826375657200001</v>
      </c>
      <c r="J1796" s="1">
        <v>0.759408832531</v>
      </c>
      <c r="K1796" s="1">
        <v>15429.8419746</v>
      </c>
      <c r="L1796" s="1">
        <v>3418.76363795</v>
      </c>
      <c r="M1796" s="1" t="s">
        <v>198</v>
      </c>
      <c r="N1796" s="1" t="b">
        <v>1</v>
      </c>
    </row>
    <row r="1797" spans="1:14" ht="19" customHeight="1" x14ac:dyDescent="0.3">
      <c r="A1797">
        <v>1792</v>
      </c>
      <c r="B1797" s="1">
        <v>7</v>
      </c>
      <c r="C1797" s="1">
        <v>70</v>
      </c>
      <c r="D1797" s="1">
        <v>2.5000000000000001E-2</v>
      </c>
      <c r="E1797" s="1">
        <v>0.06</v>
      </c>
      <c r="F1797" s="1">
        <v>0</v>
      </c>
      <c r="G1797" s="1">
        <v>1</v>
      </c>
      <c r="H1797" s="1">
        <v>1.54478811238</v>
      </c>
      <c r="I1797" s="1">
        <v>1.4119781742899999</v>
      </c>
      <c r="J1797" s="1">
        <v>0.622715242675</v>
      </c>
      <c r="K1797" s="1">
        <v>13310.992226799999</v>
      </c>
      <c r="L1797" s="1">
        <v>2803.3861831200002</v>
      </c>
      <c r="M1797" s="1" t="s">
        <v>198</v>
      </c>
      <c r="N1797" s="1" t="b">
        <v>1</v>
      </c>
    </row>
    <row r="1798" spans="1:14" ht="19" customHeight="1" x14ac:dyDescent="0.3">
      <c r="A1798">
        <v>1793</v>
      </c>
      <c r="B1798" s="1">
        <v>7</v>
      </c>
      <c r="C1798" s="1">
        <v>70</v>
      </c>
      <c r="D1798" s="1">
        <v>2.5000000000000001E-2</v>
      </c>
      <c r="E1798" s="1">
        <v>0.06</v>
      </c>
      <c r="F1798" s="1">
        <v>5</v>
      </c>
      <c r="G1798" s="1">
        <v>0</v>
      </c>
      <c r="H1798" s="1">
        <v>1.51041848808</v>
      </c>
      <c r="I1798" s="1">
        <v>1.84075120907</v>
      </c>
      <c r="J1798" s="1">
        <v>0.76690883253099995</v>
      </c>
      <c r="K1798" s="1">
        <v>15086.547080300001</v>
      </c>
      <c r="L1798" s="1">
        <v>3452.5277004499999</v>
      </c>
      <c r="M1798" s="1" t="s">
        <v>198</v>
      </c>
      <c r="N1798" s="1" t="b">
        <v>1</v>
      </c>
    </row>
    <row r="1799" spans="1:14" ht="19" customHeight="1" x14ac:dyDescent="0.3">
      <c r="A1799">
        <v>1794</v>
      </c>
      <c r="B1799" s="1">
        <v>7</v>
      </c>
      <c r="C1799" s="1">
        <v>70</v>
      </c>
      <c r="D1799" s="1">
        <v>2.5000000000000001E-2</v>
      </c>
      <c r="E1799" s="1">
        <v>0.06</v>
      </c>
      <c r="F1799" s="1">
        <v>5</v>
      </c>
      <c r="G1799" s="1">
        <v>1</v>
      </c>
      <c r="H1799" s="1">
        <v>1.51041848808</v>
      </c>
      <c r="I1799" s="1">
        <v>1.3805634067999999</v>
      </c>
      <c r="J1799" s="1">
        <v>0.62886524267499999</v>
      </c>
      <c r="K1799" s="1">
        <v>13014.839118</v>
      </c>
      <c r="L1799" s="1">
        <v>2831.0727143700001</v>
      </c>
      <c r="M1799" s="1" t="s">
        <v>198</v>
      </c>
      <c r="N1799" s="1" t="b">
        <v>1</v>
      </c>
    </row>
    <row r="1800" spans="1:14" ht="19" customHeight="1" x14ac:dyDescent="0.3">
      <c r="A1800">
        <v>1795</v>
      </c>
      <c r="B1800" s="1">
        <v>7</v>
      </c>
      <c r="C1800" s="1">
        <v>70</v>
      </c>
      <c r="D1800" s="1">
        <v>2.5000000000000001E-2</v>
      </c>
      <c r="E1800" s="1">
        <v>8.5000000000000006E-2</v>
      </c>
      <c r="F1800" s="1">
        <v>-5</v>
      </c>
      <c r="G1800" s="1">
        <v>0</v>
      </c>
      <c r="H1800" s="1">
        <v>1.4065869791300001</v>
      </c>
      <c r="I1800" s="1">
        <v>1.6850039456499999</v>
      </c>
      <c r="J1800" s="1">
        <v>0.75761684016399999</v>
      </c>
      <c r="K1800" s="1">
        <v>13917.955894500001</v>
      </c>
      <c r="L1800" s="1">
        <v>3410.6963123099999</v>
      </c>
      <c r="M1800" s="1" t="s">
        <v>198</v>
      </c>
      <c r="N1800" s="1" t="b">
        <v>1</v>
      </c>
    </row>
    <row r="1801" spans="1:14" ht="19" customHeight="1" x14ac:dyDescent="0.3">
      <c r="A1801">
        <v>1796</v>
      </c>
      <c r="B1801" s="1">
        <v>7</v>
      </c>
      <c r="C1801" s="1">
        <v>70</v>
      </c>
      <c r="D1801" s="1">
        <v>2.5000000000000001E-2</v>
      </c>
      <c r="E1801" s="1">
        <v>8.5000000000000006E-2</v>
      </c>
      <c r="F1801" s="1">
        <v>-5</v>
      </c>
      <c r="G1801" s="1">
        <v>1</v>
      </c>
      <c r="H1801" s="1">
        <v>1.4065869791300001</v>
      </c>
      <c r="I1801" s="1">
        <v>1.2637529592400001</v>
      </c>
      <c r="J1801" s="1">
        <v>0.62124580893400005</v>
      </c>
      <c r="K1801" s="1">
        <v>12021.5366101</v>
      </c>
      <c r="L1801" s="1">
        <v>2796.7709761000001</v>
      </c>
      <c r="M1801" s="1" t="s">
        <v>198</v>
      </c>
      <c r="N1801" s="1" t="b">
        <v>1</v>
      </c>
    </row>
    <row r="1802" spans="1:14" ht="19" customHeight="1" x14ac:dyDescent="0.3">
      <c r="A1802">
        <v>1797</v>
      </c>
      <c r="B1802" s="1">
        <v>7</v>
      </c>
      <c r="C1802" s="1">
        <v>70</v>
      </c>
      <c r="D1802" s="1">
        <v>2.5000000000000001E-2</v>
      </c>
      <c r="E1802" s="1">
        <v>8.5000000000000006E-2</v>
      </c>
      <c r="F1802" s="1">
        <v>0</v>
      </c>
      <c r="G1802" s="1">
        <v>0</v>
      </c>
      <c r="H1802" s="1">
        <v>1.4385939138999999</v>
      </c>
      <c r="I1802" s="1">
        <v>1.723346268</v>
      </c>
      <c r="J1802" s="1">
        <v>0.75011684016400004</v>
      </c>
      <c r="K1802" s="1">
        <v>14234.659456400001</v>
      </c>
      <c r="L1802" s="1">
        <v>3376.93224981</v>
      </c>
      <c r="M1802" s="1" t="s">
        <v>198</v>
      </c>
      <c r="N1802" s="1" t="b">
        <v>1</v>
      </c>
    </row>
    <row r="1803" spans="1:14" ht="19" customHeight="1" x14ac:dyDescent="0.3">
      <c r="A1803">
        <v>1798</v>
      </c>
      <c r="B1803" s="1">
        <v>7</v>
      </c>
      <c r="C1803" s="1">
        <v>70</v>
      </c>
      <c r="D1803" s="1">
        <v>2.5000000000000001E-2</v>
      </c>
      <c r="E1803" s="1">
        <v>8.5000000000000006E-2</v>
      </c>
      <c r="F1803" s="1">
        <v>0</v>
      </c>
      <c r="G1803" s="1">
        <v>1</v>
      </c>
      <c r="H1803" s="1">
        <v>1.4385939138999999</v>
      </c>
      <c r="I1803" s="1">
        <v>1.292509701</v>
      </c>
      <c r="J1803" s="1">
        <v>0.61509580893399995</v>
      </c>
      <c r="K1803" s="1">
        <v>12295.0870863</v>
      </c>
      <c r="L1803" s="1">
        <v>2769.0844448500002</v>
      </c>
      <c r="M1803" s="1" t="s">
        <v>198</v>
      </c>
      <c r="N1803" s="1" t="b">
        <v>1</v>
      </c>
    </row>
    <row r="1804" spans="1:14" ht="19" customHeight="1" x14ac:dyDescent="0.3">
      <c r="A1804">
        <v>1799</v>
      </c>
      <c r="B1804" s="1">
        <v>7</v>
      </c>
      <c r="C1804" s="1">
        <v>70</v>
      </c>
      <c r="D1804" s="1">
        <v>2.5000000000000001E-2</v>
      </c>
      <c r="E1804" s="1">
        <v>8.5000000000000006E-2</v>
      </c>
      <c r="F1804" s="1">
        <v>5</v>
      </c>
      <c r="G1804" s="1">
        <v>0</v>
      </c>
      <c r="H1804" s="1">
        <v>1.4065869791300001</v>
      </c>
      <c r="I1804" s="1">
        <v>1.6850039456499999</v>
      </c>
      <c r="J1804" s="1">
        <v>0.75761684016399999</v>
      </c>
      <c r="K1804" s="1">
        <v>13917.955894500001</v>
      </c>
      <c r="L1804" s="1">
        <v>3410.6963123099999</v>
      </c>
      <c r="M1804" s="1" t="s">
        <v>198</v>
      </c>
      <c r="N1804" s="1" t="b">
        <v>1</v>
      </c>
    </row>
    <row r="1805" spans="1:14" ht="19" customHeight="1" x14ac:dyDescent="0.3">
      <c r="A1805">
        <v>1800</v>
      </c>
      <c r="B1805" s="1">
        <v>7</v>
      </c>
      <c r="C1805" s="1">
        <v>70</v>
      </c>
      <c r="D1805" s="1">
        <v>2.5000000000000001E-2</v>
      </c>
      <c r="E1805" s="1">
        <v>8.5000000000000006E-2</v>
      </c>
      <c r="F1805" s="1">
        <v>5</v>
      </c>
      <c r="G1805" s="1">
        <v>1</v>
      </c>
      <c r="H1805" s="1">
        <v>1.4065869791300001</v>
      </c>
      <c r="I1805" s="1">
        <v>1.2637529592400001</v>
      </c>
      <c r="J1805" s="1">
        <v>0.62124580893400005</v>
      </c>
      <c r="K1805" s="1">
        <v>12021.5366101</v>
      </c>
      <c r="L1805" s="1">
        <v>2796.7709761000001</v>
      </c>
      <c r="M1805" s="1" t="s">
        <v>198</v>
      </c>
      <c r="N1805" s="1" t="b">
        <v>1</v>
      </c>
    </row>
    <row r="1806" spans="1:14" ht="19" customHeight="1" x14ac:dyDescent="0.3">
      <c r="A1806">
        <v>1801</v>
      </c>
      <c r="B1806" s="1">
        <v>7</v>
      </c>
      <c r="C1806" s="1">
        <v>70</v>
      </c>
      <c r="D1806" s="1">
        <v>0.04</v>
      </c>
      <c r="E1806" s="1">
        <v>0.04</v>
      </c>
      <c r="F1806" s="1">
        <v>-5</v>
      </c>
      <c r="G1806" s="1">
        <v>0</v>
      </c>
      <c r="H1806" s="1">
        <v>1.4757922878900001</v>
      </c>
      <c r="I1806" s="1">
        <v>1.7888119087900001</v>
      </c>
      <c r="J1806" s="1">
        <v>0.76381009698299995</v>
      </c>
      <c r="K1806" s="1">
        <v>14696.840018000001</v>
      </c>
      <c r="L1806" s="1">
        <v>3438.5775803500001</v>
      </c>
      <c r="M1806" s="1" t="s">
        <v>198</v>
      </c>
      <c r="N1806" s="1" t="b">
        <v>1</v>
      </c>
    </row>
    <row r="1807" spans="1:14" ht="19" customHeight="1" x14ac:dyDescent="0.3">
      <c r="A1807">
        <v>1802</v>
      </c>
      <c r="B1807" s="1">
        <v>7</v>
      </c>
      <c r="C1807" s="1">
        <v>70</v>
      </c>
      <c r="D1807" s="1">
        <v>0.04</v>
      </c>
      <c r="E1807" s="1">
        <v>0.04</v>
      </c>
      <c r="F1807" s="1">
        <v>-5</v>
      </c>
      <c r="G1807" s="1">
        <v>1</v>
      </c>
      <c r="H1807" s="1">
        <v>1.4757922878900001</v>
      </c>
      <c r="I1807" s="1">
        <v>1.3416089315999999</v>
      </c>
      <c r="J1807" s="1">
        <v>0.62632427952600001</v>
      </c>
      <c r="K1807" s="1">
        <v>12683.588115</v>
      </c>
      <c r="L1807" s="1">
        <v>2819.6336158899999</v>
      </c>
      <c r="M1807" s="1" t="s">
        <v>198</v>
      </c>
      <c r="N1807" s="1" t="b">
        <v>1</v>
      </c>
    </row>
    <row r="1808" spans="1:14" ht="19" customHeight="1" x14ac:dyDescent="0.3">
      <c r="A1808">
        <v>1803</v>
      </c>
      <c r="B1808" s="1">
        <v>7</v>
      </c>
      <c r="C1808" s="1">
        <v>70</v>
      </c>
      <c r="D1808" s="1">
        <v>0.04</v>
      </c>
      <c r="E1808" s="1">
        <v>0.04</v>
      </c>
      <c r="F1808" s="1">
        <v>0</v>
      </c>
      <c r="G1808" s="1">
        <v>0</v>
      </c>
      <c r="H1808" s="1">
        <v>1.50937399183</v>
      </c>
      <c r="I1808" s="1">
        <v>1.82951638489</v>
      </c>
      <c r="J1808" s="1">
        <v>0.756310096983</v>
      </c>
      <c r="K1808" s="1">
        <v>15031.2671147</v>
      </c>
      <c r="L1808" s="1">
        <v>3404.8135178500002</v>
      </c>
      <c r="M1808" s="1" t="s">
        <v>198</v>
      </c>
      <c r="N1808" s="1" t="b">
        <v>1</v>
      </c>
    </row>
    <row r="1809" spans="1:14" ht="19" customHeight="1" x14ac:dyDescent="0.3">
      <c r="A1809">
        <v>1804</v>
      </c>
      <c r="B1809" s="1">
        <v>7</v>
      </c>
      <c r="C1809" s="1">
        <v>70</v>
      </c>
      <c r="D1809" s="1">
        <v>0.04</v>
      </c>
      <c r="E1809" s="1">
        <v>0.04</v>
      </c>
      <c r="F1809" s="1">
        <v>0</v>
      </c>
      <c r="G1809" s="1">
        <v>1</v>
      </c>
      <c r="H1809" s="1">
        <v>1.50937399183</v>
      </c>
      <c r="I1809" s="1">
        <v>1.3721372886700001</v>
      </c>
      <c r="J1809" s="1">
        <v>0.62017427952600002</v>
      </c>
      <c r="K1809" s="1">
        <v>12972.2035959</v>
      </c>
      <c r="L1809" s="1">
        <v>2791.94708464</v>
      </c>
      <c r="M1809" s="1" t="s">
        <v>198</v>
      </c>
      <c r="N1809" s="1" t="b">
        <v>1</v>
      </c>
    </row>
    <row r="1810" spans="1:14" ht="19" customHeight="1" x14ac:dyDescent="0.3">
      <c r="A1810">
        <v>1805</v>
      </c>
      <c r="B1810" s="1">
        <v>7</v>
      </c>
      <c r="C1810" s="1">
        <v>70</v>
      </c>
      <c r="D1810" s="1">
        <v>0.04</v>
      </c>
      <c r="E1810" s="1">
        <v>0.04</v>
      </c>
      <c r="F1810" s="1">
        <v>5</v>
      </c>
      <c r="G1810" s="1">
        <v>0</v>
      </c>
      <c r="H1810" s="1">
        <v>1.4757922878900001</v>
      </c>
      <c r="I1810" s="1">
        <v>1.7888119087900001</v>
      </c>
      <c r="J1810" s="1">
        <v>0.76381009698299995</v>
      </c>
      <c r="K1810" s="1">
        <v>14696.840018000001</v>
      </c>
      <c r="L1810" s="1">
        <v>3438.5775803500001</v>
      </c>
      <c r="M1810" s="1" t="s">
        <v>198</v>
      </c>
      <c r="N1810" s="1" t="b">
        <v>1</v>
      </c>
    </row>
    <row r="1811" spans="1:14" ht="19" customHeight="1" x14ac:dyDescent="0.3">
      <c r="A1811">
        <v>1806</v>
      </c>
      <c r="B1811" s="1">
        <v>7</v>
      </c>
      <c r="C1811" s="1">
        <v>70</v>
      </c>
      <c r="D1811" s="1">
        <v>0.04</v>
      </c>
      <c r="E1811" s="1">
        <v>0.04</v>
      </c>
      <c r="F1811" s="1">
        <v>5</v>
      </c>
      <c r="G1811" s="1">
        <v>1</v>
      </c>
      <c r="H1811" s="1">
        <v>1.4757922878900001</v>
      </c>
      <c r="I1811" s="1">
        <v>1.3416089315999999</v>
      </c>
      <c r="J1811" s="1">
        <v>0.62632427952600001</v>
      </c>
      <c r="K1811" s="1">
        <v>12683.588115</v>
      </c>
      <c r="L1811" s="1">
        <v>2819.6336158899999</v>
      </c>
      <c r="M1811" s="1" t="s">
        <v>198</v>
      </c>
      <c r="N1811" s="1" t="b">
        <v>1</v>
      </c>
    </row>
    <row r="1812" spans="1:14" ht="19" customHeight="1" x14ac:dyDescent="0.3">
      <c r="A1812">
        <v>1807</v>
      </c>
      <c r="B1812" s="1">
        <v>7</v>
      </c>
      <c r="C1812" s="1">
        <v>70</v>
      </c>
      <c r="D1812" s="1">
        <v>0.04</v>
      </c>
      <c r="E1812" s="1">
        <v>0.06</v>
      </c>
      <c r="F1812" s="1">
        <v>-5</v>
      </c>
      <c r="G1812" s="1">
        <v>0</v>
      </c>
      <c r="H1812" s="1">
        <v>1.5169881034499999</v>
      </c>
      <c r="I1812" s="1">
        <v>1.85060563213</v>
      </c>
      <c r="J1812" s="1">
        <v>0.76749675440999998</v>
      </c>
      <c r="K1812" s="1">
        <v>15160.4860484</v>
      </c>
      <c r="L1812" s="1">
        <v>3455.1744512599998</v>
      </c>
      <c r="M1812" s="1" t="s">
        <v>198</v>
      </c>
      <c r="N1812" s="1" t="b">
        <v>1</v>
      </c>
    </row>
    <row r="1813" spans="1:14" ht="19" customHeight="1" x14ac:dyDescent="0.3">
      <c r="A1813">
        <v>1808</v>
      </c>
      <c r="B1813" s="1">
        <v>7</v>
      </c>
      <c r="C1813" s="1">
        <v>70</v>
      </c>
      <c r="D1813" s="1">
        <v>0.04</v>
      </c>
      <c r="E1813" s="1">
        <v>0.06</v>
      </c>
      <c r="F1813" s="1">
        <v>-5</v>
      </c>
      <c r="G1813" s="1">
        <v>1</v>
      </c>
      <c r="H1813" s="1">
        <v>1.5169881034499999</v>
      </c>
      <c r="I1813" s="1">
        <v>1.3879542241</v>
      </c>
      <c r="J1813" s="1">
        <v>0.62934733861699999</v>
      </c>
      <c r="K1813" s="1">
        <v>13077.6872408</v>
      </c>
      <c r="L1813" s="1">
        <v>2833.2430500300002</v>
      </c>
      <c r="M1813" s="1" t="s">
        <v>198</v>
      </c>
      <c r="N1813" s="1" t="b">
        <v>1</v>
      </c>
    </row>
    <row r="1814" spans="1:14" ht="19" customHeight="1" x14ac:dyDescent="0.3">
      <c r="A1814">
        <v>1809</v>
      </c>
      <c r="B1814" s="1">
        <v>7</v>
      </c>
      <c r="C1814" s="1">
        <v>70</v>
      </c>
      <c r="D1814" s="1">
        <v>0.04</v>
      </c>
      <c r="E1814" s="1">
        <v>0.06</v>
      </c>
      <c r="F1814" s="1">
        <v>0</v>
      </c>
      <c r="G1814" s="1">
        <v>0</v>
      </c>
      <c r="H1814" s="1">
        <v>1.5515072195699999</v>
      </c>
      <c r="I1814" s="1">
        <v>1.8927162265099999</v>
      </c>
      <c r="J1814" s="1">
        <v>0.75999675441000003</v>
      </c>
      <c r="K1814" s="1">
        <v>15505.463426300001</v>
      </c>
      <c r="L1814" s="1">
        <v>3421.4103887599999</v>
      </c>
      <c r="M1814" s="1" t="s">
        <v>198</v>
      </c>
      <c r="N1814" s="1" t="b">
        <v>1</v>
      </c>
    </row>
    <row r="1815" spans="1:14" ht="19" customHeight="1" x14ac:dyDescent="0.3">
      <c r="A1815">
        <v>1810</v>
      </c>
      <c r="B1815" s="1">
        <v>7</v>
      </c>
      <c r="C1815" s="1">
        <v>70</v>
      </c>
      <c r="D1815" s="1">
        <v>0.04</v>
      </c>
      <c r="E1815" s="1">
        <v>0.06</v>
      </c>
      <c r="F1815" s="1">
        <v>0</v>
      </c>
      <c r="G1815" s="1">
        <v>1</v>
      </c>
      <c r="H1815" s="1">
        <v>1.5515072195699999</v>
      </c>
      <c r="I1815" s="1">
        <v>1.4195371698799999</v>
      </c>
      <c r="J1815" s="1">
        <v>0.623197338617</v>
      </c>
      <c r="K1815" s="1">
        <v>13375.2704608</v>
      </c>
      <c r="L1815" s="1">
        <v>2805.5565187799998</v>
      </c>
      <c r="M1815" s="1" t="s">
        <v>198</v>
      </c>
      <c r="N1815" s="1" t="b">
        <v>1</v>
      </c>
    </row>
    <row r="1816" spans="1:14" ht="19" customHeight="1" x14ac:dyDescent="0.3">
      <c r="A1816">
        <v>1811</v>
      </c>
      <c r="B1816" s="1">
        <v>7</v>
      </c>
      <c r="C1816" s="1">
        <v>70</v>
      </c>
      <c r="D1816" s="1">
        <v>0.04</v>
      </c>
      <c r="E1816" s="1">
        <v>0.06</v>
      </c>
      <c r="F1816" s="1">
        <v>5</v>
      </c>
      <c r="G1816" s="1">
        <v>0</v>
      </c>
      <c r="H1816" s="1">
        <v>1.5169881034499999</v>
      </c>
      <c r="I1816" s="1">
        <v>1.85060563213</v>
      </c>
      <c r="J1816" s="1">
        <v>0.76749675440999998</v>
      </c>
      <c r="K1816" s="1">
        <v>15160.4860484</v>
      </c>
      <c r="L1816" s="1">
        <v>3455.1744512599998</v>
      </c>
      <c r="M1816" s="1" t="s">
        <v>198</v>
      </c>
      <c r="N1816" s="1" t="b">
        <v>1</v>
      </c>
    </row>
    <row r="1817" spans="1:14" ht="19" customHeight="1" x14ac:dyDescent="0.3">
      <c r="A1817">
        <v>1812</v>
      </c>
      <c r="B1817" s="1">
        <v>7</v>
      </c>
      <c r="C1817" s="1">
        <v>70</v>
      </c>
      <c r="D1817" s="1">
        <v>0.04</v>
      </c>
      <c r="E1817" s="1">
        <v>0.06</v>
      </c>
      <c r="F1817" s="1">
        <v>5</v>
      </c>
      <c r="G1817" s="1">
        <v>1</v>
      </c>
      <c r="H1817" s="1">
        <v>1.5169881034499999</v>
      </c>
      <c r="I1817" s="1">
        <v>1.3879542241</v>
      </c>
      <c r="J1817" s="1">
        <v>0.62934733861699999</v>
      </c>
      <c r="K1817" s="1">
        <v>13077.6872408</v>
      </c>
      <c r="L1817" s="1">
        <v>2833.2430500300002</v>
      </c>
      <c r="M1817" s="1" t="s">
        <v>198</v>
      </c>
      <c r="N1817" s="1" t="b">
        <v>1</v>
      </c>
    </row>
    <row r="1818" spans="1:14" ht="19" customHeight="1" x14ac:dyDescent="0.3">
      <c r="A1818">
        <v>1813</v>
      </c>
      <c r="B1818" s="1">
        <v>7</v>
      </c>
      <c r="C1818" s="1">
        <v>70</v>
      </c>
      <c r="D1818" s="1">
        <v>0.04</v>
      </c>
      <c r="E1818" s="1">
        <v>8.5000000000000006E-2</v>
      </c>
      <c r="F1818" s="1">
        <v>-5</v>
      </c>
      <c r="G1818" s="1">
        <v>0</v>
      </c>
      <c r="H1818" s="1">
        <v>1.4116717854600001</v>
      </c>
      <c r="I1818" s="1">
        <v>1.69263115514</v>
      </c>
      <c r="J1818" s="1">
        <v>0.75807188489999999</v>
      </c>
      <c r="K1818" s="1">
        <v>13975.183800700001</v>
      </c>
      <c r="L1818" s="1">
        <v>3412.7448668299999</v>
      </c>
      <c r="M1818" s="1" t="s">
        <v>198</v>
      </c>
      <c r="N1818" s="1" t="b">
        <v>1</v>
      </c>
    </row>
    <row r="1819" spans="1:14" ht="19" customHeight="1" x14ac:dyDescent="0.3">
      <c r="A1819">
        <v>1814</v>
      </c>
      <c r="B1819" s="1">
        <v>7</v>
      </c>
      <c r="C1819" s="1">
        <v>70</v>
      </c>
      <c r="D1819" s="1">
        <v>0.04</v>
      </c>
      <c r="E1819" s="1">
        <v>8.5000000000000006E-2</v>
      </c>
      <c r="F1819" s="1">
        <v>-5</v>
      </c>
      <c r="G1819" s="1">
        <v>1</v>
      </c>
      <c r="H1819" s="1">
        <v>1.4116717854600001</v>
      </c>
      <c r="I1819" s="1">
        <v>1.26947336635</v>
      </c>
      <c r="J1819" s="1">
        <v>0.62161894561800002</v>
      </c>
      <c r="K1819" s="1">
        <v>12070.1803303</v>
      </c>
      <c r="L1819" s="1">
        <v>2798.4507908</v>
      </c>
      <c r="M1819" s="1" t="s">
        <v>198</v>
      </c>
      <c r="N1819" s="1" t="b">
        <v>1</v>
      </c>
    </row>
    <row r="1820" spans="1:14" ht="19" customHeight="1" x14ac:dyDescent="0.3">
      <c r="A1820">
        <v>1815</v>
      </c>
      <c r="B1820" s="1">
        <v>7</v>
      </c>
      <c r="C1820" s="1">
        <v>70</v>
      </c>
      <c r="D1820" s="1">
        <v>0.04</v>
      </c>
      <c r="E1820" s="1">
        <v>8.5000000000000006E-2</v>
      </c>
      <c r="F1820" s="1">
        <v>0</v>
      </c>
      <c r="G1820" s="1">
        <v>0</v>
      </c>
      <c r="H1820" s="1">
        <v>1.4437944251599999</v>
      </c>
      <c r="I1820" s="1">
        <v>1.7311470349</v>
      </c>
      <c r="J1820" s="1">
        <v>0.75057188490000004</v>
      </c>
      <c r="K1820" s="1">
        <v>14293.1895855</v>
      </c>
      <c r="L1820" s="1">
        <v>3378.98080433</v>
      </c>
      <c r="M1820" s="1" t="s">
        <v>198</v>
      </c>
      <c r="N1820" s="1" t="b">
        <v>1</v>
      </c>
    </row>
    <row r="1821" spans="1:14" ht="19" customHeight="1" x14ac:dyDescent="0.3">
      <c r="A1821">
        <v>1816</v>
      </c>
      <c r="B1821" s="1">
        <v>7</v>
      </c>
      <c r="C1821" s="1">
        <v>70</v>
      </c>
      <c r="D1821" s="1">
        <v>0.04</v>
      </c>
      <c r="E1821" s="1">
        <v>8.5000000000000006E-2</v>
      </c>
      <c r="F1821" s="1">
        <v>0</v>
      </c>
      <c r="G1821" s="1">
        <v>1</v>
      </c>
      <c r="H1821" s="1">
        <v>1.4437944251599999</v>
      </c>
      <c r="I1821" s="1">
        <v>1.2983602761699999</v>
      </c>
      <c r="J1821" s="1">
        <v>0.61546894561800003</v>
      </c>
      <c r="K1821" s="1">
        <v>12344.837696099999</v>
      </c>
      <c r="L1821" s="1">
        <v>2770.7642595500001</v>
      </c>
      <c r="M1821" s="1" t="s">
        <v>198</v>
      </c>
      <c r="N1821" s="1" t="b">
        <v>1</v>
      </c>
    </row>
    <row r="1822" spans="1:14" ht="19" customHeight="1" x14ac:dyDescent="0.3">
      <c r="A1822">
        <v>1817</v>
      </c>
      <c r="B1822" s="1">
        <v>7</v>
      </c>
      <c r="C1822" s="1">
        <v>70</v>
      </c>
      <c r="D1822" s="1">
        <v>0.04</v>
      </c>
      <c r="E1822" s="1">
        <v>8.5000000000000006E-2</v>
      </c>
      <c r="F1822" s="1">
        <v>5</v>
      </c>
      <c r="G1822" s="1">
        <v>0</v>
      </c>
      <c r="H1822" s="1">
        <v>1.4116717854600001</v>
      </c>
      <c r="I1822" s="1">
        <v>1.69263115514</v>
      </c>
      <c r="J1822" s="1">
        <v>0.75807188489999999</v>
      </c>
      <c r="K1822" s="1">
        <v>13975.183800700001</v>
      </c>
      <c r="L1822" s="1">
        <v>3412.7448668299999</v>
      </c>
      <c r="M1822" s="1" t="s">
        <v>198</v>
      </c>
      <c r="N1822" s="1" t="b">
        <v>1</v>
      </c>
    </row>
    <row r="1823" spans="1:14" ht="19" customHeight="1" x14ac:dyDescent="0.3">
      <c r="A1823">
        <v>1818</v>
      </c>
      <c r="B1823" s="1">
        <v>7</v>
      </c>
      <c r="C1823" s="1">
        <v>70</v>
      </c>
      <c r="D1823" s="1">
        <v>0.04</v>
      </c>
      <c r="E1823" s="1">
        <v>8.5000000000000006E-2</v>
      </c>
      <c r="F1823" s="1">
        <v>5</v>
      </c>
      <c r="G1823" s="1">
        <v>1</v>
      </c>
      <c r="H1823" s="1">
        <v>1.4116717854600001</v>
      </c>
      <c r="I1823" s="1">
        <v>1.26947336635</v>
      </c>
      <c r="J1823" s="1">
        <v>0.62161894561800002</v>
      </c>
      <c r="K1823" s="1">
        <v>12070.1803303</v>
      </c>
      <c r="L1823" s="1">
        <v>2798.4507908</v>
      </c>
      <c r="M1823" s="1" t="s">
        <v>198</v>
      </c>
      <c r="N1823" s="1" t="b">
        <v>1</v>
      </c>
    </row>
    <row r="1824" spans="1:14" ht="19" customHeight="1" x14ac:dyDescent="0.3">
      <c r="A1824">
        <v>1819</v>
      </c>
      <c r="B1824" s="1">
        <v>7</v>
      </c>
      <c r="C1824" s="1">
        <v>70</v>
      </c>
      <c r="D1824" s="1">
        <v>5.5E-2</v>
      </c>
      <c r="E1824" s="1">
        <v>0.04</v>
      </c>
      <c r="F1824" s="1">
        <v>-5</v>
      </c>
      <c r="G1824" s="1">
        <v>0</v>
      </c>
      <c r="H1824" s="1">
        <v>1.33590718583</v>
      </c>
      <c r="I1824" s="1">
        <v>1.5789842557</v>
      </c>
      <c r="J1824" s="1">
        <v>0.75129163015300005</v>
      </c>
      <c r="K1824" s="1">
        <v>13122.476908299999</v>
      </c>
      <c r="L1824" s="1">
        <v>3382.2210074899999</v>
      </c>
      <c r="M1824" s="1" t="s">
        <v>198</v>
      </c>
      <c r="N1824" s="1" t="b">
        <v>1</v>
      </c>
    </row>
    <row r="1825" spans="1:14" ht="19" customHeight="1" x14ac:dyDescent="0.3">
      <c r="A1825">
        <v>1820</v>
      </c>
      <c r="B1825" s="1">
        <v>7</v>
      </c>
      <c r="C1825" s="1">
        <v>70</v>
      </c>
      <c r="D1825" s="1">
        <v>5.5E-2</v>
      </c>
      <c r="E1825" s="1">
        <v>0.04</v>
      </c>
      <c r="F1825" s="1">
        <v>-5</v>
      </c>
      <c r="G1825" s="1">
        <v>1</v>
      </c>
      <c r="H1825" s="1">
        <v>1.33590718583</v>
      </c>
      <c r="I1825" s="1">
        <v>1.18423819177</v>
      </c>
      <c r="J1825" s="1">
        <v>0.61605913672500001</v>
      </c>
      <c r="K1825" s="1">
        <v>11345.379471800001</v>
      </c>
      <c r="L1825" s="1">
        <v>2773.4212261500002</v>
      </c>
      <c r="M1825" s="1" t="s">
        <v>198</v>
      </c>
      <c r="N1825" s="1" t="b">
        <v>1</v>
      </c>
    </row>
    <row r="1826" spans="1:14" ht="19" customHeight="1" x14ac:dyDescent="0.3">
      <c r="A1826">
        <v>1821</v>
      </c>
      <c r="B1826" s="1">
        <v>7</v>
      </c>
      <c r="C1826" s="1">
        <v>70</v>
      </c>
      <c r="D1826" s="1">
        <v>5.5E-2</v>
      </c>
      <c r="E1826" s="1">
        <v>0.04</v>
      </c>
      <c r="F1826" s="1">
        <v>0</v>
      </c>
      <c r="G1826" s="1">
        <v>0</v>
      </c>
      <c r="H1826" s="1">
        <v>1.3663057994900001</v>
      </c>
      <c r="I1826" s="1">
        <v>1.6149140963799999</v>
      </c>
      <c r="J1826" s="1">
        <v>0.74379163015299998</v>
      </c>
      <c r="K1826" s="1">
        <v>13421.0793187</v>
      </c>
      <c r="L1826" s="1">
        <v>3348.45694499</v>
      </c>
      <c r="M1826" s="1" t="s">
        <v>198</v>
      </c>
      <c r="N1826" s="1" t="b">
        <v>1</v>
      </c>
    </row>
    <row r="1827" spans="1:14" ht="19" customHeight="1" x14ac:dyDescent="0.3">
      <c r="A1827">
        <v>1822</v>
      </c>
      <c r="B1827" s="1">
        <v>7</v>
      </c>
      <c r="C1827" s="1">
        <v>70</v>
      </c>
      <c r="D1827" s="1">
        <v>5.5E-2</v>
      </c>
      <c r="E1827" s="1">
        <v>0.04</v>
      </c>
      <c r="F1827" s="1">
        <v>0</v>
      </c>
      <c r="G1827" s="1">
        <v>1</v>
      </c>
      <c r="H1827" s="1">
        <v>1.3663057994900001</v>
      </c>
      <c r="I1827" s="1">
        <v>1.21118557229</v>
      </c>
      <c r="J1827" s="1">
        <v>0.60990913672500002</v>
      </c>
      <c r="K1827" s="1">
        <v>11603.543969300001</v>
      </c>
      <c r="L1827" s="1">
        <v>2745.7346948999998</v>
      </c>
      <c r="M1827" s="1" t="s">
        <v>198</v>
      </c>
      <c r="N1827" s="1" t="b">
        <v>1</v>
      </c>
    </row>
    <row r="1828" spans="1:14" ht="19" customHeight="1" x14ac:dyDescent="0.3">
      <c r="A1828">
        <v>1823</v>
      </c>
      <c r="B1828" s="1">
        <v>7</v>
      </c>
      <c r="C1828" s="1">
        <v>70</v>
      </c>
      <c r="D1828" s="1">
        <v>5.5E-2</v>
      </c>
      <c r="E1828" s="1">
        <v>0.04</v>
      </c>
      <c r="F1828" s="1">
        <v>5</v>
      </c>
      <c r="G1828" s="1">
        <v>0</v>
      </c>
      <c r="H1828" s="1">
        <v>1.33590718583</v>
      </c>
      <c r="I1828" s="1">
        <v>1.5789842557</v>
      </c>
      <c r="J1828" s="1">
        <v>0.75129163015300005</v>
      </c>
      <c r="K1828" s="1">
        <v>13122.476908299999</v>
      </c>
      <c r="L1828" s="1">
        <v>3382.2210074899999</v>
      </c>
      <c r="M1828" s="1" t="s">
        <v>198</v>
      </c>
      <c r="N1828" s="1" t="b">
        <v>1</v>
      </c>
    </row>
    <row r="1829" spans="1:14" ht="19" customHeight="1" x14ac:dyDescent="0.3">
      <c r="A1829">
        <v>1824</v>
      </c>
      <c r="B1829" s="1">
        <v>7</v>
      </c>
      <c r="C1829" s="1">
        <v>70</v>
      </c>
      <c r="D1829" s="1">
        <v>5.5E-2</v>
      </c>
      <c r="E1829" s="1">
        <v>0.04</v>
      </c>
      <c r="F1829" s="1">
        <v>5</v>
      </c>
      <c r="G1829" s="1">
        <v>1</v>
      </c>
      <c r="H1829" s="1">
        <v>1.33590718583</v>
      </c>
      <c r="I1829" s="1">
        <v>1.18423819177</v>
      </c>
      <c r="J1829" s="1">
        <v>0.61605913672500001</v>
      </c>
      <c r="K1829" s="1">
        <v>11345.379471800001</v>
      </c>
      <c r="L1829" s="1">
        <v>2773.4212261500002</v>
      </c>
      <c r="M1829" s="1" t="s">
        <v>198</v>
      </c>
      <c r="N1829" s="1" t="b">
        <v>1</v>
      </c>
    </row>
    <row r="1830" spans="1:14" ht="19" customHeight="1" x14ac:dyDescent="0.3">
      <c r="A1830">
        <v>1825</v>
      </c>
      <c r="B1830" s="1">
        <v>7</v>
      </c>
      <c r="C1830" s="1">
        <v>70</v>
      </c>
      <c r="D1830" s="1">
        <v>5.5E-2</v>
      </c>
      <c r="E1830" s="1">
        <v>0.06</v>
      </c>
      <c r="F1830" s="1">
        <v>-5</v>
      </c>
      <c r="G1830" s="1">
        <v>0</v>
      </c>
      <c r="H1830" s="1">
        <v>1.36353678554</v>
      </c>
      <c r="I1830" s="1">
        <v>1.62042865526</v>
      </c>
      <c r="J1830" s="1">
        <v>0.75376423247000002</v>
      </c>
      <c r="K1830" s="1">
        <v>13433.439418800001</v>
      </c>
      <c r="L1830" s="1">
        <v>3393.35235405</v>
      </c>
      <c r="M1830" s="1" t="s">
        <v>198</v>
      </c>
      <c r="N1830" s="1" t="b">
        <v>1</v>
      </c>
    </row>
    <row r="1831" spans="1:14" ht="19" customHeight="1" x14ac:dyDescent="0.3">
      <c r="A1831">
        <v>1826</v>
      </c>
      <c r="B1831" s="1">
        <v>7</v>
      </c>
      <c r="C1831" s="1">
        <v>70</v>
      </c>
      <c r="D1831" s="1">
        <v>5.5E-2</v>
      </c>
      <c r="E1831" s="1">
        <v>0.06</v>
      </c>
      <c r="F1831" s="1">
        <v>-5</v>
      </c>
      <c r="G1831" s="1">
        <v>1</v>
      </c>
      <c r="H1831" s="1">
        <v>1.36353678554</v>
      </c>
      <c r="I1831" s="1">
        <v>1.2153214914399999</v>
      </c>
      <c r="J1831" s="1">
        <v>0.618086670625</v>
      </c>
      <c r="K1831" s="1">
        <v>11609.697605699999</v>
      </c>
      <c r="L1831" s="1">
        <v>2782.5489303200002</v>
      </c>
      <c r="M1831" s="1" t="s">
        <v>198</v>
      </c>
      <c r="N1831" s="1" t="b">
        <v>1</v>
      </c>
    </row>
    <row r="1832" spans="1:14" ht="19" customHeight="1" x14ac:dyDescent="0.3">
      <c r="A1832">
        <v>1827</v>
      </c>
      <c r="B1832" s="1">
        <v>7</v>
      </c>
      <c r="C1832" s="1">
        <v>70</v>
      </c>
      <c r="D1832" s="1">
        <v>5.5E-2</v>
      </c>
      <c r="E1832" s="1">
        <v>0.06</v>
      </c>
      <c r="F1832" s="1">
        <v>0</v>
      </c>
      <c r="G1832" s="1">
        <v>0</v>
      </c>
      <c r="H1832" s="1">
        <v>1.3945641116800001</v>
      </c>
      <c r="I1832" s="1">
        <v>1.65730156467</v>
      </c>
      <c r="J1832" s="1">
        <v>0.74626423246999996</v>
      </c>
      <c r="K1832" s="1">
        <v>13739.1177917</v>
      </c>
      <c r="L1832" s="1">
        <v>3359.5882915500001</v>
      </c>
      <c r="M1832" s="1" t="s">
        <v>198</v>
      </c>
      <c r="N1832" s="1" t="b">
        <v>1</v>
      </c>
    </row>
    <row r="1833" spans="1:14" ht="19" customHeight="1" x14ac:dyDescent="0.3">
      <c r="A1833">
        <v>1828</v>
      </c>
      <c r="B1833" s="1">
        <v>7</v>
      </c>
      <c r="C1833" s="1">
        <v>70</v>
      </c>
      <c r="D1833" s="1">
        <v>5.5E-2</v>
      </c>
      <c r="E1833" s="1">
        <v>0.06</v>
      </c>
      <c r="F1833" s="1">
        <v>0</v>
      </c>
      <c r="G1833" s="1">
        <v>1</v>
      </c>
      <c r="H1833" s="1">
        <v>1.3945641116800001</v>
      </c>
      <c r="I1833" s="1">
        <v>1.2429761735</v>
      </c>
      <c r="J1833" s="1">
        <v>0.61193667062500001</v>
      </c>
      <c r="K1833" s="1">
        <v>11873.8766713</v>
      </c>
      <c r="L1833" s="1">
        <v>2754.8623990699998</v>
      </c>
      <c r="M1833" s="1" t="s">
        <v>198</v>
      </c>
      <c r="N1833" s="1" t="b">
        <v>1</v>
      </c>
    </row>
    <row r="1834" spans="1:14" ht="19" customHeight="1" x14ac:dyDescent="0.3">
      <c r="A1834">
        <v>1829</v>
      </c>
      <c r="B1834" s="1">
        <v>7</v>
      </c>
      <c r="C1834" s="1">
        <v>70</v>
      </c>
      <c r="D1834" s="1">
        <v>5.5E-2</v>
      </c>
      <c r="E1834" s="1">
        <v>0.06</v>
      </c>
      <c r="F1834" s="1">
        <v>5</v>
      </c>
      <c r="G1834" s="1">
        <v>0</v>
      </c>
      <c r="H1834" s="1">
        <v>1.36353678554</v>
      </c>
      <c r="I1834" s="1">
        <v>1.62042865526</v>
      </c>
      <c r="J1834" s="1">
        <v>0.75376423247000002</v>
      </c>
      <c r="K1834" s="1">
        <v>13433.439418800001</v>
      </c>
      <c r="L1834" s="1">
        <v>3393.35235405</v>
      </c>
      <c r="M1834" s="1" t="s">
        <v>198</v>
      </c>
      <c r="N1834" s="1" t="b">
        <v>1</v>
      </c>
    </row>
    <row r="1835" spans="1:14" ht="19" customHeight="1" x14ac:dyDescent="0.3">
      <c r="A1835">
        <v>1830</v>
      </c>
      <c r="B1835" s="1">
        <v>7</v>
      </c>
      <c r="C1835" s="1">
        <v>70</v>
      </c>
      <c r="D1835" s="1">
        <v>5.5E-2</v>
      </c>
      <c r="E1835" s="1">
        <v>0.06</v>
      </c>
      <c r="F1835" s="1">
        <v>5</v>
      </c>
      <c r="G1835" s="1">
        <v>1</v>
      </c>
      <c r="H1835" s="1">
        <v>1.36353678554</v>
      </c>
      <c r="I1835" s="1">
        <v>1.2153214914399999</v>
      </c>
      <c r="J1835" s="1">
        <v>0.618086670625</v>
      </c>
      <c r="K1835" s="1">
        <v>11609.697605699999</v>
      </c>
      <c r="L1835" s="1">
        <v>2782.5489303200002</v>
      </c>
      <c r="M1835" s="1" t="s">
        <v>198</v>
      </c>
      <c r="N1835" s="1" t="b">
        <v>1</v>
      </c>
    </row>
    <row r="1836" spans="1:14" ht="19" customHeight="1" x14ac:dyDescent="0.3">
      <c r="A1836">
        <v>1831</v>
      </c>
      <c r="B1836" s="1">
        <v>7</v>
      </c>
      <c r="C1836" s="1">
        <v>70</v>
      </c>
      <c r="D1836" s="1">
        <v>5.5E-2</v>
      </c>
      <c r="E1836" s="1">
        <v>8.5000000000000006E-2</v>
      </c>
      <c r="F1836" s="1">
        <v>-5</v>
      </c>
      <c r="G1836" s="1">
        <v>0</v>
      </c>
      <c r="H1836" s="1">
        <v>1.2929022400300001</v>
      </c>
      <c r="I1836" s="1">
        <v>1.5144768369899999</v>
      </c>
      <c r="J1836" s="1">
        <v>0.747443071731</v>
      </c>
      <c r="K1836" s="1">
        <v>12638.469682299999</v>
      </c>
      <c r="L1836" s="1">
        <v>3364.8952785500001</v>
      </c>
      <c r="M1836" s="1" t="s">
        <v>198</v>
      </c>
      <c r="N1836" s="1" t="b">
        <v>1</v>
      </c>
    </row>
    <row r="1837" spans="1:14" ht="19" customHeight="1" x14ac:dyDescent="0.3">
      <c r="A1837">
        <v>1832</v>
      </c>
      <c r="B1837" s="1">
        <v>7</v>
      </c>
      <c r="C1837" s="1">
        <v>70</v>
      </c>
      <c r="D1837" s="1">
        <v>5.5E-2</v>
      </c>
      <c r="E1837" s="1">
        <v>8.5000000000000006E-2</v>
      </c>
      <c r="F1837" s="1">
        <v>-5</v>
      </c>
      <c r="G1837" s="1">
        <v>1</v>
      </c>
      <c r="H1837" s="1">
        <v>1.2929022400300001</v>
      </c>
      <c r="I1837" s="1">
        <v>1.1358576277400001</v>
      </c>
      <c r="J1837" s="1">
        <v>0.61290331882000004</v>
      </c>
      <c r="K1837" s="1">
        <v>10933.9733297</v>
      </c>
      <c r="L1837" s="1">
        <v>2759.2141284099998</v>
      </c>
      <c r="M1837" s="1" t="s">
        <v>198</v>
      </c>
      <c r="N1837" s="1" t="b">
        <v>1</v>
      </c>
    </row>
    <row r="1838" spans="1:14" ht="19" customHeight="1" x14ac:dyDescent="0.3">
      <c r="A1838">
        <v>1833</v>
      </c>
      <c r="B1838" s="1">
        <v>7</v>
      </c>
      <c r="C1838" s="1">
        <v>70</v>
      </c>
      <c r="D1838" s="1">
        <v>5.5E-2</v>
      </c>
      <c r="E1838" s="1">
        <v>8.5000000000000006E-2</v>
      </c>
      <c r="F1838" s="1">
        <v>0</v>
      </c>
      <c r="G1838" s="1">
        <v>0</v>
      </c>
      <c r="H1838" s="1">
        <v>1.3223222746700001</v>
      </c>
      <c r="I1838" s="1">
        <v>1.54893880916</v>
      </c>
      <c r="J1838" s="1">
        <v>0.73994307173100005</v>
      </c>
      <c r="K1838" s="1">
        <v>12926.0584918</v>
      </c>
      <c r="L1838" s="1">
        <v>3331.1312160500001</v>
      </c>
      <c r="M1838" s="1" t="s">
        <v>198</v>
      </c>
      <c r="N1838" s="1" t="b">
        <v>1</v>
      </c>
    </row>
    <row r="1839" spans="1:14" ht="19" customHeight="1" x14ac:dyDescent="0.3">
      <c r="A1839">
        <v>1834</v>
      </c>
      <c r="B1839" s="1">
        <v>7</v>
      </c>
      <c r="C1839" s="1">
        <v>70</v>
      </c>
      <c r="D1839" s="1">
        <v>5.5E-2</v>
      </c>
      <c r="E1839" s="1">
        <v>8.5000000000000006E-2</v>
      </c>
      <c r="F1839" s="1">
        <v>0</v>
      </c>
      <c r="G1839" s="1">
        <v>1</v>
      </c>
      <c r="H1839" s="1">
        <v>1.3223222746700001</v>
      </c>
      <c r="I1839" s="1">
        <v>1.16170410687</v>
      </c>
      <c r="J1839" s="1">
        <v>0.60675331882000005</v>
      </c>
      <c r="K1839" s="1">
        <v>11182.7762664</v>
      </c>
      <c r="L1839" s="1">
        <v>2731.5275971599999</v>
      </c>
      <c r="M1839" s="1" t="s">
        <v>198</v>
      </c>
      <c r="N1839" s="1" t="b">
        <v>1</v>
      </c>
    </row>
    <row r="1840" spans="1:14" ht="19" customHeight="1" x14ac:dyDescent="0.3">
      <c r="A1840">
        <v>1835</v>
      </c>
      <c r="B1840" s="1">
        <v>7</v>
      </c>
      <c r="C1840" s="1">
        <v>70</v>
      </c>
      <c r="D1840" s="1">
        <v>5.5E-2</v>
      </c>
      <c r="E1840" s="1">
        <v>8.5000000000000006E-2</v>
      </c>
      <c r="F1840" s="1">
        <v>5</v>
      </c>
      <c r="G1840" s="1">
        <v>0</v>
      </c>
      <c r="H1840" s="1">
        <v>1.2929022400300001</v>
      </c>
      <c r="I1840" s="1">
        <v>1.5144768369899999</v>
      </c>
      <c r="J1840" s="1">
        <v>0.747443071731</v>
      </c>
      <c r="K1840" s="1">
        <v>12638.469682299999</v>
      </c>
      <c r="L1840" s="1">
        <v>3364.8952785500001</v>
      </c>
      <c r="M1840" s="1" t="s">
        <v>198</v>
      </c>
      <c r="N1840" s="1" t="b">
        <v>1</v>
      </c>
    </row>
    <row r="1841" spans="1:14" ht="19" customHeight="1" x14ac:dyDescent="0.3">
      <c r="A1841">
        <v>1836</v>
      </c>
      <c r="B1841" s="1">
        <v>7</v>
      </c>
      <c r="C1841" s="1">
        <v>70</v>
      </c>
      <c r="D1841" s="1">
        <v>5.5E-2</v>
      </c>
      <c r="E1841" s="1">
        <v>8.5000000000000006E-2</v>
      </c>
      <c r="F1841" s="1">
        <v>5</v>
      </c>
      <c r="G1841" s="1">
        <v>1</v>
      </c>
      <c r="H1841" s="1">
        <v>1.2929022400300001</v>
      </c>
      <c r="I1841" s="1">
        <v>1.1358576277400001</v>
      </c>
      <c r="J1841" s="1">
        <v>0.61290331882000004</v>
      </c>
      <c r="K1841" s="1">
        <v>10933.9733297</v>
      </c>
      <c r="L1841" s="1">
        <v>2759.2141284099998</v>
      </c>
      <c r="M1841" s="1" t="s">
        <v>198</v>
      </c>
      <c r="N1841" s="1" t="b">
        <v>1</v>
      </c>
    </row>
    <row r="1842" spans="1:14" ht="19" customHeight="1" x14ac:dyDescent="0.3">
      <c r="A1842">
        <v>1837</v>
      </c>
      <c r="B1842" s="1">
        <v>7</v>
      </c>
      <c r="C1842" s="1">
        <v>90</v>
      </c>
      <c r="D1842" s="1">
        <v>2.5000000000000001E-2</v>
      </c>
      <c r="E1842" s="1">
        <v>0.04</v>
      </c>
      <c r="F1842" s="1">
        <v>-5</v>
      </c>
      <c r="G1842" s="1">
        <v>0</v>
      </c>
      <c r="H1842" s="1">
        <v>1.4698034744399999</v>
      </c>
      <c r="I1842" s="1">
        <v>1.7798286886100001</v>
      </c>
      <c r="J1842" s="1">
        <v>0.76327415168599999</v>
      </c>
      <c r="K1842" s="1">
        <v>24183.356353399999</v>
      </c>
      <c r="L1842" s="1">
        <v>5680.1908275799997</v>
      </c>
      <c r="M1842" s="1" t="s">
        <v>198</v>
      </c>
      <c r="N1842" s="1" t="b">
        <v>1</v>
      </c>
    </row>
    <row r="1843" spans="1:14" ht="19" customHeight="1" x14ac:dyDescent="0.3">
      <c r="A1843">
        <v>1838</v>
      </c>
      <c r="B1843" s="1">
        <v>7</v>
      </c>
      <c r="C1843" s="1">
        <v>90</v>
      </c>
      <c r="D1843" s="1">
        <v>2.5000000000000001E-2</v>
      </c>
      <c r="E1843" s="1">
        <v>0.04</v>
      </c>
      <c r="F1843" s="1">
        <v>-5</v>
      </c>
      <c r="G1843" s="1">
        <v>1</v>
      </c>
      <c r="H1843" s="1">
        <v>1.4698034744399999</v>
      </c>
      <c r="I1843" s="1">
        <v>1.33487151646</v>
      </c>
      <c r="J1843" s="1">
        <v>0.625884804382</v>
      </c>
      <c r="K1843" s="1">
        <v>20872.0406979</v>
      </c>
      <c r="L1843" s="1">
        <v>4657.7564786100002</v>
      </c>
      <c r="M1843" s="1" t="s">
        <v>198</v>
      </c>
      <c r="N1843" s="1" t="b">
        <v>1</v>
      </c>
    </row>
    <row r="1844" spans="1:14" ht="19" customHeight="1" x14ac:dyDescent="0.3">
      <c r="A1844">
        <v>1839</v>
      </c>
      <c r="B1844" s="1">
        <v>7</v>
      </c>
      <c r="C1844" s="1">
        <v>90</v>
      </c>
      <c r="D1844" s="1">
        <v>2.5000000000000001E-2</v>
      </c>
      <c r="E1844" s="1">
        <v>0.04</v>
      </c>
      <c r="F1844" s="1">
        <v>0</v>
      </c>
      <c r="G1844" s="1">
        <v>0</v>
      </c>
      <c r="H1844" s="1">
        <v>1.50324890272</v>
      </c>
      <c r="I1844" s="1">
        <v>1.8203287512299999</v>
      </c>
      <c r="J1844" s="1">
        <v>0.75577415168600004</v>
      </c>
      <c r="K1844" s="1">
        <v>24733.649453499998</v>
      </c>
      <c r="L1844" s="1">
        <v>5624.37676508</v>
      </c>
      <c r="M1844" s="1" t="s">
        <v>198</v>
      </c>
      <c r="N1844" s="1" t="b">
        <v>1</v>
      </c>
    </row>
    <row r="1845" spans="1:14" ht="19" customHeight="1" x14ac:dyDescent="0.3">
      <c r="A1845">
        <v>1840</v>
      </c>
      <c r="B1845" s="1">
        <v>7</v>
      </c>
      <c r="C1845" s="1">
        <v>90</v>
      </c>
      <c r="D1845" s="1">
        <v>2.5000000000000001E-2</v>
      </c>
      <c r="E1845" s="1">
        <v>0.04</v>
      </c>
      <c r="F1845" s="1">
        <v>0</v>
      </c>
      <c r="G1845" s="1">
        <v>1</v>
      </c>
      <c r="H1845" s="1">
        <v>1.50324890272</v>
      </c>
      <c r="I1845" s="1">
        <v>1.3652465634199999</v>
      </c>
      <c r="J1845" s="1">
        <v>0.61973480438200002</v>
      </c>
      <c r="K1845" s="1">
        <v>21346.984697100001</v>
      </c>
      <c r="L1845" s="1">
        <v>4611.9889473599997</v>
      </c>
      <c r="M1845" s="1" t="s">
        <v>198</v>
      </c>
      <c r="N1845" s="1" t="b">
        <v>1</v>
      </c>
    </row>
    <row r="1846" spans="1:14" ht="19" customHeight="1" x14ac:dyDescent="0.3">
      <c r="A1846">
        <v>1841</v>
      </c>
      <c r="B1846" s="1">
        <v>7</v>
      </c>
      <c r="C1846" s="1">
        <v>90</v>
      </c>
      <c r="D1846" s="1">
        <v>2.5000000000000001E-2</v>
      </c>
      <c r="E1846" s="1">
        <v>0.04</v>
      </c>
      <c r="F1846" s="1">
        <v>5</v>
      </c>
      <c r="G1846" s="1">
        <v>0</v>
      </c>
      <c r="H1846" s="1">
        <v>1.4698034744399999</v>
      </c>
      <c r="I1846" s="1">
        <v>1.7798286886100001</v>
      </c>
      <c r="J1846" s="1">
        <v>0.76327415168599999</v>
      </c>
      <c r="K1846" s="1">
        <v>24183.356353399999</v>
      </c>
      <c r="L1846" s="1">
        <v>5680.1908275799997</v>
      </c>
      <c r="M1846" s="1" t="s">
        <v>198</v>
      </c>
      <c r="N1846" s="1" t="b">
        <v>1</v>
      </c>
    </row>
    <row r="1847" spans="1:14" ht="19" customHeight="1" x14ac:dyDescent="0.3">
      <c r="A1847">
        <v>1842</v>
      </c>
      <c r="B1847" s="1">
        <v>7</v>
      </c>
      <c r="C1847" s="1">
        <v>90</v>
      </c>
      <c r="D1847" s="1">
        <v>2.5000000000000001E-2</v>
      </c>
      <c r="E1847" s="1">
        <v>0.04</v>
      </c>
      <c r="F1847" s="1">
        <v>5</v>
      </c>
      <c r="G1847" s="1">
        <v>1</v>
      </c>
      <c r="H1847" s="1">
        <v>1.4698034744399999</v>
      </c>
      <c r="I1847" s="1">
        <v>1.33487151646</v>
      </c>
      <c r="J1847" s="1">
        <v>0.625884804382</v>
      </c>
      <c r="K1847" s="1">
        <v>20872.0406979</v>
      </c>
      <c r="L1847" s="1">
        <v>4657.7564786100002</v>
      </c>
      <c r="M1847" s="1" t="s">
        <v>198</v>
      </c>
      <c r="N1847" s="1" t="b">
        <v>1</v>
      </c>
    </row>
    <row r="1848" spans="1:14" ht="19" customHeight="1" x14ac:dyDescent="0.3">
      <c r="A1848">
        <v>1843</v>
      </c>
      <c r="B1848" s="1">
        <v>7</v>
      </c>
      <c r="C1848" s="1">
        <v>90</v>
      </c>
      <c r="D1848" s="1">
        <v>2.5000000000000001E-2</v>
      </c>
      <c r="E1848" s="1">
        <v>0.06</v>
      </c>
      <c r="F1848" s="1">
        <v>-5</v>
      </c>
      <c r="G1848" s="1">
        <v>0</v>
      </c>
      <c r="H1848" s="1">
        <v>1.51041848808</v>
      </c>
      <c r="I1848" s="1">
        <v>1.84075120907</v>
      </c>
      <c r="J1848" s="1">
        <v>0.76690883253099995</v>
      </c>
      <c r="K1848" s="1">
        <v>24938.9859899</v>
      </c>
      <c r="L1848" s="1">
        <v>5707.2396680900001</v>
      </c>
      <c r="M1848" s="1" t="s">
        <v>198</v>
      </c>
      <c r="N1848" s="1" t="b">
        <v>1</v>
      </c>
    </row>
    <row r="1849" spans="1:14" ht="19" customHeight="1" x14ac:dyDescent="0.3">
      <c r="A1849">
        <v>1844</v>
      </c>
      <c r="B1849" s="1">
        <v>7</v>
      </c>
      <c r="C1849" s="1">
        <v>90</v>
      </c>
      <c r="D1849" s="1">
        <v>2.5000000000000001E-2</v>
      </c>
      <c r="E1849" s="1">
        <v>0.06</v>
      </c>
      <c r="F1849" s="1">
        <v>-5</v>
      </c>
      <c r="G1849" s="1">
        <v>1</v>
      </c>
      <c r="H1849" s="1">
        <v>1.51041848808</v>
      </c>
      <c r="I1849" s="1">
        <v>1.3805634067999999</v>
      </c>
      <c r="J1849" s="1">
        <v>0.62886524267499999</v>
      </c>
      <c r="K1849" s="1">
        <v>21514.325888899999</v>
      </c>
      <c r="L1849" s="1">
        <v>4679.9365278300002</v>
      </c>
      <c r="M1849" s="1" t="s">
        <v>198</v>
      </c>
      <c r="N1849" s="1" t="b">
        <v>1</v>
      </c>
    </row>
    <row r="1850" spans="1:14" ht="19" customHeight="1" x14ac:dyDescent="0.3">
      <c r="A1850">
        <v>1845</v>
      </c>
      <c r="B1850" s="1">
        <v>7</v>
      </c>
      <c r="C1850" s="1">
        <v>90</v>
      </c>
      <c r="D1850" s="1">
        <v>2.5000000000000001E-2</v>
      </c>
      <c r="E1850" s="1">
        <v>0.06</v>
      </c>
      <c r="F1850" s="1">
        <v>0</v>
      </c>
      <c r="G1850" s="1">
        <v>0</v>
      </c>
      <c r="H1850" s="1">
        <v>1.54478811238</v>
      </c>
      <c r="I1850" s="1">
        <v>1.8826375657200001</v>
      </c>
      <c r="J1850" s="1">
        <v>0.759408832531</v>
      </c>
      <c r="K1850" s="1">
        <v>25506.473468200002</v>
      </c>
      <c r="L1850" s="1">
        <v>5651.4256055899996</v>
      </c>
      <c r="M1850" s="1" t="s">
        <v>198</v>
      </c>
      <c r="N1850" s="1" t="b">
        <v>1</v>
      </c>
    </row>
    <row r="1851" spans="1:14" ht="19" customHeight="1" x14ac:dyDescent="0.3">
      <c r="A1851">
        <v>1846</v>
      </c>
      <c r="B1851" s="1">
        <v>7</v>
      </c>
      <c r="C1851" s="1">
        <v>90</v>
      </c>
      <c r="D1851" s="1">
        <v>2.5000000000000001E-2</v>
      </c>
      <c r="E1851" s="1">
        <v>0.06</v>
      </c>
      <c r="F1851" s="1">
        <v>0</v>
      </c>
      <c r="G1851" s="1">
        <v>1</v>
      </c>
      <c r="H1851" s="1">
        <v>1.54478811238</v>
      </c>
      <c r="I1851" s="1">
        <v>1.4119781742899999</v>
      </c>
      <c r="J1851" s="1">
        <v>0.622715242675</v>
      </c>
      <c r="K1851" s="1">
        <v>22003.8851096</v>
      </c>
      <c r="L1851" s="1">
        <v>4634.1689965799997</v>
      </c>
      <c r="M1851" s="1" t="s">
        <v>198</v>
      </c>
      <c r="N1851" s="1" t="b">
        <v>1</v>
      </c>
    </row>
    <row r="1852" spans="1:14" ht="19" customHeight="1" x14ac:dyDescent="0.3">
      <c r="A1852">
        <v>1847</v>
      </c>
      <c r="B1852" s="1">
        <v>7</v>
      </c>
      <c r="C1852" s="1">
        <v>90</v>
      </c>
      <c r="D1852" s="1">
        <v>2.5000000000000001E-2</v>
      </c>
      <c r="E1852" s="1">
        <v>0.06</v>
      </c>
      <c r="F1852" s="1">
        <v>5</v>
      </c>
      <c r="G1852" s="1">
        <v>0</v>
      </c>
      <c r="H1852" s="1">
        <v>1.51041848808</v>
      </c>
      <c r="I1852" s="1">
        <v>1.84075120907</v>
      </c>
      <c r="J1852" s="1">
        <v>0.76690883253099995</v>
      </c>
      <c r="K1852" s="1">
        <v>24938.9859899</v>
      </c>
      <c r="L1852" s="1">
        <v>5707.2396680900001</v>
      </c>
      <c r="M1852" s="1" t="s">
        <v>198</v>
      </c>
      <c r="N1852" s="1" t="b">
        <v>1</v>
      </c>
    </row>
    <row r="1853" spans="1:14" ht="19" customHeight="1" x14ac:dyDescent="0.3">
      <c r="A1853">
        <v>1848</v>
      </c>
      <c r="B1853" s="1">
        <v>7</v>
      </c>
      <c r="C1853" s="1">
        <v>90</v>
      </c>
      <c r="D1853" s="1">
        <v>2.5000000000000001E-2</v>
      </c>
      <c r="E1853" s="1">
        <v>0.06</v>
      </c>
      <c r="F1853" s="1">
        <v>5</v>
      </c>
      <c r="G1853" s="1">
        <v>1</v>
      </c>
      <c r="H1853" s="1">
        <v>1.51041848808</v>
      </c>
      <c r="I1853" s="1">
        <v>1.3805634067999999</v>
      </c>
      <c r="J1853" s="1">
        <v>0.62886524267499999</v>
      </c>
      <c r="K1853" s="1">
        <v>21514.325888899999</v>
      </c>
      <c r="L1853" s="1">
        <v>4679.9365278300002</v>
      </c>
      <c r="M1853" s="1" t="s">
        <v>198</v>
      </c>
      <c r="N1853" s="1" t="b">
        <v>1</v>
      </c>
    </row>
    <row r="1854" spans="1:14" ht="19" customHeight="1" x14ac:dyDescent="0.3">
      <c r="A1854">
        <v>1849</v>
      </c>
      <c r="B1854" s="1">
        <v>7</v>
      </c>
      <c r="C1854" s="1">
        <v>90</v>
      </c>
      <c r="D1854" s="1">
        <v>2.5000000000000001E-2</v>
      </c>
      <c r="E1854" s="1">
        <v>8.5000000000000006E-2</v>
      </c>
      <c r="F1854" s="1">
        <v>-5</v>
      </c>
      <c r="G1854" s="1">
        <v>0</v>
      </c>
      <c r="H1854" s="1">
        <v>1.4065869791300001</v>
      </c>
      <c r="I1854" s="1">
        <v>1.6850039456499999</v>
      </c>
      <c r="J1854" s="1">
        <v>0.75761684016399999</v>
      </c>
      <c r="K1854" s="1">
        <v>23007.233213399999</v>
      </c>
      <c r="L1854" s="1">
        <v>5638.0898224000002</v>
      </c>
      <c r="M1854" s="1" t="s">
        <v>198</v>
      </c>
      <c r="N1854" s="1" t="b">
        <v>1</v>
      </c>
    </row>
    <row r="1855" spans="1:14" ht="19" customHeight="1" x14ac:dyDescent="0.3">
      <c r="A1855">
        <v>1850</v>
      </c>
      <c r="B1855" s="1">
        <v>7</v>
      </c>
      <c r="C1855" s="1">
        <v>90</v>
      </c>
      <c r="D1855" s="1">
        <v>2.5000000000000001E-2</v>
      </c>
      <c r="E1855" s="1">
        <v>8.5000000000000006E-2</v>
      </c>
      <c r="F1855" s="1">
        <v>-5</v>
      </c>
      <c r="G1855" s="1">
        <v>1</v>
      </c>
      <c r="H1855" s="1">
        <v>1.4065869791300001</v>
      </c>
      <c r="I1855" s="1">
        <v>1.2637529592400001</v>
      </c>
      <c r="J1855" s="1">
        <v>0.62124580893400005</v>
      </c>
      <c r="K1855" s="1">
        <v>19872.336028900001</v>
      </c>
      <c r="L1855" s="1">
        <v>4623.2336543600004</v>
      </c>
      <c r="M1855" s="1" t="s">
        <v>198</v>
      </c>
      <c r="N1855" s="1" t="b">
        <v>1</v>
      </c>
    </row>
    <row r="1856" spans="1:14" ht="19" customHeight="1" x14ac:dyDescent="0.3">
      <c r="A1856">
        <v>1851</v>
      </c>
      <c r="B1856" s="1">
        <v>7</v>
      </c>
      <c r="C1856" s="1">
        <v>90</v>
      </c>
      <c r="D1856" s="1">
        <v>2.5000000000000001E-2</v>
      </c>
      <c r="E1856" s="1">
        <v>8.5000000000000006E-2</v>
      </c>
      <c r="F1856" s="1">
        <v>0</v>
      </c>
      <c r="G1856" s="1">
        <v>0</v>
      </c>
      <c r="H1856" s="1">
        <v>1.4385939138999999</v>
      </c>
      <c r="I1856" s="1">
        <v>1.723346268</v>
      </c>
      <c r="J1856" s="1">
        <v>0.75011684016400004</v>
      </c>
      <c r="K1856" s="1">
        <v>23530.763591200001</v>
      </c>
      <c r="L1856" s="1">
        <v>5582.2757598999997</v>
      </c>
      <c r="M1856" s="1" t="s">
        <v>198</v>
      </c>
      <c r="N1856" s="1" t="b">
        <v>1</v>
      </c>
    </row>
    <row r="1857" spans="1:14" ht="19" customHeight="1" x14ac:dyDescent="0.3">
      <c r="A1857">
        <v>1852</v>
      </c>
      <c r="B1857" s="1">
        <v>7</v>
      </c>
      <c r="C1857" s="1">
        <v>90</v>
      </c>
      <c r="D1857" s="1">
        <v>2.5000000000000001E-2</v>
      </c>
      <c r="E1857" s="1">
        <v>8.5000000000000006E-2</v>
      </c>
      <c r="F1857" s="1">
        <v>0</v>
      </c>
      <c r="G1857" s="1">
        <v>1</v>
      </c>
      <c r="H1857" s="1">
        <v>1.4385939138999999</v>
      </c>
      <c r="I1857" s="1">
        <v>1.292509701</v>
      </c>
      <c r="J1857" s="1">
        <v>0.61509580893399995</v>
      </c>
      <c r="K1857" s="1">
        <v>20324.531714100001</v>
      </c>
      <c r="L1857" s="1">
        <v>4577.4661231099999</v>
      </c>
      <c r="M1857" s="1" t="s">
        <v>198</v>
      </c>
      <c r="N1857" s="1" t="b">
        <v>1</v>
      </c>
    </row>
    <row r="1858" spans="1:14" ht="19" customHeight="1" x14ac:dyDescent="0.3">
      <c r="A1858">
        <v>1853</v>
      </c>
      <c r="B1858" s="1">
        <v>7</v>
      </c>
      <c r="C1858" s="1">
        <v>90</v>
      </c>
      <c r="D1858" s="1">
        <v>2.5000000000000001E-2</v>
      </c>
      <c r="E1858" s="1">
        <v>8.5000000000000006E-2</v>
      </c>
      <c r="F1858" s="1">
        <v>5</v>
      </c>
      <c r="G1858" s="1">
        <v>0</v>
      </c>
      <c r="H1858" s="1">
        <v>1.4065869791300001</v>
      </c>
      <c r="I1858" s="1">
        <v>1.6850039456499999</v>
      </c>
      <c r="J1858" s="1">
        <v>0.75761684016399999</v>
      </c>
      <c r="K1858" s="1">
        <v>23007.233213399999</v>
      </c>
      <c r="L1858" s="1">
        <v>5638.0898224000002</v>
      </c>
      <c r="M1858" s="1" t="s">
        <v>198</v>
      </c>
      <c r="N1858" s="1" t="b">
        <v>1</v>
      </c>
    </row>
    <row r="1859" spans="1:14" ht="19" customHeight="1" x14ac:dyDescent="0.3">
      <c r="A1859">
        <v>1854</v>
      </c>
      <c r="B1859" s="1">
        <v>7</v>
      </c>
      <c r="C1859" s="1">
        <v>90</v>
      </c>
      <c r="D1859" s="1">
        <v>2.5000000000000001E-2</v>
      </c>
      <c r="E1859" s="1">
        <v>8.5000000000000006E-2</v>
      </c>
      <c r="F1859" s="1">
        <v>5</v>
      </c>
      <c r="G1859" s="1">
        <v>1</v>
      </c>
      <c r="H1859" s="1">
        <v>1.4065869791300001</v>
      </c>
      <c r="I1859" s="1">
        <v>1.2637529592400001</v>
      </c>
      <c r="J1859" s="1">
        <v>0.62124580893400005</v>
      </c>
      <c r="K1859" s="1">
        <v>19872.336028900001</v>
      </c>
      <c r="L1859" s="1">
        <v>4623.2336543600004</v>
      </c>
      <c r="M1859" s="1" t="s">
        <v>198</v>
      </c>
      <c r="N1859" s="1" t="b">
        <v>1</v>
      </c>
    </row>
    <row r="1860" spans="1:14" ht="19" customHeight="1" x14ac:dyDescent="0.3">
      <c r="A1860">
        <v>1855</v>
      </c>
      <c r="B1860" s="1">
        <v>7</v>
      </c>
      <c r="C1860" s="1">
        <v>90</v>
      </c>
      <c r="D1860" s="1">
        <v>0.04</v>
      </c>
      <c r="E1860" s="1">
        <v>0.04</v>
      </c>
      <c r="F1860" s="1">
        <v>-5</v>
      </c>
      <c r="G1860" s="1">
        <v>0</v>
      </c>
      <c r="H1860" s="1">
        <v>1.4757922878900001</v>
      </c>
      <c r="I1860" s="1">
        <v>1.7888119087900001</v>
      </c>
      <c r="J1860" s="1">
        <v>0.76381009698299995</v>
      </c>
      <c r="K1860" s="1">
        <v>24294.7763562</v>
      </c>
      <c r="L1860" s="1">
        <v>5684.1792654800001</v>
      </c>
      <c r="M1860" s="1" t="s">
        <v>198</v>
      </c>
      <c r="N1860" s="1" t="b">
        <v>1</v>
      </c>
    </row>
    <row r="1861" spans="1:14" ht="19" customHeight="1" x14ac:dyDescent="0.3">
      <c r="A1861">
        <v>1856</v>
      </c>
      <c r="B1861" s="1">
        <v>7</v>
      </c>
      <c r="C1861" s="1">
        <v>90</v>
      </c>
      <c r="D1861" s="1">
        <v>0.04</v>
      </c>
      <c r="E1861" s="1">
        <v>0.04</v>
      </c>
      <c r="F1861" s="1">
        <v>-5</v>
      </c>
      <c r="G1861" s="1">
        <v>1</v>
      </c>
      <c r="H1861" s="1">
        <v>1.4757922878900001</v>
      </c>
      <c r="I1861" s="1">
        <v>1.3416089315999999</v>
      </c>
      <c r="J1861" s="1">
        <v>0.62632427952600001</v>
      </c>
      <c r="K1861" s="1">
        <v>20966.747700299999</v>
      </c>
      <c r="L1861" s="1">
        <v>4661.0269976999998</v>
      </c>
      <c r="M1861" s="1" t="s">
        <v>198</v>
      </c>
      <c r="N1861" s="1" t="b">
        <v>1</v>
      </c>
    </row>
    <row r="1862" spans="1:14" ht="19" customHeight="1" x14ac:dyDescent="0.3">
      <c r="A1862">
        <v>1857</v>
      </c>
      <c r="B1862" s="1">
        <v>7</v>
      </c>
      <c r="C1862" s="1">
        <v>90</v>
      </c>
      <c r="D1862" s="1">
        <v>0.04</v>
      </c>
      <c r="E1862" s="1">
        <v>0.04</v>
      </c>
      <c r="F1862" s="1">
        <v>0</v>
      </c>
      <c r="G1862" s="1">
        <v>0</v>
      </c>
      <c r="H1862" s="1">
        <v>1.50937399183</v>
      </c>
      <c r="I1862" s="1">
        <v>1.82951638489</v>
      </c>
      <c r="J1862" s="1">
        <v>0.756310096983</v>
      </c>
      <c r="K1862" s="1">
        <v>24847.604822199999</v>
      </c>
      <c r="L1862" s="1">
        <v>5628.3652029799996</v>
      </c>
      <c r="M1862" s="1" t="s">
        <v>198</v>
      </c>
      <c r="N1862" s="1" t="b">
        <v>1</v>
      </c>
    </row>
    <row r="1863" spans="1:14" ht="19" customHeight="1" x14ac:dyDescent="0.3">
      <c r="A1863">
        <v>1858</v>
      </c>
      <c r="B1863" s="1">
        <v>7</v>
      </c>
      <c r="C1863" s="1">
        <v>90</v>
      </c>
      <c r="D1863" s="1">
        <v>0.04</v>
      </c>
      <c r="E1863" s="1">
        <v>0.04</v>
      </c>
      <c r="F1863" s="1">
        <v>0</v>
      </c>
      <c r="G1863" s="1">
        <v>1</v>
      </c>
      <c r="H1863" s="1">
        <v>1.50937399183</v>
      </c>
      <c r="I1863" s="1">
        <v>1.3721372886700001</v>
      </c>
      <c r="J1863" s="1">
        <v>0.62017427952600002</v>
      </c>
      <c r="K1863" s="1">
        <v>21443.846760500001</v>
      </c>
      <c r="L1863" s="1">
        <v>4615.2594664500002</v>
      </c>
      <c r="M1863" s="1" t="s">
        <v>198</v>
      </c>
      <c r="N1863" s="1" t="b">
        <v>1</v>
      </c>
    </row>
    <row r="1864" spans="1:14" ht="19" customHeight="1" x14ac:dyDescent="0.3">
      <c r="A1864">
        <v>1859</v>
      </c>
      <c r="B1864" s="1">
        <v>7</v>
      </c>
      <c r="C1864" s="1">
        <v>90</v>
      </c>
      <c r="D1864" s="1">
        <v>0.04</v>
      </c>
      <c r="E1864" s="1">
        <v>0.04</v>
      </c>
      <c r="F1864" s="1">
        <v>5</v>
      </c>
      <c r="G1864" s="1">
        <v>0</v>
      </c>
      <c r="H1864" s="1">
        <v>1.4757922878900001</v>
      </c>
      <c r="I1864" s="1">
        <v>1.7888119087900001</v>
      </c>
      <c r="J1864" s="1">
        <v>0.76381009698299995</v>
      </c>
      <c r="K1864" s="1">
        <v>24294.7763562</v>
      </c>
      <c r="L1864" s="1">
        <v>5684.1792654800001</v>
      </c>
      <c r="M1864" s="1" t="s">
        <v>198</v>
      </c>
      <c r="N1864" s="1" t="b">
        <v>1</v>
      </c>
    </row>
    <row r="1865" spans="1:14" ht="19" customHeight="1" x14ac:dyDescent="0.3">
      <c r="A1865">
        <v>1860</v>
      </c>
      <c r="B1865" s="1">
        <v>7</v>
      </c>
      <c r="C1865" s="1">
        <v>90</v>
      </c>
      <c r="D1865" s="1">
        <v>0.04</v>
      </c>
      <c r="E1865" s="1">
        <v>0.04</v>
      </c>
      <c r="F1865" s="1">
        <v>5</v>
      </c>
      <c r="G1865" s="1">
        <v>1</v>
      </c>
      <c r="H1865" s="1">
        <v>1.4757922878900001</v>
      </c>
      <c r="I1865" s="1">
        <v>1.3416089315999999</v>
      </c>
      <c r="J1865" s="1">
        <v>0.62632427952600001</v>
      </c>
      <c r="K1865" s="1">
        <v>20966.747700299999</v>
      </c>
      <c r="L1865" s="1">
        <v>4661.0269976999998</v>
      </c>
      <c r="M1865" s="1" t="s">
        <v>198</v>
      </c>
      <c r="N1865" s="1" t="b">
        <v>1</v>
      </c>
    </row>
    <row r="1866" spans="1:14" ht="19" customHeight="1" x14ac:dyDescent="0.3">
      <c r="A1866">
        <v>1861</v>
      </c>
      <c r="B1866" s="1">
        <v>7</v>
      </c>
      <c r="C1866" s="1">
        <v>90</v>
      </c>
      <c r="D1866" s="1">
        <v>0.04</v>
      </c>
      <c r="E1866" s="1">
        <v>0.06</v>
      </c>
      <c r="F1866" s="1">
        <v>-5</v>
      </c>
      <c r="G1866" s="1">
        <v>0</v>
      </c>
      <c r="H1866" s="1">
        <v>1.5169881034499999</v>
      </c>
      <c r="I1866" s="1">
        <v>1.85060563213</v>
      </c>
      <c r="J1866" s="1">
        <v>0.76749675440999998</v>
      </c>
      <c r="K1866" s="1">
        <v>25061.211630999998</v>
      </c>
      <c r="L1866" s="1">
        <v>5711.6149092300002</v>
      </c>
      <c r="M1866" s="1" t="s">
        <v>198</v>
      </c>
      <c r="N1866" s="1" t="b">
        <v>1</v>
      </c>
    </row>
    <row r="1867" spans="1:14" ht="19" customHeight="1" x14ac:dyDescent="0.3">
      <c r="A1867">
        <v>1862</v>
      </c>
      <c r="B1867" s="1">
        <v>7</v>
      </c>
      <c r="C1867" s="1">
        <v>90</v>
      </c>
      <c r="D1867" s="1">
        <v>0.04</v>
      </c>
      <c r="E1867" s="1">
        <v>0.06</v>
      </c>
      <c r="F1867" s="1">
        <v>-5</v>
      </c>
      <c r="G1867" s="1">
        <v>1</v>
      </c>
      <c r="H1867" s="1">
        <v>1.5169881034499999</v>
      </c>
      <c r="I1867" s="1">
        <v>1.3879542241</v>
      </c>
      <c r="J1867" s="1">
        <v>0.62934733861699999</v>
      </c>
      <c r="K1867" s="1">
        <v>21618.217683800001</v>
      </c>
      <c r="L1867" s="1">
        <v>4683.5242255700005</v>
      </c>
      <c r="M1867" s="1" t="s">
        <v>198</v>
      </c>
      <c r="N1867" s="1" t="b">
        <v>1</v>
      </c>
    </row>
    <row r="1868" spans="1:14" ht="19" customHeight="1" x14ac:dyDescent="0.3">
      <c r="A1868">
        <v>1863</v>
      </c>
      <c r="B1868" s="1">
        <v>7</v>
      </c>
      <c r="C1868" s="1">
        <v>90</v>
      </c>
      <c r="D1868" s="1">
        <v>0.04</v>
      </c>
      <c r="E1868" s="1">
        <v>0.06</v>
      </c>
      <c r="F1868" s="1">
        <v>0</v>
      </c>
      <c r="G1868" s="1">
        <v>0</v>
      </c>
      <c r="H1868" s="1">
        <v>1.5515072195699999</v>
      </c>
      <c r="I1868" s="1">
        <v>1.8927162265099999</v>
      </c>
      <c r="J1868" s="1">
        <v>0.75999675441000003</v>
      </c>
      <c r="K1868" s="1">
        <v>25631.480357799999</v>
      </c>
      <c r="L1868" s="1">
        <v>5655.8008467299996</v>
      </c>
      <c r="M1868" s="1" t="s">
        <v>198</v>
      </c>
      <c r="N1868" s="1" t="b">
        <v>1</v>
      </c>
    </row>
    <row r="1869" spans="1:14" ht="19" customHeight="1" x14ac:dyDescent="0.3">
      <c r="A1869">
        <v>1864</v>
      </c>
      <c r="B1869" s="1">
        <v>7</v>
      </c>
      <c r="C1869" s="1">
        <v>90</v>
      </c>
      <c r="D1869" s="1">
        <v>0.04</v>
      </c>
      <c r="E1869" s="1">
        <v>0.06</v>
      </c>
      <c r="F1869" s="1">
        <v>0</v>
      </c>
      <c r="G1869" s="1">
        <v>1</v>
      </c>
      <c r="H1869" s="1">
        <v>1.5515072195699999</v>
      </c>
      <c r="I1869" s="1">
        <v>1.4195371698799999</v>
      </c>
      <c r="J1869" s="1">
        <v>0.623197338617</v>
      </c>
      <c r="K1869" s="1">
        <v>22110.140965800001</v>
      </c>
      <c r="L1869" s="1">
        <v>4637.75669432</v>
      </c>
      <c r="M1869" s="1" t="s">
        <v>198</v>
      </c>
      <c r="N1869" s="1" t="b">
        <v>1</v>
      </c>
    </row>
    <row r="1870" spans="1:14" ht="19" customHeight="1" x14ac:dyDescent="0.3">
      <c r="A1870">
        <v>1865</v>
      </c>
      <c r="B1870" s="1">
        <v>7</v>
      </c>
      <c r="C1870" s="1">
        <v>90</v>
      </c>
      <c r="D1870" s="1">
        <v>0.04</v>
      </c>
      <c r="E1870" s="1">
        <v>0.06</v>
      </c>
      <c r="F1870" s="1">
        <v>5</v>
      </c>
      <c r="G1870" s="1">
        <v>0</v>
      </c>
      <c r="H1870" s="1">
        <v>1.5169881034499999</v>
      </c>
      <c r="I1870" s="1">
        <v>1.85060563213</v>
      </c>
      <c r="J1870" s="1">
        <v>0.76749675440999998</v>
      </c>
      <c r="K1870" s="1">
        <v>25061.211630999998</v>
      </c>
      <c r="L1870" s="1">
        <v>5711.6149092300002</v>
      </c>
      <c r="M1870" s="1" t="s">
        <v>198</v>
      </c>
      <c r="N1870" s="1" t="b">
        <v>1</v>
      </c>
    </row>
    <row r="1871" spans="1:14" ht="19" customHeight="1" x14ac:dyDescent="0.3">
      <c r="A1871">
        <v>1866</v>
      </c>
      <c r="B1871" s="1">
        <v>7</v>
      </c>
      <c r="C1871" s="1">
        <v>90</v>
      </c>
      <c r="D1871" s="1">
        <v>0.04</v>
      </c>
      <c r="E1871" s="1">
        <v>0.06</v>
      </c>
      <c r="F1871" s="1">
        <v>5</v>
      </c>
      <c r="G1871" s="1">
        <v>1</v>
      </c>
      <c r="H1871" s="1">
        <v>1.5169881034499999</v>
      </c>
      <c r="I1871" s="1">
        <v>1.3879542241</v>
      </c>
      <c r="J1871" s="1">
        <v>0.62934733861699999</v>
      </c>
      <c r="K1871" s="1">
        <v>21618.217683800001</v>
      </c>
      <c r="L1871" s="1">
        <v>4683.5242255700005</v>
      </c>
      <c r="M1871" s="1" t="s">
        <v>198</v>
      </c>
      <c r="N1871" s="1" t="b">
        <v>1</v>
      </c>
    </row>
    <row r="1872" spans="1:14" ht="19" customHeight="1" x14ac:dyDescent="0.3">
      <c r="A1872">
        <v>1867</v>
      </c>
      <c r="B1872" s="1">
        <v>7</v>
      </c>
      <c r="C1872" s="1">
        <v>90</v>
      </c>
      <c r="D1872" s="1">
        <v>0.04</v>
      </c>
      <c r="E1872" s="1">
        <v>8.5000000000000006E-2</v>
      </c>
      <c r="F1872" s="1">
        <v>-5</v>
      </c>
      <c r="G1872" s="1">
        <v>0</v>
      </c>
      <c r="H1872" s="1">
        <v>1.4116717854600001</v>
      </c>
      <c r="I1872" s="1">
        <v>1.69263115514</v>
      </c>
      <c r="J1872" s="1">
        <v>0.75807188489999999</v>
      </c>
      <c r="K1872" s="1">
        <v>23101.834446000001</v>
      </c>
      <c r="L1872" s="1">
        <v>5641.4762084399999</v>
      </c>
      <c r="M1872" s="1" t="s">
        <v>198</v>
      </c>
      <c r="N1872" s="1" t="b">
        <v>1</v>
      </c>
    </row>
    <row r="1873" spans="1:14" ht="19" customHeight="1" x14ac:dyDescent="0.3">
      <c r="A1873">
        <v>1868</v>
      </c>
      <c r="B1873" s="1">
        <v>7</v>
      </c>
      <c r="C1873" s="1">
        <v>90</v>
      </c>
      <c r="D1873" s="1">
        <v>0.04</v>
      </c>
      <c r="E1873" s="1">
        <v>8.5000000000000006E-2</v>
      </c>
      <c r="F1873" s="1">
        <v>-5</v>
      </c>
      <c r="G1873" s="1">
        <v>1</v>
      </c>
      <c r="H1873" s="1">
        <v>1.4116717854600001</v>
      </c>
      <c r="I1873" s="1">
        <v>1.26947336635</v>
      </c>
      <c r="J1873" s="1">
        <v>0.62161894561800002</v>
      </c>
      <c r="K1873" s="1">
        <v>19952.747076600001</v>
      </c>
      <c r="L1873" s="1">
        <v>4626.0104909199999</v>
      </c>
      <c r="M1873" s="1" t="s">
        <v>198</v>
      </c>
      <c r="N1873" s="1" t="b">
        <v>1</v>
      </c>
    </row>
    <row r="1874" spans="1:14" ht="19" customHeight="1" x14ac:dyDescent="0.3">
      <c r="A1874">
        <v>1869</v>
      </c>
      <c r="B1874" s="1">
        <v>7</v>
      </c>
      <c r="C1874" s="1">
        <v>90</v>
      </c>
      <c r="D1874" s="1">
        <v>0.04</v>
      </c>
      <c r="E1874" s="1">
        <v>8.5000000000000006E-2</v>
      </c>
      <c r="F1874" s="1">
        <v>0</v>
      </c>
      <c r="G1874" s="1">
        <v>0</v>
      </c>
      <c r="H1874" s="1">
        <v>1.4437944251599999</v>
      </c>
      <c r="I1874" s="1">
        <v>1.7311470349</v>
      </c>
      <c r="J1874" s="1">
        <v>0.75057188490000004</v>
      </c>
      <c r="K1874" s="1">
        <v>23627.517478099999</v>
      </c>
      <c r="L1874" s="1">
        <v>5585.6621459400003</v>
      </c>
      <c r="M1874" s="1" t="s">
        <v>198</v>
      </c>
      <c r="N1874" s="1" t="b">
        <v>1</v>
      </c>
    </row>
    <row r="1875" spans="1:14" ht="19" customHeight="1" x14ac:dyDescent="0.3">
      <c r="A1875">
        <v>1870</v>
      </c>
      <c r="B1875" s="1">
        <v>7</v>
      </c>
      <c r="C1875" s="1">
        <v>90</v>
      </c>
      <c r="D1875" s="1">
        <v>0.04</v>
      </c>
      <c r="E1875" s="1">
        <v>8.5000000000000006E-2</v>
      </c>
      <c r="F1875" s="1">
        <v>0</v>
      </c>
      <c r="G1875" s="1">
        <v>1</v>
      </c>
      <c r="H1875" s="1">
        <v>1.4437944251599999</v>
      </c>
      <c r="I1875" s="1">
        <v>1.2983602761699999</v>
      </c>
      <c r="J1875" s="1">
        <v>0.61546894561800003</v>
      </c>
      <c r="K1875" s="1">
        <v>20406.772518000002</v>
      </c>
      <c r="L1875" s="1">
        <v>4580.2429596700003</v>
      </c>
      <c r="M1875" s="1" t="s">
        <v>198</v>
      </c>
      <c r="N1875" s="1" t="b">
        <v>1</v>
      </c>
    </row>
    <row r="1876" spans="1:14" ht="19" customHeight="1" x14ac:dyDescent="0.3">
      <c r="A1876">
        <v>1871</v>
      </c>
      <c r="B1876" s="1">
        <v>7</v>
      </c>
      <c r="C1876" s="1">
        <v>90</v>
      </c>
      <c r="D1876" s="1">
        <v>0.04</v>
      </c>
      <c r="E1876" s="1">
        <v>8.5000000000000006E-2</v>
      </c>
      <c r="F1876" s="1">
        <v>5</v>
      </c>
      <c r="G1876" s="1">
        <v>0</v>
      </c>
      <c r="H1876" s="1">
        <v>1.4116717854600001</v>
      </c>
      <c r="I1876" s="1">
        <v>1.69263115514</v>
      </c>
      <c r="J1876" s="1">
        <v>0.75807188489999999</v>
      </c>
      <c r="K1876" s="1">
        <v>23101.834446000001</v>
      </c>
      <c r="L1876" s="1">
        <v>5641.4762084399999</v>
      </c>
      <c r="M1876" s="1" t="s">
        <v>198</v>
      </c>
      <c r="N1876" s="1" t="b">
        <v>1</v>
      </c>
    </row>
    <row r="1877" spans="1:14" ht="19" customHeight="1" x14ac:dyDescent="0.3">
      <c r="A1877">
        <v>1872</v>
      </c>
      <c r="B1877" s="1">
        <v>7</v>
      </c>
      <c r="C1877" s="1">
        <v>90</v>
      </c>
      <c r="D1877" s="1">
        <v>0.04</v>
      </c>
      <c r="E1877" s="1">
        <v>8.5000000000000006E-2</v>
      </c>
      <c r="F1877" s="1">
        <v>5</v>
      </c>
      <c r="G1877" s="1">
        <v>1</v>
      </c>
      <c r="H1877" s="1">
        <v>1.4116717854600001</v>
      </c>
      <c r="I1877" s="1">
        <v>1.26947336635</v>
      </c>
      <c r="J1877" s="1">
        <v>0.62161894561800002</v>
      </c>
      <c r="K1877" s="1">
        <v>19952.747076600001</v>
      </c>
      <c r="L1877" s="1">
        <v>4626.0104909199999</v>
      </c>
      <c r="M1877" s="1" t="s">
        <v>198</v>
      </c>
      <c r="N1877" s="1" t="b">
        <v>1</v>
      </c>
    </row>
    <row r="1878" spans="1:14" ht="19" customHeight="1" x14ac:dyDescent="0.3">
      <c r="A1878">
        <v>1873</v>
      </c>
      <c r="B1878" s="1">
        <v>7</v>
      </c>
      <c r="C1878" s="1">
        <v>90</v>
      </c>
      <c r="D1878" s="1">
        <v>5.5E-2</v>
      </c>
      <c r="E1878" s="1">
        <v>0.04</v>
      </c>
      <c r="F1878" s="1">
        <v>-5</v>
      </c>
      <c r="G1878" s="1">
        <v>0</v>
      </c>
      <c r="H1878" s="1">
        <v>1.33590718583</v>
      </c>
      <c r="I1878" s="1">
        <v>1.5789842557</v>
      </c>
      <c r="J1878" s="1">
        <v>0.75129163015300005</v>
      </c>
      <c r="K1878" s="1">
        <v>21692.257746399999</v>
      </c>
      <c r="L1878" s="1">
        <v>5591.0184001400003</v>
      </c>
      <c r="M1878" s="1" t="s">
        <v>198</v>
      </c>
      <c r="N1878" s="1" t="b">
        <v>1</v>
      </c>
    </row>
    <row r="1879" spans="1:14" ht="19" customHeight="1" x14ac:dyDescent="0.3">
      <c r="A1879">
        <v>1874</v>
      </c>
      <c r="B1879" s="1">
        <v>7</v>
      </c>
      <c r="C1879" s="1">
        <v>90</v>
      </c>
      <c r="D1879" s="1">
        <v>5.5E-2</v>
      </c>
      <c r="E1879" s="1">
        <v>0.04</v>
      </c>
      <c r="F1879" s="1">
        <v>-5</v>
      </c>
      <c r="G1879" s="1">
        <v>1</v>
      </c>
      <c r="H1879" s="1">
        <v>1.33590718583</v>
      </c>
      <c r="I1879" s="1">
        <v>1.18423819177</v>
      </c>
      <c r="J1879" s="1">
        <v>0.61605913672500001</v>
      </c>
      <c r="K1879" s="1">
        <v>18754.606882</v>
      </c>
      <c r="L1879" s="1">
        <v>4584.6350881199996</v>
      </c>
      <c r="M1879" s="1" t="s">
        <v>198</v>
      </c>
      <c r="N1879" s="1" t="b">
        <v>1</v>
      </c>
    </row>
    <row r="1880" spans="1:14" ht="19" customHeight="1" x14ac:dyDescent="0.3">
      <c r="A1880">
        <v>1875</v>
      </c>
      <c r="B1880" s="1">
        <v>7</v>
      </c>
      <c r="C1880" s="1">
        <v>90</v>
      </c>
      <c r="D1880" s="1">
        <v>5.5E-2</v>
      </c>
      <c r="E1880" s="1">
        <v>0.04</v>
      </c>
      <c r="F1880" s="1">
        <v>0</v>
      </c>
      <c r="G1880" s="1">
        <v>0</v>
      </c>
      <c r="H1880" s="1">
        <v>1.3663057994900001</v>
      </c>
      <c r="I1880" s="1">
        <v>1.6149140963799999</v>
      </c>
      <c r="J1880" s="1">
        <v>0.74379163015299998</v>
      </c>
      <c r="K1880" s="1">
        <v>22185.865812600001</v>
      </c>
      <c r="L1880" s="1">
        <v>5535.2043376399997</v>
      </c>
      <c r="M1880" s="1" t="s">
        <v>198</v>
      </c>
      <c r="N1880" s="1" t="b">
        <v>1</v>
      </c>
    </row>
    <row r="1881" spans="1:14" ht="19" customHeight="1" x14ac:dyDescent="0.3">
      <c r="A1881">
        <v>1876</v>
      </c>
      <c r="B1881" s="1">
        <v>7</v>
      </c>
      <c r="C1881" s="1">
        <v>90</v>
      </c>
      <c r="D1881" s="1">
        <v>5.5E-2</v>
      </c>
      <c r="E1881" s="1">
        <v>0.04</v>
      </c>
      <c r="F1881" s="1">
        <v>0</v>
      </c>
      <c r="G1881" s="1">
        <v>1</v>
      </c>
      <c r="H1881" s="1">
        <v>1.3663057994900001</v>
      </c>
      <c r="I1881" s="1">
        <v>1.21118557229</v>
      </c>
      <c r="J1881" s="1">
        <v>0.60990913672500002</v>
      </c>
      <c r="K1881" s="1">
        <v>19181.368602300001</v>
      </c>
      <c r="L1881" s="1">
        <v>4538.86755687</v>
      </c>
      <c r="M1881" s="1" t="s">
        <v>198</v>
      </c>
      <c r="N1881" s="1" t="b">
        <v>1</v>
      </c>
    </row>
    <row r="1882" spans="1:14" ht="19" customHeight="1" x14ac:dyDescent="0.3">
      <c r="A1882">
        <v>1877</v>
      </c>
      <c r="B1882" s="1">
        <v>7</v>
      </c>
      <c r="C1882" s="1">
        <v>90</v>
      </c>
      <c r="D1882" s="1">
        <v>5.5E-2</v>
      </c>
      <c r="E1882" s="1">
        <v>0.04</v>
      </c>
      <c r="F1882" s="1">
        <v>5</v>
      </c>
      <c r="G1882" s="1">
        <v>0</v>
      </c>
      <c r="H1882" s="1">
        <v>1.33590718583</v>
      </c>
      <c r="I1882" s="1">
        <v>1.5789842557</v>
      </c>
      <c r="J1882" s="1">
        <v>0.75129163015300005</v>
      </c>
      <c r="K1882" s="1">
        <v>21692.257746399999</v>
      </c>
      <c r="L1882" s="1">
        <v>5591.0184001400003</v>
      </c>
      <c r="M1882" s="1" t="s">
        <v>198</v>
      </c>
      <c r="N1882" s="1" t="b">
        <v>1</v>
      </c>
    </row>
    <row r="1883" spans="1:14" ht="19" customHeight="1" x14ac:dyDescent="0.3">
      <c r="A1883">
        <v>1878</v>
      </c>
      <c r="B1883" s="1">
        <v>7</v>
      </c>
      <c r="C1883" s="1">
        <v>90</v>
      </c>
      <c r="D1883" s="1">
        <v>5.5E-2</v>
      </c>
      <c r="E1883" s="1">
        <v>0.04</v>
      </c>
      <c r="F1883" s="1">
        <v>5</v>
      </c>
      <c r="G1883" s="1">
        <v>1</v>
      </c>
      <c r="H1883" s="1">
        <v>1.33590718583</v>
      </c>
      <c r="I1883" s="1">
        <v>1.18423819177</v>
      </c>
      <c r="J1883" s="1">
        <v>0.61605913672500001</v>
      </c>
      <c r="K1883" s="1">
        <v>18754.606882</v>
      </c>
      <c r="L1883" s="1">
        <v>4584.6350881199996</v>
      </c>
      <c r="M1883" s="1" t="s">
        <v>198</v>
      </c>
      <c r="N1883" s="1" t="b">
        <v>1</v>
      </c>
    </row>
    <row r="1884" spans="1:14" ht="19" customHeight="1" x14ac:dyDescent="0.3">
      <c r="A1884">
        <v>1879</v>
      </c>
      <c r="B1884" s="1">
        <v>7</v>
      </c>
      <c r="C1884" s="1">
        <v>90</v>
      </c>
      <c r="D1884" s="1">
        <v>5.5E-2</v>
      </c>
      <c r="E1884" s="1">
        <v>0.06</v>
      </c>
      <c r="F1884" s="1">
        <v>-5</v>
      </c>
      <c r="G1884" s="1">
        <v>0</v>
      </c>
      <c r="H1884" s="1">
        <v>1.36353678554</v>
      </c>
      <c r="I1884" s="1">
        <v>1.62042865526</v>
      </c>
      <c r="J1884" s="1">
        <v>0.75376423247000002</v>
      </c>
      <c r="K1884" s="1">
        <v>22206.297814699999</v>
      </c>
      <c r="L1884" s="1">
        <v>5609.4191975100002</v>
      </c>
      <c r="M1884" s="1" t="s">
        <v>198</v>
      </c>
      <c r="N1884" s="1" t="b">
        <v>1</v>
      </c>
    </row>
    <row r="1885" spans="1:14" ht="19" customHeight="1" x14ac:dyDescent="0.3">
      <c r="A1885">
        <v>1880</v>
      </c>
      <c r="B1885" s="1">
        <v>7</v>
      </c>
      <c r="C1885" s="1">
        <v>90</v>
      </c>
      <c r="D1885" s="1">
        <v>5.5E-2</v>
      </c>
      <c r="E1885" s="1">
        <v>0.06</v>
      </c>
      <c r="F1885" s="1">
        <v>-5</v>
      </c>
      <c r="G1885" s="1">
        <v>1</v>
      </c>
      <c r="H1885" s="1">
        <v>1.36353678554</v>
      </c>
      <c r="I1885" s="1">
        <v>1.2153214914399999</v>
      </c>
      <c r="J1885" s="1">
        <v>0.618086670625</v>
      </c>
      <c r="K1885" s="1">
        <v>19191.540939999999</v>
      </c>
      <c r="L1885" s="1">
        <v>4599.7237419599996</v>
      </c>
      <c r="M1885" s="1" t="s">
        <v>198</v>
      </c>
      <c r="N1885" s="1" t="b">
        <v>1</v>
      </c>
    </row>
    <row r="1886" spans="1:14" ht="19" customHeight="1" x14ac:dyDescent="0.3">
      <c r="A1886">
        <v>1881</v>
      </c>
      <c r="B1886" s="1">
        <v>7</v>
      </c>
      <c r="C1886" s="1">
        <v>90</v>
      </c>
      <c r="D1886" s="1">
        <v>5.5E-2</v>
      </c>
      <c r="E1886" s="1">
        <v>0.06</v>
      </c>
      <c r="F1886" s="1">
        <v>0</v>
      </c>
      <c r="G1886" s="1">
        <v>0</v>
      </c>
      <c r="H1886" s="1">
        <v>1.3945641116800001</v>
      </c>
      <c r="I1886" s="1">
        <v>1.65730156467</v>
      </c>
      <c r="J1886" s="1">
        <v>0.74626423246999996</v>
      </c>
      <c r="K1886" s="1">
        <v>22711.6028802</v>
      </c>
      <c r="L1886" s="1">
        <v>5553.6051350099997</v>
      </c>
      <c r="M1886" s="1" t="s">
        <v>198</v>
      </c>
      <c r="N1886" s="1" t="b">
        <v>1</v>
      </c>
    </row>
    <row r="1887" spans="1:14" ht="19" customHeight="1" x14ac:dyDescent="0.3">
      <c r="A1887">
        <v>1882</v>
      </c>
      <c r="B1887" s="1">
        <v>7</v>
      </c>
      <c r="C1887" s="1">
        <v>90</v>
      </c>
      <c r="D1887" s="1">
        <v>5.5E-2</v>
      </c>
      <c r="E1887" s="1">
        <v>0.06</v>
      </c>
      <c r="F1887" s="1">
        <v>0</v>
      </c>
      <c r="G1887" s="1">
        <v>1</v>
      </c>
      <c r="H1887" s="1">
        <v>1.3945641116800001</v>
      </c>
      <c r="I1887" s="1">
        <v>1.2429761735</v>
      </c>
      <c r="J1887" s="1">
        <v>0.61193667062500001</v>
      </c>
      <c r="K1887" s="1">
        <v>19628.245109799998</v>
      </c>
      <c r="L1887" s="1">
        <v>4553.9562107100001</v>
      </c>
      <c r="M1887" s="1" t="s">
        <v>198</v>
      </c>
      <c r="N1887" s="1" t="b">
        <v>1</v>
      </c>
    </row>
    <row r="1888" spans="1:14" ht="19" customHeight="1" x14ac:dyDescent="0.3">
      <c r="A1888">
        <v>1883</v>
      </c>
      <c r="B1888" s="1">
        <v>7</v>
      </c>
      <c r="C1888" s="1">
        <v>90</v>
      </c>
      <c r="D1888" s="1">
        <v>5.5E-2</v>
      </c>
      <c r="E1888" s="1">
        <v>0.06</v>
      </c>
      <c r="F1888" s="1">
        <v>5</v>
      </c>
      <c r="G1888" s="1">
        <v>0</v>
      </c>
      <c r="H1888" s="1">
        <v>1.36353678554</v>
      </c>
      <c r="I1888" s="1">
        <v>1.62042865526</v>
      </c>
      <c r="J1888" s="1">
        <v>0.75376423247000002</v>
      </c>
      <c r="K1888" s="1">
        <v>22206.297814699999</v>
      </c>
      <c r="L1888" s="1">
        <v>5609.4191975100002</v>
      </c>
      <c r="M1888" s="1" t="s">
        <v>198</v>
      </c>
      <c r="N1888" s="1" t="b">
        <v>1</v>
      </c>
    </row>
    <row r="1889" spans="1:14" ht="19" customHeight="1" x14ac:dyDescent="0.3">
      <c r="A1889">
        <v>1884</v>
      </c>
      <c r="B1889" s="1">
        <v>7</v>
      </c>
      <c r="C1889" s="1">
        <v>90</v>
      </c>
      <c r="D1889" s="1">
        <v>5.5E-2</v>
      </c>
      <c r="E1889" s="1">
        <v>0.06</v>
      </c>
      <c r="F1889" s="1">
        <v>5</v>
      </c>
      <c r="G1889" s="1">
        <v>1</v>
      </c>
      <c r="H1889" s="1">
        <v>1.36353678554</v>
      </c>
      <c r="I1889" s="1">
        <v>1.2153214914399999</v>
      </c>
      <c r="J1889" s="1">
        <v>0.618086670625</v>
      </c>
      <c r="K1889" s="1">
        <v>19191.540939999999</v>
      </c>
      <c r="L1889" s="1">
        <v>4599.7237419599996</v>
      </c>
      <c r="M1889" s="1" t="s">
        <v>198</v>
      </c>
      <c r="N1889" s="1" t="b">
        <v>1</v>
      </c>
    </row>
    <row r="1890" spans="1:14" ht="19" customHeight="1" x14ac:dyDescent="0.3">
      <c r="A1890">
        <v>1885</v>
      </c>
      <c r="B1890" s="1">
        <v>7</v>
      </c>
      <c r="C1890" s="1">
        <v>90</v>
      </c>
      <c r="D1890" s="1">
        <v>5.5E-2</v>
      </c>
      <c r="E1890" s="1">
        <v>8.5000000000000006E-2</v>
      </c>
      <c r="F1890" s="1">
        <v>-5</v>
      </c>
      <c r="G1890" s="1">
        <v>0</v>
      </c>
      <c r="H1890" s="1">
        <v>1.2929022400300001</v>
      </c>
      <c r="I1890" s="1">
        <v>1.5144768369899999</v>
      </c>
      <c r="J1890" s="1">
        <v>0.747443071731</v>
      </c>
      <c r="K1890" s="1">
        <v>20892.164168800002</v>
      </c>
      <c r="L1890" s="1">
        <v>5562.3779094399997</v>
      </c>
      <c r="M1890" s="1" t="s">
        <v>198</v>
      </c>
      <c r="N1890" s="1" t="b">
        <v>1</v>
      </c>
    </row>
    <row r="1891" spans="1:14" ht="19" customHeight="1" x14ac:dyDescent="0.3">
      <c r="A1891">
        <v>1886</v>
      </c>
      <c r="B1891" s="1">
        <v>7</v>
      </c>
      <c r="C1891" s="1">
        <v>90</v>
      </c>
      <c r="D1891" s="1">
        <v>5.5E-2</v>
      </c>
      <c r="E1891" s="1">
        <v>8.5000000000000006E-2</v>
      </c>
      <c r="F1891" s="1">
        <v>-5</v>
      </c>
      <c r="G1891" s="1">
        <v>1</v>
      </c>
      <c r="H1891" s="1">
        <v>1.2929022400300001</v>
      </c>
      <c r="I1891" s="1">
        <v>1.1358576277400001</v>
      </c>
      <c r="J1891" s="1">
        <v>0.61290331882000004</v>
      </c>
      <c r="K1891" s="1">
        <v>18074.527341000001</v>
      </c>
      <c r="L1891" s="1">
        <v>4561.1498857400002</v>
      </c>
      <c r="M1891" s="1" t="s">
        <v>198</v>
      </c>
      <c r="N1891" s="1" t="b">
        <v>1</v>
      </c>
    </row>
    <row r="1892" spans="1:14" ht="19" customHeight="1" x14ac:dyDescent="0.3">
      <c r="A1892">
        <v>1887</v>
      </c>
      <c r="B1892" s="1">
        <v>7</v>
      </c>
      <c r="C1892" s="1">
        <v>90</v>
      </c>
      <c r="D1892" s="1">
        <v>5.5E-2</v>
      </c>
      <c r="E1892" s="1">
        <v>8.5000000000000006E-2</v>
      </c>
      <c r="F1892" s="1">
        <v>0</v>
      </c>
      <c r="G1892" s="1">
        <v>0</v>
      </c>
      <c r="H1892" s="1">
        <v>1.3223222746700001</v>
      </c>
      <c r="I1892" s="1">
        <v>1.54893880916</v>
      </c>
      <c r="J1892" s="1">
        <v>0.73994307173100005</v>
      </c>
      <c r="K1892" s="1">
        <v>21367.566078200001</v>
      </c>
      <c r="L1892" s="1">
        <v>5506.5638469400001</v>
      </c>
      <c r="M1892" s="1" t="s">
        <v>198</v>
      </c>
      <c r="N1892" s="1" t="b">
        <v>1</v>
      </c>
    </row>
    <row r="1893" spans="1:14" ht="19" customHeight="1" x14ac:dyDescent="0.3">
      <c r="A1893">
        <v>1888</v>
      </c>
      <c r="B1893" s="1">
        <v>7</v>
      </c>
      <c r="C1893" s="1">
        <v>90</v>
      </c>
      <c r="D1893" s="1">
        <v>5.5E-2</v>
      </c>
      <c r="E1893" s="1">
        <v>8.5000000000000006E-2</v>
      </c>
      <c r="F1893" s="1">
        <v>0</v>
      </c>
      <c r="G1893" s="1">
        <v>1</v>
      </c>
      <c r="H1893" s="1">
        <v>1.3223222746700001</v>
      </c>
      <c r="I1893" s="1">
        <v>1.16170410687</v>
      </c>
      <c r="J1893" s="1">
        <v>0.60675331882000005</v>
      </c>
      <c r="K1893" s="1">
        <v>18485.813828099999</v>
      </c>
      <c r="L1893" s="1">
        <v>4515.3823544899997</v>
      </c>
      <c r="M1893" s="1" t="s">
        <v>198</v>
      </c>
      <c r="N1893" s="1" t="b">
        <v>1</v>
      </c>
    </row>
    <row r="1894" spans="1:14" ht="19" customHeight="1" x14ac:dyDescent="0.3">
      <c r="A1894">
        <v>1889</v>
      </c>
      <c r="B1894" s="1">
        <v>7</v>
      </c>
      <c r="C1894" s="1">
        <v>90</v>
      </c>
      <c r="D1894" s="1">
        <v>5.5E-2</v>
      </c>
      <c r="E1894" s="1">
        <v>8.5000000000000006E-2</v>
      </c>
      <c r="F1894" s="1">
        <v>5</v>
      </c>
      <c r="G1894" s="1">
        <v>0</v>
      </c>
      <c r="H1894" s="1">
        <v>1.2929022400300001</v>
      </c>
      <c r="I1894" s="1">
        <v>1.5144768369899999</v>
      </c>
      <c r="J1894" s="1">
        <v>0.747443071731</v>
      </c>
      <c r="K1894" s="1">
        <v>20892.164168800002</v>
      </c>
      <c r="L1894" s="1">
        <v>5562.3779094399997</v>
      </c>
      <c r="M1894" s="1" t="s">
        <v>198</v>
      </c>
      <c r="N1894" s="1" t="b">
        <v>1</v>
      </c>
    </row>
    <row r="1895" spans="1:14" ht="19" customHeight="1" x14ac:dyDescent="0.3">
      <c r="A1895">
        <v>1890</v>
      </c>
      <c r="B1895" s="1">
        <v>7</v>
      </c>
      <c r="C1895" s="1">
        <v>90</v>
      </c>
      <c r="D1895" s="1">
        <v>5.5E-2</v>
      </c>
      <c r="E1895" s="1">
        <v>8.5000000000000006E-2</v>
      </c>
      <c r="F1895" s="1">
        <v>5</v>
      </c>
      <c r="G1895" s="1">
        <v>1</v>
      </c>
      <c r="H1895" s="1">
        <v>1.2929022400300001</v>
      </c>
      <c r="I1895" s="1">
        <v>1.1358576277400001</v>
      </c>
      <c r="J1895" s="1">
        <v>0.61290331882000004</v>
      </c>
      <c r="K1895" s="1">
        <v>18074.527341000001</v>
      </c>
      <c r="L1895" s="1">
        <v>4561.1498857400002</v>
      </c>
      <c r="M1895" s="1" t="s">
        <v>198</v>
      </c>
      <c r="N1895" s="1" t="b">
        <v>1</v>
      </c>
    </row>
    <row r="1896" spans="1:14" ht="19" customHeight="1" x14ac:dyDescent="0.3">
      <c r="A1896">
        <v>1891</v>
      </c>
      <c r="B1896" s="1">
        <v>8</v>
      </c>
      <c r="C1896" s="1">
        <v>0</v>
      </c>
      <c r="D1896" s="1">
        <v>2.5000000000000001E-2</v>
      </c>
      <c r="E1896" s="1">
        <v>0.04</v>
      </c>
      <c r="F1896" s="1">
        <v>-5</v>
      </c>
      <c r="G1896" s="1">
        <v>0</v>
      </c>
      <c r="H1896" s="1">
        <v>1.47575673489</v>
      </c>
      <c r="I1896" s="1">
        <v>1.70228902521</v>
      </c>
      <c r="J1896" s="1">
        <v>0.71749081192099995</v>
      </c>
      <c r="K1896" s="1">
        <v>0</v>
      </c>
      <c r="L1896" s="1">
        <v>0</v>
      </c>
      <c r="M1896" s="1" t="s">
        <v>198</v>
      </c>
      <c r="N1896" s="1" t="b">
        <v>1</v>
      </c>
    </row>
    <row r="1897" spans="1:14" ht="19" customHeight="1" x14ac:dyDescent="0.3">
      <c r="A1897">
        <v>1892</v>
      </c>
      <c r="B1897" s="1">
        <v>8</v>
      </c>
      <c r="C1897" s="1">
        <v>0</v>
      </c>
      <c r="D1897" s="1">
        <v>2.5000000000000001E-2</v>
      </c>
      <c r="E1897" s="1">
        <v>0.04</v>
      </c>
      <c r="F1897" s="1">
        <v>-5</v>
      </c>
      <c r="G1897" s="1">
        <v>1</v>
      </c>
      <c r="H1897" s="1">
        <v>1.47575673489</v>
      </c>
      <c r="I1897" s="1">
        <v>1.2767167689100001</v>
      </c>
      <c r="J1897" s="1">
        <v>0.58834246577500005</v>
      </c>
      <c r="K1897" s="1">
        <v>0</v>
      </c>
      <c r="L1897" s="1">
        <v>0</v>
      </c>
      <c r="M1897" s="1" t="s">
        <v>198</v>
      </c>
      <c r="N1897" s="1" t="b">
        <v>1</v>
      </c>
    </row>
    <row r="1898" spans="1:14" ht="19" customHeight="1" x14ac:dyDescent="0.3">
      <c r="A1898">
        <v>1893</v>
      </c>
      <c r="B1898" s="1">
        <v>8</v>
      </c>
      <c r="C1898" s="1">
        <v>0</v>
      </c>
      <c r="D1898" s="1">
        <v>2.5000000000000001E-2</v>
      </c>
      <c r="E1898" s="1">
        <v>0.04</v>
      </c>
      <c r="F1898" s="1">
        <v>0</v>
      </c>
      <c r="G1898" s="1">
        <v>0</v>
      </c>
      <c r="H1898" s="1">
        <v>1.5093376298100001</v>
      </c>
      <c r="I1898" s="1">
        <v>1.7410246701300001</v>
      </c>
      <c r="J1898" s="1">
        <v>0.709990811921</v>
      </c>
      <c r="K1898" s="1">
        <v>0</v>
      </c>
      <c r="L1898" s="1">
        <v>0</v>
      </c>
      <c r="M1898" s="1" t="s">
        <v>198</v>
      </c>
      <c r="N1898" s="1" t="b">
        <v>1</v>
      </c>
    </row>
    <row r="1899" spans="1:14" ht="19" customHeight="1" x14ac:dyDescent="0.3">
      <c r="A1899">
        <v>1894</v>
      </c>
      <c r="B1899" s="1">
        <v>8</v>
      </c>
      <c r="C1899" s="1">
        <v>0</v>
      </c>
      <c r="D1899" s="1">
        <v>2.5000000000000001E-2</v>
      </c>
      <c r="E1899" s="1">
        <v>0.04</v>
      </c>
      <c r="F1899" s="1">
        <v>0</v>
      </c>
      <c r="G1899" s="1">
        <v>1</v>
      </c>
      <c r="H1899" s="1">
        <v>1.5093376298100001</v>
      </c>
      <c r="I1899" s="1">
        <v>1.3057685026000001</v>
      </c>
      <c r="J1899" s="1">
        <v>0.58219246577499995</v>
      </c>
      <c r="K1899" s="1">
        <v>0</v>
      </c>
      <c r="L1899" s="1">
        <v>0</v>
      </c>
      <c r="M1899" s="1" t="s">
        <v>198</v>
      </c>
      <c r="N1899" s="1" t="b">
        <v>1</v>
      </c>
    </row>
    <row r="1900" spans="1:14" ht="19" customHeight="1" x14ac:dyDescent="0.3">
      <c r="A1900">
        <v>1895</v>
      </c>
      <c r="B1900" s="1">
        <v>8</v>
      </c>
      <c r="C1900" s="1">
        <v>0</v>
      </c>
      <c r="D1900" s="1">
        <v>2.5000000000000001E-2</v>
      </c>
      <c r="E1900" s="1">
        <v>0.04</v>
      </c>
      <c r="F1900" s="1">
        <v>5</v>
      </c>
      <c r="G1900" s="1">
        <v>0</v>
      </c>
      <c r="H1900" s="1">
        <v>1.47575673489</v>
      </c>
      <c r="I1900" s="1">
        <v>1.70228902521</v>
      </c>
      <c r="J1900" s="1">
        <v>0.71749081192099995</v>
      </c>
      <c r="K1900" s="1">
        <v>0</v>
      </c>
      <c r="L1900" s="1">
        <v>0</v>
      </c>
      <c r="M1900" s="1" t="s">
        <v>198</v>
      </c>
      <c r="N1900" s="1" t="b">
        <v>1</v>
      </c>
    </row>
    <row r="1901" spans="1:14" ht="19" customHeight="1" x14ac:dyDescent="0.3">
      <c r="A1901">
        <v>1896</v>
      </c>
      <c r="B1901" s="1">
        <v>8</v>
      </c>
      <c r="C1901" s="1">
        <v>0</v>
      </c>
      <c r="D1901" s="1">
        <v>2.5000000000000001E-2</v>
      </c>
      <c r="E1901" s="1">
        <v>0.04</v>
      </c>
      <c r="F1901" s="1">
        <v>5</v>
      </c>
      <c r="G1901" s="1">
        <v>1</v>
      </c>
      <c r="H1901" s="1">
        <v>1.47575673489</v>
      </c>
      <c r="I1901" s="1">
        <v>1.2767167689100001</v>
      </c>
      <c r="J1901" s="1">
        <v>0.58834246577500005</v>
      </c>
      <c r="K1901" s="1">
        <v>0</v>
      </c>
      <c r="L1901" s="1">
        <v>0</v>
      </c>
      <c r="M1901" s="1" t="s">
        <v>198</v>
      </c>
      <c r="N1901" s="1" t="b">
        <v>1</v>
      </c>
    </row>
    <row r="1902" spans="1:14" ht="19" customHeight="1" x14ac:dyDescent="0.3">
      <c r="A1902">
        <v>1897</v>
      </c>
      <c r="B1902" s="1">
        <v>8</v>
      </c>
      <c r="C1902" s="1">
        <v>0</v>
      </c>
      <c r="D1902" s="1">
        <v>2.5000000000000001E-2</v>
      </c>
      <c r="E1902" s="1">
        <v>0.06</v>
      </c>
      <c r="F1902" s="1">
        <v>-5</v>
      </c>
      <c r="G1902" s="1">
        <v>0</v>
      </c>
      <c r="H1902" s="1">
        <v>1.5163717485299999</v>
      </c>
      <c r="I1902" s="1">
        <v>1.7632115456599999</v>
      </c>
      <c r="J1902" s="1">
        <v>0.72112549276600002</v>
      </c>
      <c r="K1902" s="1">
        <v>0</v>
      </c>
      <c r="L1902" s="1">
        <v>0</v>
      </c>
      <c r="M1902" s="1" t="s">
        <v>198</v>
      </c>
      <c r="N1902" s="1" t="b">
        <v>1</v>
      </c>
    </row>
    <row r="1903" spans="1:14" ht="19" customHeight="1" x14ac:dyDescent="0.3">
      <c r="A1903">
        <v>1898</v>
      </c>
      <c r="B1903" s="1">
        <v>8</v>
      </c>
      <c r="C1903" s="1">
        <v>0</v>
      </c>
      <c r="D1903" s="1">
        <v>2.5000000000000001E-2</v>
      </c>
      <c r="E1903" s="1">
        <v>0.06</v>
      </c>
      <c r="F1903" s="1">
        <v>-5</v>
      </c>
      <c r="G1903" s="1">
        <v>1</v>
      </c>
      <c r="H1903" s="1">
        <v>1.5163717485299999</v>
      </c>
      <c r="I1903" s="1">
        <v>1.32240865924</v>
      </c>
      <c r="J1903" s="1">
        <v>0.59132290406800003</v>
      </c>
      <c r="K1903" s="1">
        <v>0</v>
      </c>
      <c r="L1903" s="1">
        <v>0</v>
      </c>
      <c r="M1903" s="1" t="s">
        <v>198</v>
      </c>
      <c r="N1903" s="1" t="b">
        <v>1</v>
      </c>
    </row>
    <row r="1904" spans="1:14" ht="19" customHeight="1" x14ac:dyDescent="0.3">
      <c r="A1904">
        <v>1899</v>
      </c>
      <c r="B1904" s="1">
        <v>8</v>
      </c>
      <c r="C1904" s="1">
        <v>0</v>
      </c>
      <c r="D1904" s="1">
        <v>2.5000000000000001E-2</v>
      </c>
      <c r="E1904" s="1">
        <v>0.06</v>
      </c>
      <c r="F1904" s="1">
        <v>0</v>
      </c>
      <c r="G1904" s="1">
        <v>0</v>
      </c>
      <c r="H1904" s="1">
        <v>1.5508768394700001</v>
      </c>
      <c r="I1904" s="1">
        <v>1.80333348462</v>
      </c>
      <c r="J1904" s="1">
        <v>0.71362549276599996</v>
      </c>
      <c r="K1904" s="1">
        <v>0</v>
      </c>
      <c r="L1904" s="1">
        <v>0</v>
      </c>
      <c r="M1904" s="1" t="s">
        <v>198</v>
      </c>
      <c r="N1904" s="1" t="b">
        <v>1</v>
      </c>
    </row>
    <row r="1905" spans="1:14" ht="19" customHeight="1" x14ac:dyDescent="0.3">
      <c r="A1905">
        <v>1900</v>
      </c>
      <c r="B1905" s="1">
        <v>8</v>
      </c>
      <c r="C1905" s="1">
        <v>0</v>
      </c>
      <c r="D1905" s="1">
        <v>2.5000000000000001E-2</v>
      </c>
      <c r="E1905" s="1">
        <v>0.06</v>
      </c>
      <c r="F1905" s="1">
        <v>0</v>
      </c>
      <c r="G1905" s="1">
        <v>1</v>
      </c>
      <c r="H1905" s="1">
        <v>1.5508768394700001</v>
      </c>
      <c r="I1905" s="1">
        <v>1.3525001134700001</v>
      </c>
      <c r="J1905" s="1">
        <v>0.58517290406800004</v>
      </c>
      <c r="K1905" s="1">
        <v>0</v>
      </c>
      <c r="L1905" s="1">
        <v>0</v>
      </c>
      <c r="M1905" s="1" t="s">
        <v>198</v>
      </c>
      <c r="N1905" s="1" t="b">
        <v>1</v>
      </c>
    </row>
    <row r="1906" spans="1:14" ht="19" customHeight="1" x14ac:dyDescent="0.3">
      <c r="A1906">
        <v>1901</v>
      </c>
      <c r="B1906" s="1">
        <v>8</v>
      </c>
      <c r="C1906" s="1">
        <v>0</v>
      </c>
      <c r="D1906" s="1">
        <v>2.5000000000000001E-2</v>
      </c>
      <c r="E1906" s="1">
        <v>0.06</v>
      </c>
      <c r="F1906" s="1">
        <v>5</v>
      </c>
      <c r="G1906" s="1">
        <v>0</v>
      </c>
      <c r="H1906" s="1">
        <v>1.5163717485299999</v>
      </c>
      <c r="I1906" s="1">
        <v>1.7632115456599999</v>
      </c>
      <c r="J1906" s="1">
        <v>0.72112549276600002</v>
      </c>
      <c r="K1906" s="1">
        <v>0</v>
      </c>
      <c r="L1906" s="1">
        <v>0</v>
      </c>
      <c r="M1906" s="1" t="s">
        <v>198</v>
      </c>
      <c r="N1906" s="1" t="b">
        <v>1</v>
      </c>
    </row>
    <row r="1907" spans="1:14" ht="19" customHeight="1" x14ac:dyDescent="0.3">
      <c r="A1907">
        <v>1902</v>
      </c>
      <c r="B1907" s="1">
        <v>8</v>
      </c>
      <c r="C1907" s="1">
        <v>0</v>
      </c>
      <c r="D1907" s="1">
        <v>2.5000000000000001E-2</v>
      </c>
      <c r="E1907" s="1">
        <v>0.06</v>
      </c>
      <c r="F1907" s="1">
        <v>5</v>
      </c>
      <c r="G1907" s="1">
        <v>1</v>
      </c>
      <c r="H1907" s="1">
        <v>1.5163717485299999</v>
      </c>
      <c r="I1907" s="1">
        <v>1.32240865924</v>
      </c>
      <c r="J1907" s="1">
        <v>0.59132290406800003</v>
      </c>
      <c r="K1907" s="1">
        <v>0</v>
      </c>
      <c r="L1907" s="1">
        <v>0</v>
      </c>
      <c r="M1907" s="1" t="s">
        <v>198</v>
      </c>
      <c r="N1907" s="1" t="b">
        <v>1</v>
      </c>
    </row>
    <row r="1908" spans="1:14" ht="19" customHeight="1" x14ac:dyDescent="0.3">
      <c r="A1908">
        <v>1903</v>
      </c>
      <c r="B1908" s="1">
        <v>8</v>
      </c>
      <c r="C1908" s="1">
        <v>0</v>
      </c>
      <c r="D1908" s="1">
        <v>2.5000000000000001E-2</v>
      </c>
      <c r="E1908" s="1">
        <v>8.5000000000000006E-2</v>
      </c>
      <c r="F1908" s="1">
        <v>-5</v>
      </c>
      <c r="G1908" s="1">
        <v>0</v>
      </c>
      <c r="H1908" s="1">
        <v>1.41254023958</v>
      </c>
      <c r="I1908" s="1">
        <v>1.60746428224</v>
      </c>
      <c r="J1908" s="1">
        <v>0.71183350039899995</v>
      </c>
      <c r="K1908" s="1">
        <v>0</v>
      </c>
      <c r="L1908" s="1">
        <v>0</v>
      </c>
      <c r="M1908" s="1" t="s">
        <v>198</v>
      </c>
      <c r="N1908" s="1" t="b">
        <v>1</v>
      </c>
    </row>
    <row r="1909" spans="1:14" ht="19" customHeight="1" x14ac:dyDescent="0.3">
      <c r="A1909">
        <v>1904</v>
      </c>
      <c r="B1909" s="1">
        <v>8</v>
      </c>
      <c r="C1909" s="1">
        <v>0</v>
      </c>
      <c r="D1909" s="1">
        <v>2.5000000000000001E-2</v>
      </c>
      <c r="E1909" s="1">
        <v>8.5000000000000006E-2</v>
      </c>
      <c r="F1909" s="1">
        <v>-5</v>
      </c>
      <c r="G1909" s="1">
        <v>1</v>
      </c>
      <c r="H1909" s="1">
        <v>1.41254023958</v>
      </c>
      <c r="I1909" s="1">
        <v>1.2055982116799999</v>
      </c>
      <c r="J1909" s="1">
        <v>0.58370347032699998</v>
      </c>
      <c r="K1909" s="1">
        <v>0</v>
      </c>
      <c r="L1909" s="1">
        <v>0</v>
      </c>
      <c r="M1909" s="1" t="s">
        <v>198</v>
      </c>
      <c r="N1909" s="1" t="b">
        <v>1</v>
      </c>
    </row>
    <row r="1910" spans="1:14" ht="19" customHeight="1" x14ac:dyDescent="0.3">
      <c r="A1910">
        <v>1905</v>
      </c>
      <c r="B1910" s="1">
        <v>8</v>
      </c>
      <c r="C1910" s="1">
        <v>0</v>
      </c>
      <c r="D1910" s="1">
        <v>2.5000000000000001E-2</v>
      </c>
      <c r="E1910" s="1">
        <v>8.5000000000000006E-2</v>
      </c>
      <c r="F1910" s="1">
        <v>0</v>
      </c>
      <c r="G1910" s="1">
        <v>0</v>
      </c>
      <c r="H1910" s="1">
        <v>1.444682641</v>
      </c>
      <c r="I1910" s="1">
        <v>1.6440421868999999</v>
      </c>
      <c r="J1910" s="1">
        <v>0.704333500399</v>
      </c>
      <c r="K1910" s="1">
        <v>0</v>
      </c>
      <c r="L1910" s="1">
        <v>0</v>
      </c>
      <c r="M1910" s="1" t="s">
        <v>198</v>
      </c>
      <c r="N1910" s="1" t="b">
        <v>1</v>
      </c>
    </row>
    <row r="1911" spans="1:14" ht="19" customHeight="1" x14ac:dyDescent="0.3">
      <c r="A1911">
        <v>1906</v>
      </c>
      <c r="B1911" s="1">
        <v>8</v>
      </c>
      <c r="C1911" s="1">
        <v>0</v>
      </c>
      <c r="D1911" s="1">
        <v>2.5000000000000001E-2</v>
      </c>
      <c r="E1911" s="1">
        <v>8.5000000000000006E-2</v>
      </c>
      <c r="F1911" s="1">
        <v>0</v>
      </c>
      <c r="G1911" s="1">
        <v>1</v>
      </c>
      <c r="H1911" s="1">
        <v>1.444682641</v>
      </c>
      <c r="I1911" s="1">
        <v>1.2330316401800001</v>
      </c>
      <c r="J1911" s="1">
        <v>0.577553470327</v>
      </c>
      <c r="K1911" s="1">
        <v>0</v>
      </c>
      <c r="L1911" s="1">
        <v>0</v>
      </c>
      <c r="M1911" s="1" t="s">
        <v>198</v>
      </c>
      <c r="N1911" s="1" t="b">
        <v>1</v>
      </c>
    </row>
    <row r="1912" spans="1:14" ht="19" customHeight="1" x14ac:dyDescent="0.3">
      <c r="A1912">
        <v>1907</v>
      </c>
      <c r="B1912" s="1">
        <v>8</v>
      </c>
      <c r="C1912" s="1">
        <v>0</v>
      </c>
      <c r="D1912" s="1">
        <v>2.5000000000000001E-2</v>
      </c>
      <c r="E1912" s="1">
        <v>8.5000000000000006E-2</v>
      </c>
      <c r="F1912" s="1">
        <v>5</v>
      </c>
      <c r="G1912" s="1">
        <v>0</v>
      </c>
      <c r="H1912" s="1">
        <v>1.41254023958</v>
      </c>
      <c r="I1912" s="1">
        <v>1.60746428224</v>
      </c>
      <c r="J1912" s="1">
        <v>0.71183350039899995</v>
      </c>
      <c r="K1912" s="1">
        <v>0</v>
      </c>
      <c r="L1912" s="1">
        <v>0</v>
      </c>
      <c r="M1912" s="1" t="s">
        <v>198</v>
      </c>
      <c r="N1912" s="1" t="b">
        <v>1</v>
      </c>
    </row>
    <row r="1913" spans="1:14" ht="19" customHeight="1" x14ac:dyDescent="0.3">
      <c r="A1913">
        <v>1908</v>
      </c>
      <c r="B1913" s="1">
        <v>8</v>
      </c>
      <c r="C1913" s="1">
        <v>0</v>
      </c>
      <c r="D1913" s="1">
        <v>2.5000000000000001E-2</v>
      </c>
      <c r="E1913" s="1">
        <v>8.5000000000000006E-2</v>
      </c>
      <c r="F1913" s="1">
        <v>5</v>
      </c>
      <c r="G1913" s="1">
        <v>1</v>
      </c>
      <c r="H1913" s="1">
        <v>1.41254023958</v>
      </c>
      <c r="I1913" s="1">
        <v>1.2055982116799999</v>
      </c>
      <c r="J1913" s="1">
        <v>0.58370347032699998</v>
      </c>
      <c r="K1913" s="1">
        <v>0</v>
      </c>
      <c r="L1913" s="1">
        <v>0</v>
      </c>
      <c r="M1913" s="1" t="s">
        <v>198</v>
      </c>
      <c r="N1913" s="1" t="b">
        <v>1</v>
      </c>
    </row>
    <row r="1914" spans="1:14" ht="19" customHeight="1" x14ac:dyDescent="0.3">
      <c r="A1914">
        <v>1909</v>
      </c>
      <c r="B1914" s="1">
        <v>8</v>
      </c>
      <c r="C1914" s="1">
        <v>0</v>
      </c>
      <c r="D1914" s="1">
        <v>0.04</v>
      </c>
      <c r="E1914" s="1">
        <v>0.04</v>
      </c>
      <c r="F1914" s="1">
        <v>-5</v>
      </c>
      <c r="G1914" s="1">
        <v>0</v>
      </c>
      <c r="H1914" s="1">
        <v>1.4817455483499999</v>
      </c>
      <c r="I1914" s="1">
        <v>1.71127224539</v>
      </c>
      <c r="J1914" s="1">
        <v>0.71802675721800002</v>
      </c>
      <c r="K1914" s="1">
        <v>0</v>
      </c>
      <c r="L1914" s="1">
        <v>0</v>
      </c>
      <c r="M1914" s="1" t="s">
        <v>198</v>
      </c>
      <c r="N1914" s="1" t="b">
        <v>1</v>
      </c>
    </row>
    <row r="1915" spans="1:14" ht="19" customHeight="1" x14ac:dyDescent="0.3">
      <c r="A1915">
        <v>1910</v>
      </c>
      <c r="B1915" s="1">
        <v>8</v>
      </c>
      <c r="C1915" s="1">
        <v>0</v>
      </c>
      <c r="D1915" s="1">
        <v>0.04</v>
      </c>
      <c r="E1915" s="1">
        <v>0.04</v>
      </c>
      <c r="F1915" s="1">
        <v>-5</v>
      </c>
      <c r="G1915" s="1">
        <v>1</v>
      </c>
      <c r="H1915" s="1">
        <v>1.4817455483499999</v>
      </c>
      <c r="I1915" s="1">
        <v>1.28345418404</v>
      </c>
      <c r="J1915" s="1">
        <v>0.58878194091900005</v>
      </c>
      <c r="K1915" s="1">
        <v>0</v>
      </c>
      <c r="L1915" s="1">
        <v>0</v>
      </c>
      <c r="M1915" s="1" t="s">
        <v>198</v>
      </c>
      <c r="N1915" s="1" t="b">
        <v>1</v>
      </c>
    </row>
    <row r="1916" spans="1:14" ht="19" customHeight="1" x14ac:dyDescent="0.3">
      <c r="A1916">
        <v>1911</v>
      </c>
      <c r="B1916" s="1">
        <v>8</v>
      </c>
      <c r="C1916" s="1">
        <v>0</v>
      </c>
      <c r="D1916" s="1">
        <v>0.04</v>
      </c>
      <c r="E1916" s="1">
        <v>0.04</v>
      </c>
      <c r="F1916" s="1">
        <v>0</v>
      </c>
      <c r="G1916" s="1">
        <v>0</v>
      </c>
      <c r="H1916" s="1">
        <v>1.5154627189200001</v>
      </c>
      <c r="I1916" s="1">
        <v>1.7502123037899999</v>
      </c>
      <c r="J1916" s="1">
        <v>0.71052675721799996</v>
      </c>
      <c r="K1916" s="1">
        <v>0</v>
      </c>
      <c r="L1916" s="1">
        <v>0</v>
      </c>
      <c r="M1916" s="1" t="s">
        <v>198</v>
      </c>
      <c r="N1916" s="1" t="b">
        <v>1</v>
      </c>
    </row>
    <row r="1917" spans="1:14" ht="19" customHeight="1" x14ac:dyDescent="0.3">
      <c r="A1917">
        <v>1912</v>
      </c>
      <c r="B1917" s="1">
        <v>8</v>
      </c>
      <c r="C1917" s="1">
        <v>0</v>
      </c>
      <c r="D1917" s="1">
        <v>0.04</v>
      </c>
      <c r="E1917" s="1">
        <v>0.04</v>
      </c>
      <c r="F1917" s="1">
        <v>0</v>
      </c>
      <c r="G1917" s="1">
        <v>1</v>
      </c>
      <c r="H1917" s="1">
        <v>1.5154627189200001</v>
      </c>
      <c r="I1917" s="1">
        <v>1.31265922785</v>
      </c>
      <c r="J1917" s="1">
        <v>0.58263194091899995</v>
      </c>
      <c r="K1917" s="1">
        <v>0</v>
      </c>
      <c r="L1917" s="1">
        <v>0</v>
      </c>
      <c r="M1917" s="1" t="s">
        <v>198</v>
      </c>
      <c r="N1917" s="1" t="b">
        <v>1</v>
      </c>
    </row>
    <row r="1918" spans="1:14" ht="19" customHeight="1" x14ac:dyDescent="0.3">
      <c r="A1918">
        <v>1913</v>
      </c>
      <c r="B1918" s="1">
        <v>8</v>
      </c>
      <c r="C1918" s="1">
        <v>0</v>
      </c>
      <c r="D1918" s="1">
        <v>0.04</v>
      </c>
      <c r="E1918" s="1">
        <v>0.04</v>
      </c>
      <c r="F1918" s="1">
        <v>5</v>
      </c>
      <c r="G1918" s="1">
        <v>0</v>
      </c>
      <c r="H1918" s="1">
        <v>1.4817455483499999</v>
      </c>
      <c r="I1918" s="1">
        <v>1.71127224539</v>
      </c>
      <c r="J1918" s="1">
        <v>0.71802675721800002</v>
      </c>
      <c r="K1918" s="1">
        <v>0</v>
      </c>
      <c r="L1918" s="1">
        <v>0</v>
      </c>
      <c r="M1918" s="1" t="s">
        <v>198</v>
      </c>
      <c r="N1918" s="1" t="b">
        <v>1</v>
      </c>
    </row>
    <row r="1919" spans="1:14" ht="19" customHeight="1" x14ac:dyDescent="0.3">
      <c r="A1919">
        <v>1914</v>
      </c>
      <c r="B1919" s="1">
        <v>8</v>
      </c>
      <c r="C1919" s="1">
        <v>0</v>
      </c>
      <c r="D1919" s="1">
        <v>0.04</v>
      </c>
      <c r="E1919" s="1">
        <v>0.04</v>
      </c>
      <c r="F1919" s="1">
        <v>5</v>
      </c>
      <c r="G1919" s="1">
        <v>1</v>
      </c>
      <c r="H1919" s="1">
        <v>1.4817455483499999</v>
      </c>
      <c r="I1919" s="1">
        <v>1.28345418404</v>
      </c>
      <c r="J1919" s="1">
        <v>0.58878194091900005</v>
      </c>
      <c r="K1919" s="1">
        <v>0</v>
      </c>
      <c r="L1919" s="1">
        <v>0</v>
      </c>
      <c r="M1919" s="1" t="s">
        <v>198</v>
      </c>
      <c r="N1919" s="1" t="b">
        <v>1</v>
      </c>
    </row>
    <row r="1920" spans="1:14" ht="19" customHeight="1" x14ac:dyDescent="0.3">
      <c r="A1920">
        <v>1915</v>
      </c>
      <c r="B1920" s="1">
        <v>8</v>
      </c>
      <c r="C1920" s="1">
        <v>0</v>
      </c>
      <c r="D1920" s="1">
        <v>0.04</v>
      </c>
      <c r="E1920" s="1">
        <v>0.06</v>
      </c>
      <c r="F1920" s="1">
        <v>-5</v>
      </c>
      <c r="G1920" s="1">
        <v>0</v>
      </c>
      <c r="H1920" s="1">
        <v>1.5229413639</v>
      </c>
      <c r="I1920" s="1">
        <v>1.7730659687200001</v>
      </c>
      <c r="J1920" s="1">
        <v>0.72171341464600003</v>
      </c>
      <c r="K1920" s="1">
        <v>0</v>
      </c>
      <c r="L1920" s="1">
        <v>0</v>
      </c>
      <c r="M1920" s="1" t="s">
        <v>198</v>
      </c>
      <c r="N1920" s="1" t="b">
        <v>1</v>
      </c>
    </row>
    <row r="1921" spans="1:14" ht="19" customHeight="1" x14ac:dyDescent="0.3">
      <c r="A1921">
        <v>1916</v>
      </c>
      <c r="B1921" s="1">
        <v>8</v>
      </c>
      <c r="C1921" s="1">
        <v>0</v>
      </c>
      <c r="D1921" s="1">
        <v>0.04</v>
      </c>
      <c r="E1921" s="1">
        <v>0.06</v>
      </c>
      <c r="F1921" s="1">
        <v>-5</v>
      </c>
      <c r="G1921" s="1">
        <v>1</v>
      </c>
      <c r="H1921" s="1">
        <v>1.5229413639</v>
      </c>
      <c r="I1921" s="1">
        <v>1.3297994765400001</v>
      </c>
      <c r="J1921" s="1">
        <v>0.59180500001000003</v>
      </c>
      <c r="K1921" s="1">
        <v>0</v>
      </c>
      <c r="L1921" s="1">
        <v>0</v>
      </c>
      <c r="M1921" s="1" t="s">
        <v>198</v>
      </c>
      <c r="N1921" s="1" t="b">
        <v>1</v>
      </c>
    </row>
    <row r="1922" spans="1:14" ht="19" customHeight="1" x14ac:dyDescent="0.3">
      <c r="A1922">
        <v>1917</v>
      </c>
      <c r="B1922" s="1">
        <v>8</v>
      </c>
      <c r="C1922" s="1">
        <v>0</v>
      </c>
      <c r="D1922" s="1">
        <v>0.04</v>
      </c>
      <c r="E1922" s="1">
        <v>0.06</v>
      </c>
      <c r="F1922" s="1">
        <v>0</v>
      </c>
      <c r="G1922" s="1">
        <v>0</v>
      </c>
      <c r="H1922" s="1">
        <v>1.55759594667</v>
      </c>
      <c r="I1922" s="1">
        <v>1.8134121454100001</v>
      </c>
      <c r="J1922" s="1">
        <v>0.71421341464599997</v>
      </c>
      <c r="K1922" s="1">
        <v>0</v>
      </c>
      <c r="L1922" s="1">
        <v>0</v>
      </c>
      <c r="M1922" s="1" t="s">
        <v>198</v>
      </c>
      <c r="N1922" s="1" t="b">
        <v>1</v>
      </c>
    </row>
    <row r="1923" spans="1:14" ht="19" customHeight="1" x14ac:dyDescent="0.3">
      <c r="A1923">
        <v>1918</v>
      </c>
      <c r="B1923" s="1">
        <v>8</v>
      </c>
      <c r="C1923" s="1">
        <v>0</v>
      </c>
      <c r="D1923" s="1">
        <v>0.04</v>
      </c>
      <c r="E1923" s="1">
        <v>0.06</v>
      </c>
      <c r="F1923" s="1">
        <v>0</v>
      </c>
      <c r="G1923" s="1">
        <v>1</v>
      </c>
      <c r="H1923" s="1">
        <v>1.55759594667</v>
      </c>
      <c r="I1923" s="1">
        <v>1.36005910906</v>
      </c>
      <c r="J1923" s="1">
        <v>0.58565500001000004</v>
      </c>
      <c r="K1923" s="1">
        <v>0</v>
      </c>
      <c r="L1923" s="1">
        <v>0</v>
      </c>
      <c r="M1923" s="1" t="s">
        <v>198</v>
      </c>
      <c r="N1923" s="1" t="b">
        <v>1</v>
      </c>
    </row>
    <row r="1924" spans="1:14" ht="19" customHeight="1" x14ac:dyDescent="0.3">
      <c r="A1924">
        <v>1919</v>
      </c>
      <c r="B1924" s="1">
        <v>8</v>
      </c>
      <c r="C1924" s="1">
        <v>0</v>
      </c>
      <c r="D1924" s="1">
        <v>0.04</v>
      </c>
      <c r="E1924" s="1">
        <v>0.06</v>
      </c>
      <c r="F1924" s="1">
        <v>5</v>
      </c>
      <c r="G1924" s="1">
        <v>0</v>
      </c>
      <c r="H1924" s="1">
        <v>1.5229413639</v>
      </c>
      <c r="I1924" s="1">
        <v>1.7730659687200001</v>
      </c>
      <c r="J1924" s="1">
        <v>0.72171341464600003</v>
      </c>
      <c r="K1924" s="1">
        <v>0</v>
      </c>
      <c r="L1924" s="1">
        <v>0</v>
      </c>
      <c r="M1924" s="1" t="s">
        <v>198</v>
      </c>
      <c r="N1924" s="1" t="b">
        <v>1</v>
      </c>
    </row>
    <row r="1925" spans="1:14" ht="19" customHeight="1" x14ac:dyDescent="0.3">
      <c r="A1925">
        <v>1920</v>
      </c>
      <c r="B1925" s="1">
        <v>8</v>
      </c>
      <c r="C1925" s="1">
        <v>0</v>
      </c>
      <c r="D1925" s="1">
        <v>0.04</v>
      </c>
      <c r="E1925" s="1">
        <v>0.06</v>
      </c>
      <c r="F1925" s="1">
        <v>5</v>
      </c>
      <c r="G1925" s="1">
        <v>1</v>
      </c>
      <c r="H1925" s="1">
        <v>1.5229413639</v>
      </c>
      <c r="I1925" s="1">
        <v>1.3297994765400001</v>
      </c>
      <c r="J1925" s="1">
        <v>0.59180500001000003</v>
      </c>
      <c r="K1925" s="1">
        <v>0</v>
      </c>
      <c r="L1925" s="1">
        <v>0</v>
      </c>
      <c r="M1925" s="1" t="s">
        <v>198</v>
      </c>
      <c r="N1925" s="1" t="b">
        <v>1</v>
      </c>
    </row>
    <row r="1926" spans="1:14" ht="19" customHeight="1" x14ac:dyDescent="0.3">
      <c r="A1926">
        <v>1921</v>
      </c>
      <c r="B1926" s="1">
        <v>8</v>
      </c>
      <c r="C1926" s="1">
        <v>0</v>
      </c>
      <c r="D1926" s="1">
        <v>0.04</v>
      </c>
      <c r="E1926" s="1">
        <v>8.5000000000000006E-2</v>
      </c>
      <c r="F1926" s="1">
        <v>-5</v>
      </c>
      <c r="G1926" s="1">
        <v>0</v>
      </c>
      <c r="H1926" s="1">
        <v>1.4176250459099999</v>
      </c>
      <c r="I1926" s="1">
        <v>1.6150914917300001</v>
      </c>
      <c r="J1926" s="1">
        <v>0.71228854513499995</v>
      </c>
      <c r="K1926" s="1">
        <v>0</v>
      </c>
      <c r="L1926" s="1">
        <v>0</v>
      </c>
      <c r="M1926" s="1" t="s">
        <v>198</v>
      </c>
      <c r="N1926" s="1" t="b">
        <v>1</v>
      </c>
    </row>
    <row r="1927" spans="1:14" ht="19" customHeight="1" x14ac:dyDescent="0.3">
      <c r="A1927">
        <v>1922</v>
      </c>
      <c r="B1927" s="1">
        <v>8</v>
      </c>
      <c r="C1927" s="1">
        <v>0</v>
      </c>
      <c r="D1927" s="1">
        <v>0.04</v>
      </c>
      <c r="E1927" s="1">
        <v>8.5000000000000006E-2</v>
      </c>
      <c r="F1927" s="1">
        <v>-5</v>
      </c>
      <c r="G1927" s="1">
        <v>1</v>
      </c>
      <c r="H1927" s="1">
        <v>1.4176250459099999</v>
      </c>
      <c r="I1927" s="1">
        <v>1.2113186188</v>
      </c>
      <c r="J1927" s="1">
        <v>0.58407660701099995</v>
      </c>
      <c r="K1927" s="1">
        <v>0</v>
      </c>
      <c r="L1927" s="1">
        <v>0</v>
      </c>
      <c r="M1927" s="1" t="s">
        <v>198</v>
      </c>
      <c r="N1927" s="1" t="b">
        <v>1</v>
      </c>
    </row>
    <row r="1928" spans="1:14" ht="19" customHeight="1" x14ac:dyDescent="0.3">
      <c r="A1928">
        <v>1923</v>
      </c>
      <c r="B1928" s="1">
        <v>8</v>
      </c>
      <c r="C1928" s="1">
        <v>0</v>
      </c>
      <c r="D1928" s="1">
        <v>0.04</v>
      </c>
      <c r="E1928" s="1">
        <v>8.5000000000000006E-2</v>
      </c>
      <c r="F1928" s="1">
        <v>0</v>
      </c>
      <c r="G1928" s="1">
        <v>0</v>
      </c>
      <c r="H1928" s="1">
        <v>1.44988315226</v>
      </c>
      <c r="I1928" s="1">
        <v>1.6518429537999999</v>
      </c>
      <c r="J1928" s="1">
        <v>0.704788545135</v>
      </c>
      <c r="K1928" s="1">
        <v>0</v>
      </c>
      <c r="L1928" s="1">
        <v>0</v>
      </c>
      <c r="M1928" s="1" t="s">
        <v>198</v>
      </c>
      <c r="N1928" s="1" t="b">
        <v>1</v>
      </c>
    </row>
    <row r="1929" spans="1:14" ht="19" customHeight="1" x14ac:dyDescent="0.3">
      <c r="A1929">
        <v>1924</v>
      </c>
      <c r="B1929" s="1">
        <v>8</v>
      </c>
      <c r="C1929" s="1">
        <v>0</v>
      </c>
      <c r="D1929" s="1">
        <v>0.04</v>
      </c>
      <c r="E1929" s="1">
        <v>8.5000000000000006E-2</v>
      </c>
      <c r="F1929" s="1">
        <v>0</v>
      </c>
      <c r="G1929" s="1">
        <v>1</v>
      </c>
      <c r="H1929" s="1">
        <v>1.44988315226</v>
      </c>
      <c r="I1929" s="1">
        <v>1.2388822153500001</v>
      </c>
      <c r="J1929" s="1">
        <v>0.57792660701099996</v>
      </c>
      <c r="K1929" s="1">
        <v>0</v>
      </c>
      <c r="L1929" s="1">
        <v>0</v>
      </c>
      <c r="M1929" s="1" t="s">
        <v>198</v>
      </c>
      <c r="N1929" s="1" t="b">
        <v>1</v>
      </c>
    </row>
    <row r="1930" spans="1:14" ht="19" customHeight="1" x14ac:dyDescent="0.3">
      <c r="A1930">
        <v>1925</v>
      </c>
      <c r="B1930" s="1">
        <v>8</v>
      </c>
      <c r="C1930" s="1">
        <v>0</v>
      </c>
      <c r="D1930" s="1">
        <v>0.04</v>
      </c>
      <c r="E1930" s="1">
        <v>8.5000000000000006E-2</v>
      </c>
      <c r="F1930" s="1">
        <v>5</v>
      </c>
      <c r="G1930" s="1">
        <v>0</v>
      </c>
      <c r="H1930" s="1">
        <v>1.4176250459099999</v>
      </c>
      <c r="I1930" s="1">
        <v>1.6150914917300001</v>
      </c>
      <c r="J1930" s="1">
        <v>0.71228854513499995</v>
      </c>
      <c r="K1930" s="1">
        <v>0</v>
      </c>
      <c r="L1930" s="1">
        <v>0</v>
      </c>
      <c r="M1930" s="1" t="s">
        <v>198</v>
      </c>
      <c r="N1930" s="1" t="b">
        <v>1</v>
      </c>
    </row>
    <row r="1931" spans="1:14" ht="19" customHeight="1" x14ac:dyDescent="0.3">
      <c r="A1931">
        <v>1926</v>
      </c>
      <c r="B1931" s="1">
        <v>8</v>
      </c>
      <c r="C1931" s="1">
        <v>0</v>
      </c>
      <c r="D1931" s="1">
        <v>0.04</v>
      </c>
      <c r="E1931" s="1">
        <v>8.5000000000000006E-2</v>
      </c>
      <c r="F1931" s="1">
        <v>5</v>
      </c>
      <c r="G1931" s="1">
        <v>1</v>
      </c>
      <c r="H1931" s="1">
        <v>1.4176250459099999</v>
      </c>
      <c r="I1931" s="1">
        <v>1.2113186188</v>
      </c>
      <c r="J1931" s="1">
        <v>0.58407660701099995</v>
      </c>
      <c r="K1931" s="1">
        <v>0</v>
      </c>
      <c r="L1931" s="1">
        <v>0</v>
      </c>
      <c r="M1931" s="1" t="s">
        <v>198</v>
      </c>
      <c r="N1931" s="1" t="b">
        <v>1</v>
      </c>
    </row>
    <row r="1932" spans="1:14" ht="19" customHeight="1" x14ac:dyDescent="0.3">
      <c r="A1932">
        <v>1927</v>
      </c>
      <c r="B1932" s="1">
        <v>8</v>
      </c>
      <c r="C1932" s="1">
        <v>0</v>
      </c>
      <c r="D1932" s="1">
        <v>5.5E-2</v>
      </c>
      <c r="E1932" s="1">
        <v>0.04</v>
      </c>
      <c r="F1932" s="1">
        <v>-5</v>
      </c>
      <c r="G1932" s="1">
        <v>0</v>
      </c>
      <c r="H1932" s="1">
        <v>1.3418604462799999</v>
      </c>
      <c r="I1932" s="1">
        <v>1.5014445922899999</v>
      </c>
      <c r="J1932" s="1">
        <v>0.705508290388</v>
      </c>
      <c r="K1932" s="1">
        <v>0</v>
      </c>
      <c r="L1932" s="1">
        <v>0</v>
      </c>
      <c r="M1932" s="1" t="s">
        <v>198</v>
      </c>
      <c r="N1932" s="1" t="b">
        <v>1</v>
      </c>
    </row>
    <row r="1933" spans="1:14" ht="19" customHeight="1" x14ac:dyDescent="0.3">
      <c r="A1933">
        <v>1928</v>
      </c>
      <c r="B1933" s="1">
        <v>8</v>
      </c>
      <c r="C1933" s="1">
        <v>0</v>
      </c>
      <c r="D1933" s="1">
        <v>5.5E-2</v>
      </c>
      <c r="E1933" s="1">
        <v>0.04</v>
      </c>
      <c r="F1933" s="1">
        <v>-5</v>
      </c>
      <c r="G1933" s="1">
        <v>1</v>
      </c>
      <c r="H1933" s="1">
        <v>1.3418604462799999</v>
      </c>
      <c r="I1933" s="1">
        <v>1.1260834442200001</v>
      </c>
      <c r="J1933" s="1">
        <v>0.57851679811800005</v>
      </c>
      <c r="K1933" s="1">
        <v>0</v>
      </c>
      <c r="L1933" s="1">
        <v>0</v>
      </c>
      <c r="M1933" s="1" t="s">
        <v>198</v>
      </c>
      <c r="N1933" s="1" t="b">
        <v>1</v>
      </c>
    </row>
    <row r="1934" spans="1:14" ht="19" customHeight="1" x14ac:dyDescent="0.3">
      <c r="A1934">
        <v>1929</v>
      </c>
      <c r="B1934" s="1">
        <v>8</v>
      </c>
      <c r="C1934" s="1">
        <v>0</v>
      </c>
      <c r="D1934" s="1">
        <v>5.5E-2</v>
      </c>
      <c r="E1934" s="1">
        <v>0.04</v>
      </c>
      <c r="F1934" s="1">
        <v>0</v>
      </c>
      <c r="G1934" s="1">
        <v>0</v>
      </c>
      <c r="H1934" s="1">
        <v>1.3723945265799999</v>
      </c>
      <c r="I1934" s="1">
        <v>1.5356100152800001</v>
      </c>
      <c r="J1934" s="1">
        <v>0.69800829038800005</v>
      </c>
      <c r="K1934" s="1">
        <v>0</v>
      </c>
      <c r="L1934" s="1">
        <v>0</v>
      </c>
      <c r="M1934" s="1" t="s">
        <v>198</v>
      </c>
      <c r="N1934" s="1" t="b">
        <v>1</v>
      </c>
    </row>
    <row r="1935" spans="1:14" ht="19" customHeight="1" x14ac:dyDescent="0.3">
      <c r="A1935">
        <v>1930</v>
      </c>
      <c r="B1935" s="1">
        <v>8</v>
      </c>
      <c r="C1935" s="1">
        <v>0</v>
      </c>
      <c r="D1935" s="1">
        <v>5.5E-2</v>
      </c>
      <c r="E1935" s="1">
        <v>0.04</v>
      </c>
      <c r="F1935" s="1">
        <v>0</v>
      </c>
      <c r="G1935" s="1">
        <v>1</v>
      </c>
      <c r="H1935" s="1">
        <v>1.3723945265799999</v>
      </c>
      <c r="I1935" s="1">
        <v>1.1517075114599999</v>
      </c>
      <c r="J1935" s="1">
        <v>0.57236679811799995</v>
      </c>
      <c r="K1935" s="1">
        <v>0</v>
      </c>
      <c r="L1935" s="1">
        <v>0</v>
      </c>
      <c r="M1935" s="1" t="s">
        <v>198</v>
      </c>
      <c r="N1935" s="1" t="b">
        <v>1</v>
      </c>
    </row>
    <row r="1936" spans="1:14" ht="19" customHeight="1" x14ac:dyDescent="0.3">
      <c r="A1936">
        <v>1931</v>
      </c>
      <c r="B1936" s="1">
        <v>8</v>
      </c>
      <c r="C1936" s="1">
        <v>0</v>
      </c>
      <c r="D1936" s="1">
        <v>5.5E-2</v>
      </c>
      <c r="E1936" s="1">
        <v>0.04</v>
      </c>
      <c r="F1936" s="1">
        <v>5</v>
      </c>
      <c r="G1936" s="1">
        <v>0</v>
      </c>
      <c r="H1936" s="1">
        <v>1.3418604462799999</v>
      </c>
      <c r="I1936" s="1">
        <v>1.5014445922899999</v>
      </c>
      <c r="J1936" s="1">
        <v>0.705508290388</v>
      </c>
      <c r="K1936" s="1">
        <v>0</v>
      </c>
      <c r="L1936" s="1">
        <v>0</v>
      </c>
      <c r="M1936" s="1" t="s">
        <v>198</v>
      </c>
      <c r="N1936" s="1" t="b">
        <v>1</v>
      </c>
    </row>
    <row r="1937" spans="1:14" ht="19" customHeight="1" x14ac:dyDescent="0.3">
      <c r="A1937">
        <v>1932</v>
      </c>
      <c r="B1937" s="1">
        <v>8</v>
      </c>
      <c r="C1937" s="1">
        <v>0</v>
      </c>
      <c r="D1937" s="1">
        <v>5.5E-2</v>
      </c>
      <c r="E1937" s="1">
        <v>0.04</v>
      </c>
      <c r="F1937" s="1">
        <v>5</v>
      </c>
      <c r="G1937" s="1">
        <v>1</v>
      </c>
      <c r="H1937" s="1">
        <v>1.3418604462799999</v>
      </c>
      <c r="I1937" s="1">
        <v>1.1260834442200001</v>
      </c>
      <c r="J1937" s="1">
        <v>0.57851679811800005</v>
      </c>
      <c r="K1937" s="1">
        <v>0</v>
      </c>
      <c r="L1937" s="1">
        <v>0</v>
      </c>
      <c r="M1937" s="1" t="s">
        <v>198</v>
      </c>
      <c r="N1937" s="1" t="b">
        <v>1</v>
      </c>
    </row>
    <row r="1938" spans="1:14" ht="19" customHeight="1" x14ac:dyDescent="0.3">
      <c r="A1938">
        <v>1933</v>
      </c>
      <c r="B1938" s="1">
        <v>8</v>
      </c>
      <c r="C1938" s="1">
        <v>0</v>
      </c>
      <c r="D1938" s="1">
        <v>5.5E-2</v>
      </c>
      <c r="E1938" s="1">
        <v>0.06</v>
      </c>
      <c r="F1938" s="1">
        <v>-5</v>
      </c>
      <c r="G1938" s="1">
        <v>0</v>
      </c>
      <c r="H1938" s="1">
        <v>1.3694900459899999</v>
      </c>
      <c r="I1938" s="1">
        <v>1.5428889918499999</v>
      </c>
      <c r="J1938" s="1">
        <v>0.70798089270499998</v>
      </c>
      <c r="K1938" s="1">
        <v>0</v>
      </c>
      <c r="L1938" s="1">
        <v>0</v>
      </c>
      <c r="M1938" s="1" t="s">
        <v>198</v>
      </c>
      <c r="N1938" s="1" t="b">
        <v>1</v>
      </c>
    </row>
    <row r="1939" spans="1:14" ht="19" customHeight="1" x14ac:dyDescent="0.3">
      <c r="A1939">
        <v>1934</v>
      </c>
      <c r="B1939" s="1">
        <v>8</v>
      </c>
      <c r="C1939" s="1">
        <v>0</v>
      </c>
      <c r="D1939" s="1">
        <v>5.5E-2</v>
      </c>
      <c r="E1939" s="1">
        <v>0.06</v>
      </c>
      <c r="F1939" s="1">
        <v>-5</v>
      </c>
      <c r="G1939" s="1">
        <v>1</v>
      </c>
      <c r="H1939" s="1">
        <v>1.3694900459899999</v>
      </c>
      <c r="I1939" s="1">
        <v>1.15716674389</v>
      </c>
      <c r="J1939" s="1">
        <v>0.58054433201800004</v>
      </c>
      <c r="K1939" s="1">
        <v>0</v>
      </c>
      <c r="L1939" s="1">
        <v>0</v>
      </c>
      <c r="M1939" s="1" t="s">
        <v>198</v>
      </c>
      <c r="N1939" s="1" t="b">
        <v>1</v>
      </c>
    </row>
    <row r="1940" spans="1:14" ht="19" customHeight="1" x14ac:dyDescent="0.3">
      <c r="A1940">
        <v>1935</v>
      </c>
      <c r="B1940" s="1">
        <v>8</v>
      </c>
      <c r="C1940" s="1">
        <v>0</v>
      </c>
      <c r="D1940" s="1">
        <v>5.5E-2</v>
      </c>
      <c r="E1940" s="1">
        <v>0.06</v>
      </c>
      <c r="F1940" s="1">
        <v>0</v>
      </c>
      <c r="G1940" s="1">
        <v>0</v>
      </c>
      <c r="H1940" s="1">
        <v>1.4006528387699999</v>
      </c>
      <c r="I1940" s="1">
        <v>1.5779974835699999</v>
      </c>
      <c r="J1940" s="1">
        <v>0.70048089270500002</v>
      </c>
      <c r="K1940" s="1">
        <v>0</v>
      </c>
      <c r="L1940" s="1">
        <v>0</v>
      </c>
      <c r="M1940" s="1" t="s">
        <v>198</v>
      </c>
      <c r="N1940" s="1" t="b">
        <v>1</v>
      </c>
    </row>
    <row r="1941" spans="1:14" ht="19" customHeight="1" x14ac:dyDescent="0.3">
      <c r="A1941">
        <v>1936</v>
      </c>
      <c r="B1941" s="1">
        <v>8</v>
      </c>
      <c r="C1941" s="1">
        <v>0</v>
      </c>
      <c r="D1941" s="1">
        <v>5.5E-2</v>
      </c>
      <c r="E1941" s="1">
        <v>0.06</v>
      </c>
      <c r="F1941" s="1">
        <v>0</v>
      </c>
      <c r="G1941" s="1">
        <v>1</v>
      </c>
      <c r="H1941" s="1">
        <v>1.4006528387699999</v>
      </c>
      <c r="I1941" s="1">
        <v>1.1834981126799999</v>
      </c>
      <c r="J1941" s="1">
        <v>0.57439433201800005</v>
      </c>
      <c r="K1941" s="1">
        <v>0</v>
      </c>
      <c r="L1941" s="1">
        <v>0</v>
      </c>
      <c r="M1941" s="1" t="s">
        <v>198</v>
      </c>
      <c r="N1941" s="1" t="b">
        <v>1</v>
      </c>
    </row>
    <row r="1942" spans="1:14" ht="19" customHeight="1" x14ac:dyDescent="0.3">
      <c r="A1942">
        <v>1937</v>
      </c>
      <c r="B1942" s="1">
        <v>8</v>
      </c>
      <c r="C1942" s="1">
        <v>0</v>
      </c>
      <c r="D1942" s="1">
        <v>5.5E-2</v>
      </c>
      <c r="E1942" s="1">
        <v>0.06</v>
      </c>
      <c r="F1942" s="1">
        <v>5</v>
      </c>
      <c r="G1942" s="1">
        <v>0</v>
      </c>
      <c r="H1942" s="1">
        <v>1.3694900459899999</v>
      </c>
      <c r="I1942" s="1">
        <v>1.5428889918499999</v>
      </c>
      <c r="J1942" s="1">
        <v>0.70798089270499998</v>
      </c>
      <c r="K1942" s="1">
        <v>0</v>
      </c>
      <c r="L1942" s="1">
        <v>0</v>
      </c>
      <c r="M1942" s="1" t="s">
        <v>198</v>
      </c>
      <c r="N1942" s="1" t="b">
        <v>1</v>
      </c>
    </row>
    <row r="1943" spans="1:14" ht="19" customHeight="1" x14ac:dyDescent="0.3">
      <c r="A1943">
        <v>1938</v>
      </c>
      <c r="B1943" s="1">
        <v>8</v>
      </c>
      <c r="C1943" s="1">
        <v>0</v>
      </c>
      <c r="D1943" s="1">
        <v>5.5E-2</v>
      </c>
      <c r="E1943" s="1">
        <v>0.06</v>
      </c>
      <c r="F1943" s="1">
        <v>5</v>
      </c>
      <c r="G1943" s="1">
        <v>1</v>
      </c>
      <c r="H1943" s="1">
        <v>1.3694900459899999</v>
      </c>
      <c r="I1943" s="1">
        <v>1.15716674389</v>
      </c>
      <c r="J1943" s="1">
        <v>0.58054433201800004</v>
      </c>
      <c r="K1943" s="1">
        <v>0</v>
      </c>
      <c r="L1943" s="1">
        <v>0</v>
      </c>
      <c r="M1943" s="1" t="s">
        <v>198</v>
      </c>
      <c r="N1943" s="1" t="b">
        <v>1</v>
      </c>
    </row>
    <row r="1944" spans="1:14" ht="19" customHeight="1" x14ac:dyDescent="0.3">
      <c r="A1944">
        <v>1939</v>
      </c>
      <c r="B1944" s="1">
        <v>8</v>
      </c>
      <c r="C1944" s="1">
        <v>0</v>
      </c>
      <c r="D1944" s="1">
        <v>5.5E-2</v>
      </c>
      <c r="E1944" s="1">
        <v>8.5000000000000006E-2</v>
      </c>
      <c r="F1944" s="1">
        <v>-5</v>
      </c>
      <c r="G1944" s="1">
        <v>0</v>
      </c>
      <c r="H1944" s="1">
        <v>1.29885550048</v>
      </c>
      <c r="I1944" s="1">
        <v>1.4369371735800001</v>
      </c>
      <c r="J1944" s="1">
        <v>0.70165973196700004</v>
      </c>
      <c r="K1944" s="1">
        <v>0</v>
      </c>
      <c r="L1944" s="1">
        <v>0</v>
      </c>
      <c r="M1944" s="1" t="s">
        <v>198</v>
      </c>
      <c r="N1944" s="1" t="b">
        <v>1</v>
      </c>
    </row>
    <row r="1945" spans="1:14" ht="19" customHeight="1" x14ac:dyDescent="0.3">
      <c r="A1945">
        <v>1940</v>
      </c>
      <c r="B1945" s="1">
        <v>8</v>
      </c>
      <c r="C1945" s="1">
        <v>0</v>
      </c>
      <c r="D1945" s="1">
        <v>5.5E-2</v>
      </c>
      <c r="E1945" s="1">
        <v>8.5000000000000006E-2</v>
      </c>
      <c r="F1945" s="1">
        <v>-5</v>
      </c>
      <c r="G1945" s="1">
        <v>1</v>
      </c>
      <c r="H1945" s="1">
        <v>1.29885550048</v>
      </c>
      <c r="I1945" s="1">
        <v>1.0777028801899999</v>
      </c>
      <c r="J1945" s="1">
        <v>0.57536098021299997</v>
      </c>
      <c r="K1945" s="1">
        <v>0</v>
      </c>
      <c r="L1945" s="1">
        <v>0</v>
      </c>
      <c r="M1945" s="1" t="s">
        <v>198</v>
      </c>
      <c r="N1945" s="1" t="b">
        <v>1</v>
      </c>
    </row>
    <row r="1946" spans="1:14" ht="19" customHeight="1" x14ac:dyDescent="0.3">
      <c r="A1946">
        <v>1941</v>
      </c>
      <c r="B1946" s="1">
        <v>8</v>
      </c>
      <c r="C1946" s="1">
        <v>0</v>
      </c>
      <c r="D1946" s="1">
        <v>5.5E-2</v>
      </c>
      <c r="E1946" s="1">
        <v>8.5000000000000006E-2</v>
      </c>
      <c r="F1946" s="1">
        <v>0</v>
      </c>
      <c r="G1946" s="1">
        <v>0</v>
      </c>
      <c r="H1946" s="1">
        <v>1.3284110017699999</v>
      </c>
      <c r="I1946" s="1">
        <v>1.46963472806</v>
      </c>
      <c r="J1946" s="1">
        <v>0.69415973196699998</v>
      </c>
      <c r="K1946" s="1">
        <v>0</v>
      </c>
      <c r="L1946" s="1">
        <v>0</v>
      </c>
      <c r="M1946" s="1" t="s">
        <v>198</v>
      </c>
      <c r="N1946" s="1" t="b">
        <v>1</v>
      </c>
    </row>
    <row r="1947" spans="1:14" ht="19" customHeight="1" x14ac:dyDescent="0.3">
      <c r="A1947">
        <v>1942</v>
      </c>
      <c r="B1947" s="1">
        <v>8</v>
      </c>
      <c r="C1947" s="1">
        <v>0</v>
      </c>
      <c r="D1947" s="1">
        <v>5.5E-2</v>
      </c>
      <c r="E1947" s="1">
        <v>8.5000000000000006E-2</v>
      </c>
      <c r="F1947" s="1">
        <v>0</v>
      </c>
      <c r="G1947" s="1">
        <v>1</v>
      </c>
      <c r="H1947" s="1">
        <v>1.3284110017699999</v>
      </c>
      <c r="I1947" s="1">
        <v>1.10222604604</v>
      </c>
      <c r="J1947" s="1">
        <v>0.56921098021299998</v>
      </c>
      <c r="K1947" s="1">
        <v>0</v>
      </c>
      <c r="L1947" s="1">
        <v>0</v>
      </c>
      <c r="M1947" s="1" t="s">
        <v>198</v>
      </c>
      <c r="N1947" s="1" t="b">
        <v>1</v>
      </c>
    </row>
    <row r="1948" spans="1:14" ht="19" customHeight="1" x14ac:dyDescent="0.3">
      <c r="A1948">
        <v>1943</v>
      </c>
      <c r="B1948" s="1">
        <v>8</v>
      </c>
      <c r="C1948" s="1">
        <v>0</v>
      </c>
      <c r="D1948" s="1">
        <v>5.5E-2</v>
      </c>
      <c r="E1948" s="1">
        <v>8.5000000000000006E-2</v>
      </c>
      <c r="F1948" s="1">
        <v>5</v>
      </c>
      <c r="G1948" s="1">
        <v>0</v>
      </c>
      <c r="H1948" s="1">
        <v>1.29885550048</v>
      </c>
      <c r="I1948" s="1">
        <v>1.4369371735800001</v>
      </c>
      <c r="J1948" s="1">
        <v>0.70165973196700004</v>
      </c>
      <c r="K1948" s="1">
        <v>0</v>
      </c>
      <c r="L1948" s="1">
        <v>0</v>
      </c>
      <c r="M1948" s="1" t="s">
        <v>198</v>
      </c>
      <c r="N1948" s="1" t="b">
        <v>1</v>
      </c>
    </row>
    <row r="1949" spans="1:14" ht="19" customHeight="1" x14ac:dyDescent="0.3">
      <c r="A1949">
        <v>1944</v>
      </c>
      <c r="B1949" s="1">
        <v>8</v>
      </c>
      <c r="C1949" s="1">
        <v>0</v>
      </c>
      <c r="D1949" s="1">
        <v>5.5E-2</v>
      </c>
      <c r="E1949" s="1">
        <v>8.5000000000000006E-2</v>
      </c>
      <c r="F1949" s="1">
        <v>5</v>
      </c>
      <c r="G1949" s="1">
        <v>1</v>
      </c>
      <c r="H1949" s="1">
        <v>1.29885550048</v>
      </c>
      <c r="I1949" s="1">
        <v>1.0777028801899999</v>
      </c>
      <c r="J1949" s="1">
        <v>0.57536098021299997</v>
      </c>
      <c r="K1949" s="1">
        <v>0</v>
      </c>
      <c r="L1949" s="1">
        <v>0</v>
      </c>
      <c r="M1949" s="1" t="s">
        <v>198</v>
      </c>
      <c r="N1949" s="1" t="b">
        <v>1</v>
      </c>
    </row>
    <row r="1950" spans="1:14" ht="19" customHeight="1" x14ac:dyDescent="0.3">
      <c r="A1950">
        <v>1945</v>
      </c>
      <c r="B1950" s="1">
        <v>8</v>
      </c>
      <c r="C1950" s="1">
        <v>30</v>
      </c>
      <c r="D1950" s="1">
        <v>2.5000000000000001E-2</v>
      </c>
      <c r="E1950" s="1">
        <v>0.04</v>
      </c>
      <c r="F1950" s="1">
        <v>-5</v>
      </c>
      <c r="G1950" s="1">
        <v>0</v>
      </c>
      <c r="H1950" s="1">
        <v>1.47575673489</v>
      </c>
      <c r="I1950" s="1">
        <v>1.70228902521</v>
      </c>
      <c r="J1950" s="1">
        <v>0.71749081192099995</v>
      </c>
      <c r="K1950" s="1">
        <v>2627.8465878799998</v>
      </c>
      <c r="L1950" s="1">
        <v>593.27521510700001</v>
      </c>
      <c r="M1950" s="1" t="s">
        <v>198</v>
      </c>
      <c r="N1950" s="1" t="b">
        <v>1</v>
      </c>
    </row>
    <row r="1951" spans="1:14" ht="19" customHeight="1" x14ac:dyDescent="0.3">
      <c r="A1951">
        <v>1946</v>
      </c>
      <c r="B1951" s="1">
        <v>8</v>
      </c>
      <c r="C1951" s="1">
        <v>30</v>
      </c>
      <c r="D1951" s="1">
        <v>2.5000000000000001E-2</v>
      </c>
      <c r="E1951" s="1">
        <v>0.04</v>
      </c>
      <c r="F1951" s="1">
        <v>-5</v>
      </c>
      <c r="G1951" s="1">
        <v>1</v>
      </c>
      <c r="H1951" s="1">
        <v>1.47575673489</v>
      </c>
      <c r="I1951" s="1">
        <v>1.2767167689100001</v>
      </c>
      <c r="J1951" s="1">
        <v>0.58834246577500005</v>
      </c>
      <c r="K1951" s="1">
        <v>2275.9515284499998</v>
      </c>
      <c r="L1951" s="1">
        <v>486.485676388</v>
      </c>
      <c r="M1951" s="1" t="s">
        <v>198</v>
      </c>
      <c r="N1951" s="1" t="b">
        <v>1</v>
      </c>
    </row>
    <row r="1952" spans="1:14" ht="19" customHeight="1" x14ac:dyDescent="0.3">
      <c r="A1952">
        <v>1947</v>
      </c>
      <c r="B1952" s="1">
        <v>8</v>
      </c>
      <c r="C1952" s="1">
        <v>30</v>
      </c>
      <c r="D1952" s="1">
        <v>2.5000000000000001E-2</v>
      </c>
      <c r="E1952" s="1">
        <v>0.04</v>
      </c>
      <c r="F1952" s="1">
        <v>0</v>
      </c>
      <c r="G1952" s="1">
        <v>0</v>
      </c>
      <c r="H1952" s="1">
        <v>1.5093376298100001</v>
      </c>
      <c r="I1952" s="1">
        <v>1.7410246701300001</v>
      </c>
      <c r="J1952" s="1">
        <v>0.709990811921</v>
      </c>
      <c r="K1952" s="1">
        <v>2687.6433267699999</v>
      </c>
      <c r="L1952" s="1">
        <v>587.07365260699999</v>
      </c>
      <c r="M1952" s="1" t="s">
        <v>198</v>
      </c>
      <c r="N1952" s="1" t="b">
        <v>1</v>
      </c>
    </row>
    <row r="1953" spans="1:14" ht="19" customHeight="1" x14ac:dyDescent="0.3">
      <c r="A1953">
        <v>1948</v>
      </c>
      <c r="B1953" s="1">
        <v>8</v>
      </c>
      <c r="C1953" s="1">
        <v>30</v>
      </c>
      <c r="D1953" s="1">
        <v>2.5000000000000001E-2</v>
      </c>
      <c r="E1953" s="1">
        <v>0.04</v>
      </c>
      <c r="F1953" s="1">
        <v>0</v>
      </c>
      <c r="G1953" s="1">
        <v>1</v>
      </c>
      <c r="H1953" s="1">
        <v>1.5093376298100001</v>
      </c>
      <c r="I1953" s="1">
        <v>1.3057685026000001</v>
      </c>
      <c r="J1953" s="1">
        <v>0.58219246577499995</v>
      </c>
      <c r="K1953" s="1">
        <v>2327.7408832400001</v>
      </c>
      <c r="L1953" s="1">
        <v>481.40039513800002</v>
      </c>
      <c r="M1953" s="1" t="s">
        <v>198</v>
      </c>
      <c r="N1953" s="1" t="b">
        <v>1</v>
      </c>
    </row>
    <row r="1954" spans="1:14" ht="19" customHeight="1" x14ac:dyDescent="0.3">
      <c r="A1954">
        <v>1949</v>
      </c>
      <c r="B1954" s="1">
        <v>8</v>
      </c>
      <c r="C1954" s="1">
        <v>30</v>
      </c>
      <c r="D1954" s="1">
        <v>2.5000000000000001E-2</v>
      </c>
      <c r="E1954" s="1">
        <v>0.04</v>
      </c>
      <c r="F1954" s="1">
        <v>5</v>
      </c>
      <c r="G1954" s="1">
        <v>0</v>
      </c>
      <c r="H1954" s="1">
        <v>1.47575673489</v>
      </c>
      <c r="I1954" s="1">
        <v>1.70228902521</v>
      </c>
      <c r="J1954" s="1">
        <v>0.71749081192099995</v>
      </c>
      <c r="K1954" s="1">
        <v>2627.8465878799998</v>
      </c>
      <c r="L1954" s="1">
        <v>593.27521510700001</v>
      </c>
      <c r="M1954" s="1" t="s">
        <v>198</v>
      </c>
      <c r="N1954" s="1" t="b">
        <v>1</v>
      </c>
    </row>
    <row r="1955" spans="1:14" ht="19" customHeight="1" x14ac:dyDescent="0.3">
      <c r="A1955">
        <v>1950</v>
      </c>
      <c r="B1955" s="1">
        <v>8</v>
      </c>
      <c r="C1955" s="1">
        <v>30</v>
      </c>
      <c r="D1955" s="1">
        <v>2.5000000000000001E-2</v>
      </c>
      <c r="E1955" s="1">
        <v>0.04</v>
      </c>
      <c r="F1955" s="1">
        <v>5</v>
      </c>
      <c r="G1955" s="1">
        <v>1</v>
      </c>
      <c r="H1955" s="1">
        <v>1.47575673489</v>
      </c>
      <c r="I1955" s="1">
        <v>1.2767167689100001</v>
      </c>
      <c r="J1955" s="1">
        <v>0.58834246577500005</v>
      </c>
      <c r="K1955" s="1">
        <v>2275.9515284499998</v>
      </c>
      <c r="L1955" s="1">
        <v>486.485676388</v>
      </c>
      <c r="M1955" s="1" t="s">
        <v>198</v>
      </c>
      <c r="N1955" s="1" t="b">
        <v>1</v>
      </c>
    </row>
    <row r="1956" spans="1:14" ht="19" customHeight="1" x14ac:dyDescent="0.3">
      <c r="A1956">
        <v>1951</v>
      </c>
      <c r="B1956" s="1">
        <v>8</v>
      </c>
      <c r="C1956" s="1">
        <v>30</v>
      </c>
      <c r="D1956" s="1">
        <v>2.5000000000000001E-2</v>
      </c>
      <c r="E1956" s="1">
        <v>0.06</v>
      </c>
      <c r="F1956" s="1">
        <v>-5</v>
      </c>
      <c r="G1956" s="1">
        <v>0</v>
      </c>
      <c r="H1956" s="1">
        <v>1.5163717485299999</v>
      </c>
      <c r="I1956" s="1">
        <v>1.7632115456599999</v>
      </c>
      <c r="J1956" s="1">
        <v>0.72112549276600002</v>
      </c>
      <c r="K1956" s="1">
        <v>2711.8054363800002</v>
      </c>
      <c r="L1956" s="1">
        <v>596.28064183100003</v>
      </c>
      <c r="M1956" s="1" t="s">
        <v>198</v>
      </c>
      <c r="N1956" s="1" t="b">
        <v>1</v>
      </c>
    </row>
    <row r="1957" spans="1:14" ht="19" customHeight="1" x14ac:dyDescent="0.3">
      <c r="A1957">
        <v>1952</v>
      </c>
      <c r="B1957" s="1">
        <v>8</v>
      </c>
      <c r="C1957" s="1">
        <v>30</v>
      </c>
      <c r="D1957" s="1">
        <v>2.5000000000000001E-2</v>
      </c>
      <c r="E1957" s="1">
        <v>0.06</v>
      </c>
      <c r="F1957" s="1">
        <v>-5</v>
      </c>
      <c r="G1957" s="1">
        <v>1</v>
      </c>
      <c r="H1957" s="1">
        <v>1.5163717485299999</v>
      </c>
      <c r="I1957" s="1">
        <v>1.32240865924</v>
      </c>
      <c r="J1957" s="1">
        <v>0.59132290406800003</v>
      </c>
      <c r="K1957" s="1">
        <v>2347.3165496800002</v>
      </c>
      <c r="L1957" s="1">
        <v>488.95012630100001</v>
      </c>
      <c r="M1957" s="1" t="s">
        <v>198</v>
      </c>
      <c r="N1957" s="1" t="b">
        <v>1</v>
      </c>
    </row>
    <row r="1958" spans="1:14" ht="19" customHeight="1" x14ac:dyDescent="0.3">
      <c r="A1958">
        <v>1953</v>
      </c>
      <c r="B1958" s="1">
        <v>8</v>
      </c>
      <c r="C1958" s="1">
        <v>30</v>
      </c>
      <c r="D1958" s="1">
        <v>2.5000000000000001E-2</v>
      </c>
      <c r="E1958" s="1">
        <v>0.06</v>
      </c>
      <c r="F1958" s="1">
        <v>0</v>
      </c>
      <c r="G1958" s="1">
        <v>0</v>
      </c>
      <c r="H1958" s="1">
        <v>1.5508768394700001</v>
      </c>
      <c r="I1958" s="1">
        <v>1.80333348462</v>
      </c>
      <c r="J1958" s="1">
        <v>0.71362549276599996</v>
      </c>
      <c r="K1958" s="1">
        <v>2773.5126617300002</v>
      </c>
      <c r="L1958" s="1">
        <v>590.079079331</v>
      </c>
      <c r="M1958" s="1" t="s">
        <v>198</v>
      </c>
      <c r="N1958" s="1" t="b">
        <v>1</v>
      </c>
    </row>
    <row r="1959" spans="1:14" ht="19" customHeight="1" x14ac:dyDescent="0.3">
      <c r="A1959">
        <v>1954</v>
      </c>
      <c r="B1959" s="1">
        <v>8</v>
      </c>
      <c r="C1959" s="1">
        <v>30</v>
      </c>
      <c r="D1959" s="1">
        <v>2.5000000000000001E-2</v>
      </c>
      <c r="E1959" s="1">
        <v>0.06</v>
      </c>
      <c r="F1959" s="1">
        <v>0</v>
      </c>
      <c r="G1959" s="1">
        <v>1</v>
      </c>
      <c r="H1959" s="1">
        <v>1.5508768394700001</v>
      </c>
      <c r="I1959" s="1">
        <v>1.3525001134700001</v>
      </c>
      <c r="J1959" s="1">
        <v>0.58517290406800004</v>
      </c>
      <c r="K1959" s="1">
        <v>2400.7298179600002</v>
      </c>
      <c r="L1959" s="1">
        <v>483.86484505099997</v>
      </c>
      <c r="M1959" s="1" t="s">
        <v>198</v>
      </c>
      <c r="N1959" s="1" t="b">
        <v>1</v>
      </c>
    </row>
    <row r="1960" spans="1:14" ht="19" customHeight="1" x14ac:dyDescent="0.3">
      <c r="A1960">
        <v>1955</v>
      </c>
      <c r="B1960" s="1">
        <v>8</v>
      </c>
      <c r="C1960" s="1">
        <v>30</v>
      </c>
      <c r="D1960" s="1">
        <v>2.5000000000000001E-2</v>
      </c>
      <c r="E1960" s="1">
        <v>0.06</v>
      </c>
      <c r="F1960" s="1">
        <v>5</v>
      </c>
      <c r="G1960" s="1">
        <v>0</v>
      </c>
      <c r="H1960" s="1">
        <v>1.5163717485299999</v>
      </c>
      <c r="I1960" s="1">
        <v>1.7632115456599999</v>
      </c>
      <c r="J1960" s="1">
        <v>0.72112549276600002</v>
      </c>
      <c r="K1960" s="1">
        <v>2711.8054363800002</v>
      </c>
      <c r="L1960" s="1">
        <v>596.28064183100003</v>
      </c>
      <c r="M1960" s="1" t="s">
        <v>198</v>
      </c>
      <c r="N1960" s="1" t="b">
        <v>1</v>
      </c>
    </row>
    <row r="1961" spans="1:14" ht="19" customHeight="1" x14ac:dyDescent="0.3">
      <c r="A1961">
        <v>1956</v>
      </c>
      <c r="B1961" s="1">
        <v>8</v>
      </c>
      <c r="C1961" s="1">
        <v>30</v>
      </c>
      <c r="D1961" s="1">
        <v>2.5000000000000001E-2</v>
      </c>
      <c r="E1961" s="1">
        <v>0.06</v>
      </c>
      <c r="F1961" s="1">
        <v>5</v>
      </c>
      <c r="G1961" s="1">
        <v>1</v>
      </c>
      <c r="H1961" s="1">
        <v>1.5163717485299999</v>
      </c>
      <c r="I1961" s="1">
        <v>1.32240865924</v>
      </c>
      <c r="J1961" s="1">
        <v>0.59132290406800003</v>
      </c>
      <c r="K1961" s="1">
        <v>2347.3165496800002</v>
      </c>
      <c r="L1961" s="1">
        <v>488.95012630100001</v>
      </c>
      <c r="M1961" s="1" t="s">
        <v>198</v>
      </c>
      <c r="N1961" s="1" t="b">
        <v>1</v>
      </c>
    </row>
    <row r="1962" spans="1:14" ht="19" customHeight="1" x14ac:dyDescent="0.3">
      <c r="A1962">
        <v>1957</v>
      </c>
      <c r="B1962" s="1">
        <v>8</v>
      </c>
      <c r="C1962" s="1">
        <v>30</v>
      </c>
      <c r="D1962" s="1">
        <v>2.5000000000000001E-2</v>
      </c>
      <c r="E1962" s="1">
        <v>8.5000000000000006E-2</v>
      </c>
      <c r="F1962" s="1">
        <v>-5</v>
      </c>
      <c r="G1962" s="1">
        <v>0</v>
      </c>
      <c r="H1962" s="1">
        <v>1.41254023958</v>
      </c>
      <c r="I1962" s="1">
        <v>1.60746428224</v>
      </c>
      <c r="J1962" s="1">
        <v>0.71183350039899995</v>
      </c>
      <c r="K1962" s="1">
        <v>2497.1662389899998</v>
      </c>
      <c r="L1962" s="1">
        <v>588.59732564299998</v>
      </c>
      <c r="M1962" s="1" t="s">
        <v>198</v>
      </c>
      <c r="N1962" s="1" t="b">
        <v>1</v>
      </c>
    </row>
    <row r="1963" spans="1:14" ht="19" customHeight="1" x14ac:dyDescent="0.3">
      <c r="A1963">
        <v>1958</v>
      </c>
      <c r="B1963" s="1">
        <v>8</v>
      </c>
      <c r="C1963" s="1">
        <v>30</v>
      </c>
      <c r="D1963" s="1">
        <v>2.5000000000000001E-2</v>
      </c>
      <c r="E1963" s="1">
        <v>8.5000000000000006E-2</v>
      </c>
      <c r="F1963" s="1">
        <v>-5</v>
      </c>
      <c r="G1963" s="1">
        <v>1</v>
      </c>
      <c r="H1963" s="1">
        <v>1.41254023958</v>
      </c>
      <c r="I1963" s="1">
        <v>1.2055982116799999</v>
      </c>
      <c r="J1963" s="1">
        <v>0.58370347032699998</v>
      </c>
      <c r="K1963" s="1">
        <v>2164.8732318900002</v>
      </c>
      <c r="L1963" s="1">
        <v>482.64980702700001</v>
      </c>
      <c r="M1963" s="1" t="s">
        <v>198</v>
      </c>
      <c r="N1963" s="1" t="b">
        <v>1</v>
      </c>
    </row>
    <row r="1964" spans="1:14" ht="19" customHeight="1" x14ac:dyDescent="0.3">
      <c r="A1964">
        <v>1959</v>
      </c>
      <c r="B1964" s="1">
        <v>8</v>
      </c>
      <c r="C1964" s="1">
        <v>30</v>
      </c>
      <c r="D1964" s="1">
        <v>2.5000000000000001E-2</v>
      </c>
      <c r="E1964" s="1">
        <v>8.5000000000000006E-2</v>
      </c>
      <c r="F1964" s="1">
        <v>0</v>
      </c>
      <c r="G1964" s="1">
        <v>0</v>
      </c>
      <c r="H1964" s="1">
        <v>1.444682641</v>
      </c>
      <c r="I1964" s="1">
        <v>1.6440421868999999</v>
      </c>
      <c r="J1964" s="1">
        <v>0.704333500399</v>
      </c>
      <c r="K1964" s="1">
        <v>2553.98934207</v>
      </c>
      <c r="L1964" s="1">
        <v>582.39576314299995</v>
      </c>
      <c r="M1964" s="1" t="s">
        <v>198</v>
      </c>
      <c r="N1964" s="1" t="b">
        <v>1</v>
      </c>
    </row>
    <row r="1965" spans="1:14" ht="19" customHeight="1" x14ac:dyDescent="0.3">
      <c r="A1965">
        <v>1960</v>
      </c>
      <c r="B1965" s="1">
        <v>8</v>
      </c>
      <c r="C1965" s="1">
        <v>30</v>
      </c>
      <c r="D1965" s="1">
        <v>2.5000000000000001E-2</v>
      </c>
      <c r="E1965" s="1">
        <v>8.5000000000000006E-2</v>
      </c>
      <c r="F1965" s="1">
        <v>0</v>
      </c>
      <c r="G1965" s="1">
        <v>1</v>
      </c>
      <c r="H1965" s="1">
        <v>1.444682641</v>
      </c>
      <c r="I1965" s="1">
        <v>1.2330316401800001</v>
      </c>
      <c r="J1965" s="1">
        <v>0.577553470327</v>
      </c>
      <c r="K1965" s="1">
        <v>2214.1349962499999</v>
      </c>
      <c r="L1965" s="1">
        <v>477.56452577699997</v>
      </c>
      <c r="M1965" s="1" t="s">
        <v>198</v>
      </c>
      <c r="N1965" s="1" t="b">
        <v>1</v>
      </c>
    </row>
    <row r="1966" spans="1:14" ht="19" customHeight="1" x14ac:dyDescent="0.3">
      <c r="A1966">
        <v>1961</v>
      </c>
      <c r="B1966" s="1">
        <v>8</v>
      </c>
      <c r="C1966" s="1">
        <v>30</v>
      </c>
      <c r="D1966" s="1">
        <v>2.5000000000000001E-2</v>
      </c>
      <c r="E1966" s="1">
        <v>8.5000000000000006E-2</v>
      </c>
      <c r="F1966" s="1">
        <v>5</v>
      </c>
      <c r="G1966" s="1">
        <v>0</v>
      </c>
      <c r="H1966" s="1">
        <v>1.41254023958</v>
      </c>
      <c r="I1966" s="1">
        <v>1.60746428224</v>
      </c>
      <c r="J1966" s="1">
        <v>0.71183350039899995</v>
      </c>
      <c r="K1966" s="1">
        <v>2497.1662389899998</v>
      </c>
      <c r="L1966" s="1">
        <v>588.59732564299998</v>
      </c>
      <c r="M1966" s="1" t="s">
        <v>198</v>
      </c>
      <c r="N1966" s="1" t="b">
        <v>1</v>
      </c>
    </row>
    <row r="1967" spans="1:14" ht="19" customHeight="1" x14ac:dyDescent="0.3">
      <c r="A1967">
        <v>1962</v>
      </c>
      <c r="B1967" s="1">
        <v>8</v>
      </c>
      <c r="C1967" s="1">
        <v>30</v>
      </c>
      <c r="D1967" s="1">
        <v>2.5000000000000001E-2</v>
      </c>
      <c r="E1967" s="1">
        <v>8.5000000000000006E-2</v>
      </c>
      <c r="F1967" s="1">
        <v>5</v>
      </c>
      <c r="G1967" s="1">
        <v>1</v>
      </c>
      <c r="H1967" s="1">
        <v>1.41254023958</v>
      </c>
      <c r="I1967" s="1">
        <v>1.2055982116799999</v>
      </c>
      <c r="J1967" s="1">
        <v>0.58370347032699998</v>
      </c>
      <c r="K1967" s="1">
        <v>2164.8732318900002</v>
      </c>
      <c r="L1967" s="1">
        <v>482.64980702700001</v>
      </c>
      <c r="M1967" s="1" t="s">
        <v>198</v>
      </c>
      <c r="N1967" s="1" t="b">
        <v>1</v>
      </c>
    </row>
    <row r="1968" spans="1:14" ht="19" customHeight="1" x14ac:dyDescent="0.3">
      <c r="A1968">
        <v>1963</v>
      </c>
      <c r="B1968" s="1">
        <v>8</v>
      </c>
      <c r="C1968" s="1">
        <v>30</v>
      </c>
      <c r="D1968" s="1">
        <v>0.04</v>
      </c>
      <c r="E1968" s="1">
        <v>0.04</v>
      </c>
      <c r="F1968" s="1">
        <v>-5</v>
      </c>
      <c r="G1968" s="1">
        <v>0</v>
      </c>
      <c r="H1968" s="1">
        <v>1.4817455483499999</v>
      </c>
      <c r="I1968" s="1">
        <v>1.71127224539</v>
      </c>
      <c r="J1968" s="1">
        <v>0.71802675721800002</v>
      </c>
      <c r="K1968" s="1">
        <v>2640.2265881899998</v>
      </c>
      <c r="L1968" s="1">
        <v>593.71837487499999</v>
      </c>
      <c r="M1968" s="1" t="s">
        <v>198</v>
      </c>
      <c r="N1968" s="1" t="b">
        <v>1</v>
      </c>
    </row>
    <row r="1969" spans="1:14" ht="19" customHeight="1" x14ac:dyDescent="0.3">
      <c r="A1969">
        <v>1964</v>
      </c>
      <c r="B1969" s="1">
        <v>8</v>
      </c>
      <c r="C1969" s="1">
        <v>30</v>
      </c>
      <c r="D1969" s="1">
        <v>0.04</v>
      </c>
      <c r="E1969" s="1">
        <v>0.04</v>
      </c>
      <c r="F1969" s="1">
        <v>-5</v>
      </c>
      <c r="G1969" s="1">
        <v>1</v>
      </c>
      <c r="H1969" s="1">
        <v>1.4817455483499999</v>
      </c>
      <c r="I1969" s="1">
        <v>1.28345418404</v>
      </c>
      <c r="J1969" s="1">
        <v>0.58878194091900005</v>
      </c>
      <c r="K1969" s="1">
        <v>2286.4745287199999</v>
      </c>
      <c r="L1969" s="1">
        <v>486.849067397</v>
      </c>
      <c r="M1969" s="1" t="s">
        <v>198</v>
      </c>
      <c r="N1969" s="1" t="b">
        <v>1</v>
      </c>
    </row>
    <row r="1970" spans="1:14" ht="19" customHeight="1" x14ac:dyDescent="0.3">
      <c r="A1970">
        <v>1965</v>
      </c>
      <c r="B1970" s="1">
        <v>8</v>
      </c>
      <c r="C1970" s="1">
        <v>30</v>
      </c>
      <c r="D1970" s="1">
        <v>0.04</v>
      </c>
      <c r="E1970" s="1">
        <v>0.04</v>
      </c>
      <c r="F1970" s="1">
        <v>0</v>
      </c>
      <c r="G1970" s="1">
        <v>0</v>
      </c>
      <c r="H1970" s="1">
        <v>1.5154627189200001</v>
      </c>
      <c r="I1970" s="1">
        <v>1.7502123037899999</v>
      </c>
      <c r="J1970" s="1">
        <v>0.71052675721799996</v>
      </c>
      <c r="K1970" s="1">
        <v>2700.3050344100002</v>
      </c>
      <c r="L1970" s="1">
        <v>587.51681237499997</v>
      </c>
      <c r="M1970" s="1" t="s">
        <v>198</v>
      </c>
      <c r="N1970" s="1" t="b">
        <v>1</v>
      </c>
    </row>
    <row r="1971" spans="1:14" ht="19" customHeight="1" x14ac:dyDescent="0.3">
      <c r="A1971">
        <v>1966</v>
      </c>
      <c r="B1971" s="1">
        <v>8</v>
      </c>
      <c r="C1971" s="1">
        <v>30</v>
      </c>
      <c r="D1971" s="1">
        <v>0.04</v>
      </c>
      <c r="E1971" s="1">
        <v>0.04</v>
      </c>
      <c r="F1971" s="1">
        <v>0</v>
      </c>
      <c r="G1971" s="1">
        <v>1</v>
      </c>
      <c r="H1971" s="1">
        <v>1.5154627189200001</v>
      </c>
      <c r="I1971" s="1">
        <v>1.31265922785</v>
      </c>
      <c r="J1971" s="1">
        <v>0.58263194091899995</v>
      </c>
      <c r="K1971" s="1">
        <v>2338.50333473</v>
      </c>
      <c r="L1971" s="1">
        <v>481.76378614700002</v>
      </c>
      <c r="M1971" s="1" t="s">
        <v>198</v>
      </c>
      <c r="N1971" s="1" t="b">
        <v>1</v>
      </c>
    </row>
    <row r="1972" spans="1:14" ht="19" customHeight="1" x14ac:dyDescent="0.3">
      <c r="A1972">
        <v>1967</v>
      </c>
      <c r="B1972" s="1">
        <v>8</v>
      </c>
      <c r="C1972" s="1">
        <v>30</v>
      </c>
      <c r="D1972" s="1">
        <v>0.04</v>
      </c>
      <c r="E1972" s="1">
        <v>0.04</v>
      </c>
      <c r="F1972" s="1">
        <v>5</v>
      </c>
      <c r="G1972" s="1">
        <v>0</v>
      </c>
      <c r="H1972" s="1">
        <v>1.4817455483499999</v>
      </c>
      <c r="I1972" s="1">
        <v>1.71127224539</v>
      </c>
      <c r="J1972" s="1">
        <v>0.71802675721800002</v>
      </c>
      <c r="K1972" s="1">
        <v>2640.2265881899998</v>
      </c>
      <c r="L1972" s="1">
        <v>593.71837487499999</v>
      </c>
      <c r="M1972" s="1" t="s">
        <v>198</v>
      </c>
      <c r="N1972" s="1" t="b">
        <v>1</v>
      </c>
    </row>
    <row r="1973" spans="1:14" ht="19" customHeight="1" x14ac:dyDescent="0.3">
      <c r="A1973">
        <v>1968</v>
      </c>
      <c r="B1973" s="1">
        <v>8</v>
      </c>
      <c r="C1973" s="1">
        <v>30</v>
      </c>
      <c r="D1973" s="1">
        <v>0.04</v>
      </c>
      <c r="E1973" s="1">
        <v>0.04</v>
      </c>
      <c r="F1973" s="1">
        <v>5</v>
      </c>
      <c r="G1973" s="1">
        <v>1</v>
      </c>
      <c r="H1973" s="1">
        <v>1.4817455483499999</v>
      </c>
      <c r="I1973" s="1">
        <v>1.28345418404</v>
      </c>
      <c r="J1973" s="1">
        <v>0.58878194091900005</v>
      </c>
      <c r="K1973" s="1">
        <v>2286.4745287199999</v>
      </c>
      <c r="L1973" s="1">
        <v>486.849067397</v>
      </c>
      <c r="M1973" s="1" t="s">
        <v>198</v>
      </c>
      <c r="N1973" s="1" t="b">
        <v>1</v>
      </c>
    </row>
    <row r="1974" spans="1:14" ht="19" customHeight="1" x14ac:dyDescent="0.3">
      <c r="A1974">
        <v>1969</v>
      </c>
      <c r="B1974" s="1">
        <v>8</v>
      </c>
      <c r="C1974" s="1">
        <v>30</v>
      </c>
      <c r="D1974" s="1">
        <v>0.04</v>
      </c>
      <c r="E1974" s="1">
        <v>0.06</v>
      </c>
      <c r="F1974" s="1">
        <v>-5</v>
      </c>
      <c r="G1974" s="1">
        <v>0</v>
      </c>
      <c r="H1974" s="1">
        <v>1.5229413639</v>
      </c>
      <c r="I1974" s="1">
        <v>1.7730659687200001</v>
      </c>
      <c r="J1974" s="1">
        <v>0.72171341464600003</v>
      </c>
      <c r="K1974" s="1">
        <v>2725.38606316</v>
      </c>
      <c r="L1974" s="1">
        <v>596.766779735</v>
      </c>
      <c r="M1974" s="1" t="s">
        <v>198</v>
      </c>
      <c r="N1974" s="1" t="b">
        <v>1</v>
      </c>
    </row>
    <row r="1975" spans="1:14" ht="19" customHeight="1" x14ac:dyDescent="0.3">
      <c r="A1975">
        <v>1970</v>
      </c>
      <c r="B1975" s="1">
        <v>8</v>
      </c>
      <c r="C1975" s="1">
        <v>30</v>
      </c>
      <c r="D1975" s="1">
        <v>0.04</v>
      </c>
      <c r="E1975" s="1">
        <v>0.06</v>
      </c>
      <c r="F1975" s="1">
        <v>-5</v>
      </c>
      <c r="G1975" s="1">
        <v>1</v>
      </c>
      <c r="H1975" s="1">
        <v>1.5229413639</v>
      </c>
      <c r="I1975" s="1">
        <v>1.3297994765400001</v>
      </c>
      <c r="J1975" s="1">
        <v>0.59180500001000003</v>
      </c>
      <c r="K1975" s="1">
        <v>2358.86008244</v>
      </c>
      <c r="L1975" s="1">
        <v>489.34875938300002</v>
      </c>
      <c r="M1975" s="1" t="s">
        <v>198</v>
      </c>
      <c r="N1975" s="1" t="b">
        <v>1</v>
      </c>
    </row>
    <row r="1976" spans="1:14" ht="19" customHeight="1" x14ac:dyDescent="0.3">
      <c r="A1976">
        <v>1971</v>
      </c>
      <c r="B1976" s="1">
        <v>8</v>
      </c>
      <c r="C1976" s="1">
        <v>30</v>
      </c>
      <c r="D1976" s="1">
        <v>0.04</v>
      </c>
      <c r="E1976" s="1">
        <v>0.06</v>
      </c>
      <c r="F1976" s="1">
        <v>0</v>
      </c>
      <c r="G1976" s="1">
        <v>0</v>
      </c>
      <c r="H1976" s="1">
        <v>1.55759594667</v>
      </c>
      <c r="I1976" s="1">
        <v>1.8134121454100001</v>
      </c>
      <c r="J1976" s="1">
        <v>0.71421341464599997</v>
      </c>
      <c r="K1976" s="1">
        <v>2787.40231614</v>
      </c>
      <c r="L1976" s="1">
        <v>590.56521723499998</v>
      </c>
      <c r="M1976" s="1" t="s">
        <v>198</v>
      </c>
      <c r="N1976" s="1" t="b">
        <v>1</v>
      </c>
    </row>
    <row r="1977" spans="1:14" ht="19" customHeight="1" x14ac:dyDescent="0.3">
      <c r="A1977">
        <v>1972</v>
      </c>
      <c r="B1977" s="1">
        <v>8</v>
      </c>
      <c r="C1977" s="1">
        <v>30</v>
      </c>
      <c r="D1977" s="1">
        <v>0.04</v>
      </c>
      <c r="E1977" s="1">
        <v>0.06</v>
      </c>
      <c r="F1977" s="1">
        <v>0</v>
      </c>
      <c r="G1977" s="1">
        <v>1</v>
      </c>
      <c r="H1977" s="1">
        <v>1.55759594667</v>
      </c>
      <c r="I1977" s="1">
        <v>1.36005910906</v>
      </c>
      <c r="J1977" s="1">
        <v>0.58565500001000004</v>
      </c>
      <c r="K1977" s="1">
        <v>2412.5360242100001</v>
      </c>
      <c r="L1977" s="1">
        <v>484.26347813299998</v>
      </c>
      <c r="M1977" s="1" t="s">
        <v>198</v>
      </c>
      <c r="N1977" s="1" t="b">
        <v>1</v>
      </c>
    </row>
    <row r="1978" spans="1:14" ht="19" customHeight="1" x14ac:dyDescent="0.3">
      <c r="A1978">
        <v>1973</v>
      </c>
      <c r="B1978" s="1">
        <v>8</v>
      </c>
      <c r="C1978" s="1">
        <v>30</v>
      </c>
      <c r="D1978" s="1">
        <v>0.04</v>
      </c>
      <c r="E1978" s="1">
        <v>0.06</v>
      </c>
      <c r="F1978" s="1">
        <v>5</v>
      </c>
      <c r="G1978" s="1">
        <v>0</v>
      </c>
      <c r="H1978" s="1">
        <v>1.5229413639</v>
      </c>
      <c r="I1978" s="1">
        <v>1.7730659687200001</v>
      </c>
      <c r="J1978" s="1">
        <v>0.72171341464600003</v>
      </c>
      <c r="K1978" s="1">
        <v>2725.38606316</v>
      </c>
      <c r="L1978" s="1">
        <v>596.766779735</v>
      </c>
      <c r="M1978" s="1" t="s">
        <v>198</v>
      </c>
      <c r="N1978" s="1" t="b">
        <v>1</v>
      </c>
    </row>
    <row r="1979" spans="1:14" ht="19" customHeight="1" x14ac:dyDescent="0.3">
      <c r="A1979">
        <v>1974</v>
      </c>
      <c r="B1979" s="1">
        <v>8</v>
      </c>
      <c r="C1979" s="1">
        <v>30</v>
      </c>
      <c r="D1979" s="1">
        <v>0.04</v>
      </c>
      <c r="E1979" s="1">
        <v>0.06</v>
      </c>
      <c r="F1979" s="1">
        <v>5</v>
      </c>
      <c r="G1979" s="1">
        <v>1</v>
      </c>
      <c r="H1979" s="1">
        <v>1.5229413639</v>
      </c>
      <c r="I1979" s="1">
        <v>1.3297994765400001</v>
      </c>
      <c r="J1979" s="1">
        <v>0.59180500001000003</v>
      </c>
      <c r="K1979" s="1">
        <v>2358.86008244</v>
      </c>
      <c r="L1979" s="1">
        <v>489.34875938300002</v>
      </c>
      <c r="M1979" s="1" t="s">
        <v>198</v>
      </c>
      <c r="N1979" s="1" t="b">
        <v>1</v>
      </c>
    </row>
    <row r="1980" spans="1:14" ht="19" customHeight="1" x14ac:dyDescent="0.3">
      <c r="A1980">
        <v>1975</v>
      </c>
      <c r="B1980" s="1">
        <v>8</v>
      </c>
      <c r="C1980" s="1">
        <v>30</v>
      </c>
      <c r="D1980" s="1">
        <v>0.04</v>
      </c>
      <c r="E1980" s="1">
        <v>8.5000000000000006E-2</v>
      </c>
      <c r="F1980" s="1">
        <v>-5</v>
      </c>
      <c r="G1980" s="1">
        <v>0</v>
      </c>
      <c r="H1980" s="1">
        <v>1.4176250459099999</v>
      </c>
      <c r="I1980" s="1">
        <v>1.6150914917300001</v>
      </c>
      <c r="J1980" s="1">
        <v>0.71228854513499995</v>
      </c>
      <c r="K1980" s="1">
        <v>2507.6774870600002</v>
      </c>
      <c r="L1980" s="1">
        <v>588.973590758</v>
      </c>
      <c r="M1980" s="1" t="s">
        <v>198</v>
      </c>
      <c r="N1980" s="1" t="b">
        <v>1</v>
      </c>
    </row>
    <row r="1981" spans="1:14" ht="19" customHeight="1" x14ac:dyDescent="0.3">
      <c r="A1981">
        <v>1976</v>
      </c>
      <c r="B1981" s="1">
        <v>8</v>
      </c>
      <c r="C1981" s="1">
        <v>30</v>
      </c>
      <c r="D1981" s="1">
        <v>0.04</v>
      </c>
      <c r="E1981" s="1">
        <v>8.5000000000000006E-2</v>
      </c>
      <c r="F1981" s="1">
        <v>-5</v>
      </c>
      <c r="G1981" s="1">
        <v>1</v>
      </c>
      <c r="H1981" s="1">
        <v>1.4176250459099999</v>
      </c>
      <c r="I1981" s="1">
        <v>1.2113186188</v>
      </c>
      <c r="J1981" s="1">
        <v>0.58407660701099995</v>
      </c>
      <c r="K1981" s="1">
        <v>2173.8077927499999</v>
      </c>
      <c r="L1981" s="1">
        <v>482.95834442199998</v>
      </c>
      <c r="M1981" s="1" t="s">
        <v>198</v>
      </c>
      <c r="N1981" s="1" t="b">
        <v>1</v>
      </c>
    </row>
    <row r="1982" spans="1:14" ht="19" customHeight="1" x14ac:dyDescent="0.3">
      <c r="A1982">
        <v>1977</v>
      </c>
      <c r="B1982" s="1">
        <v>8</v>
      </c>
      <c r="C1982" s="1">
        <v>30</v>
      </c>
      <c r="D1982" s="1">
        <v>0.04</v>
      </c>
      <c r="E1982" s="1">
        <v>8.5000000000000006E-2</v>
      </c>
      <c r="F1982" s="1">
        <v>0</v>
      </c>
      <c r="G1982" s="1">
        <v>0</v>
      </c>
      <c r="H1982" s="1">
        <v>1.44988315226</v>
      </c>
      <c r="I1982" s="1">
        <v>1.6518429537999999</v>
      </c>
      <c r="J1982" s="1">
        <v>0.704788545135</v>
      </c>
      <c r="K1982" s="1">
        <v>2564.7397739500002</v>
      </c>
      <c r="L1982" s="1">
        <v>582.77202825799998</v>
      </c>
      <c r="M1982" s="1" t="s">
        <v>198</v>
      </c>
      <c r="N1982" s="1" t="b">
        <v>1</v>
      </c>
    </row>
    <row r="1983" spans="1:14" ht="19" customHeight="1" x14ac:dyDescent="0.3">
      <c r="A1983">
        <v>1978</v>
      </c>
      <c r="B1983" s="1">
        <v>8</v>
      </c>
      <c r="C1983" s="1">
        <v>30</v>
      </c>
      <c r="D1983" s="1">
        <v>0.04</v>
      </c>
      <c r="E1983" s="1">
        <v>8.5000000000000006E-2</v>
      </c>
      <c r="F1983" s="1">
        <v>0</v>
      </c>
      <c r="G1983" s="1">
        <v>1</v>
      </c>
      <c r="H1983" s="1">
        <v>1.44988315226</v>
      </c>
      <c r="I1983" s="1">
        <v>1.2388822153500001</v>
      </c>
      <c r="J1983" s="1">
        <v>0.57792660701099996</v>
      </c>
      <c r="K1983" s="1">
        <v>2223.2728633400002</v>
      </c>
      <c r="L1983" s="1">
        <v>477.873063172</v>
      </c>
      <c r="M1983" s="1" t="s">
        <v>198</v>
      </c>
      <c r="N1983" s="1" t="b">
        <v>1</v>
      </c>
    </row>
    <row r="1984" spans="1:14" ht="19" customHeight="1" x14ac:dyDescent="0.3">
      <c r="A1984">
        <v>1979</v>
      </c>
      <c r="B1984" s="1">
        <v>8</v>
      </c>
      <c r="C1984" s="1">
        <v>30</v>
      </c>
      <c r="D1984" s="1">
        <v>0.04</v>
      </c>
      <c r="E1984" s="1">
        <v>8.5000000000000006E-2</v>
      </c>
      <c r="F1984" s="1">
        <v>5</v>
      </c>
      <c r="G1984" s="1">
        <v>0</v>
      </c>
      <c r="H1984" s="1">
        <v>1.4176250459099999</v>
      </c>
      <c r="I1984" s="1">
        <v>1.6150914917300001</v>
      </c>
      <c r="J1984" s="1">
        <v>0.71228854513499995</v>
      </c>
      <c r="K1984" s="1">
        <v>2507.6774870600002</v>
      </c>
      <c r="L1984" s="1">
        <v>588.973590758</v>
      </c>
      <c r="M1984" s="1" t="s">
        <v>198</v>
      </c>
      <c r="N1984" s="1" t="b">
        <v>1</v>
      </c>
    </row>
    <row r="1985" spans="1:14" ht="19" customHeight="1" x14ac:dyDescent="0.3">
      <c r="A1985">
        <v>1980</v>
      </c>
      <c r="B1985" s="1">
        <v>8</v>
      </c>
      <c r="C1985" s="1">
        <v>30</v>
      </c>
      <c r="D1985" s="1">
        <v>0.04</v>
      </c>
      <c r="E1985" s="1">
        <v>8.5000000000000006E-2</v>
      </c>
      <c r="F1985" s="1">
        <v>5</v>
      </c>
      <c r="G1985" s="1">
        <v>1</v>
      </c>
      <c r="H1985" s="1">
        <v>1.4176250459099999</v>
      </c>
      <c r="I1985" s="1">
        <v>1.2113186188</v>
      </c>
      <c r="J1985" s="1">
        <v>0.58407660701099995</v>
      </c>
      <c r="K1985" s="1">
        <v>2173.8077927499999</v>
      </c>
      <c r="L1985" s="1">
        <v>482.95834442199998</v>
      </c>
      <c r="M1985" s="1" t="s">
        <v>198</v>
      </c>
      <c r="N1985" s="1" t="b">
        <v>1</v>
      </c>
    </row>
    <row r="1986" spans="1:14" ht="19" customHeight="1" x14ac:dyDescent="0.3">
      <c r="A1986">
        <v>1981</v>
      </c>
      <c r="B1986" s="1">
        <v>8</v>
      </c>
      <c r="C1986" s="1">
        <v>30</v>
      </c>
      <c r="D1986" s="1">
        <v>5.5E-2</v>
      </c>
      <c r="E1986" s="1">
        <v>0.04</v>
      </c>
      <c r="F1986" s="1">
        <v>-5</v>
      </c>
      <c r="G1986" s="1">
        <v>0</v>
      </c>
      <c r="H1986" s="1">
        <v>1.3418604462799999</v>
      </c>
      <c r="I1986" s="1">
        <v>1.5014445922899999</v>
      </c>
      <c r="J1986" s="1">
        <v>0.705508290388</v>
      </c>
      <c r="K1986" s="1">
        <v>2351.0578537699998</v>
      </c>
      <c r="L1986" s="1">
        <v>583.36716761499997</v>
      </c>
      <c r="M1986" s="1" t="s">
        <v>198</v>
      </c>
      <c r="N1986" s="1" t="b">
        <v>1</v>
      </c>
    </row>
    <row r="1987" spans="1:14" ht="19" customHeight="1" x14ac:dyDescent="0.3">
      <c r="A1987">
        <v>1982</v>
      </c>
      <c r="B1987" s="1">
        <v>8</v>
      </c>
      <c r="C1987" s="1">
        <v>30</v>
      </c>
      <c r="D1987" s="1">
        <v>5.5E-2</v>
      </c>
      <c r="E1987" s="1">
        <v>0.04</v>
      </c>
      <c r="F1987" s="1">
        <v>-5</v>
      </c>
      <c r="G1987" s="1">
        <v>1</v>
      </c>
      <c r="H1987" s="1">
        <v>1.3418604462799999</v>
      </c>
      <c r="I1987" s="1">
        <v>1.1260834442200001</v>
      </c>
      <c r="J1987" s="1">
        <v>0.57851679811800005</v>
      </c>
      <c r="K1987" s="1">
        <v>2040.6811044599999</v>
      </c>
      <c r="L1987" s="1">
        <v>478.36107744399999</v>
      </c>
      <c r="M1987" s="1" t="s">
        <v>198</v>
      </c>
      <c r="N1987" s="1" t="b">
        <v>1</v>
      </c>
    </row>
    <row r="1988" spans="1:14" ht="19" customHeight="1" x14ac:dyDescent="0.3">
      <c r="A1988">
        <v>1983</v>
      </c>
      <c r="B1988" s="1">
        <v>8</v>
      </c>
      <c r="C1988" s="1">
        <v>30</v>
      </c>
      <c r="D1988" s="1">
        <v>5.5E-2</v>
      </c>
      <c r="E1988" s="1">
        <v>0.04</v>
      </c>
      <c r="F1988" s="1">
        <v>0</v>
      </c>
      <c r="G1988" s="1">
        <v>0</v>
      </c>
      <c r="H1988" s="1">
        <v>1.3723945265799999</v>
      </c>
      <c r="I1988" s="1">
        <v>1.5356100152800001</v>
      </c>
      <c r="J1988" s="1">
        <v>0.69800829038800005</v>
      </c>
      <c r="K1988" s="1">
        <v>2404.55625556</v>
      </c>
      <c r="L1988" s="1">
        <v>577.16560511499995</v>
      </c>
      <c r="M1988" s="1" t="s">
        <v>198</v>
      </c>
      <c r="N1988" s="1" t="b">
        <v>1</v>
      </c>
    </row>
    <row r="1989" spans="1:14" ht="19" customHeight="1" x14ac:dyDescent="0.3">
      <c r="A1989">
        <v>1984</v>
      </c>
      <c r="B1989" s="1">
        <v>8</v>
      </c>
      <c r="C1989" s="1">
        <v>30</v>
      </c>
      <c r="D1989" s="1">
        <v>5.5E-2</v>
      </c>
      <c r="E1989" s="1">
        <v>0.04</v>
      </c>
      <c r="F1989" s="1">
        <v>0</v>
      </c>
      <c r="G1989" s="1">
        <v>1</v>
      </c>
      <c r="H1989" s="1">
        <v>1.3723945265799999</v>
      </c>
      <c r="I1989" s="1">
        <v>1.1517075114599999</v>
      </c>
      <c r="J1989" s="1">
        <v>0.57236679811799995</v>
      </c>
      <c r="K1989" s="1">
        <v>2087.1168727099998</v>
      </c>
      <c r="L1989" s="1">
        <v>473.27579619400001</v>
      </c>
      <c r="M1989" s="1" t="s">
        <v>198</v>
      </c>
      <c r="N1989" s="1" t="b">
        <v>1</v>
      </c>
    </row>
    <row r="1990" spans="1:14" ht="19" customHeight="1" x14ac:dyDescent="0.3">
      <c r="A1990">
        <v>1985</v>
      </c>
      <c r="B1990" s="1">
        <v>8</v>
      </c>
      <c r="C1990" s="1">
        <v>30</v>
      </c>
      <c r="D1990" s="1">
        <v>5.5E-2</v>
      </c>
      <c r="E1990" s="1">
        <v>0.04</v>
      </c>
      <c r="F1990" s="1">
        <v>5</v>
      </c>
      <c r="G1990" s="1">
        <v>0</v>
      </c>
      <c r="H1990" s="1">
        <v>1.3418604462799999</v>
      </c>
      <c r="I1990" s="1">
        <v>1.5014445922899999</v>
      </c>
      <c r="J1990" s="1">
        <v>0.705508290388</v>
      </c>
      <c r="K1990" s="1">
        <v>2351.0578537699998</v>
      </c>
      <c r="L1990" s="1">
        <v>583.36716761499997</v>
      </c>
      <c r="M1990" s="1" t="s">
        <v>198</v>
      </c>
      <c r="N1990" s="1" t="b">
        <v>1</v>
      </c>
    </row>
    <row r="1991" spans="1:14" ht="19" customHeight="1" x14ac:dyDescent="0.3">
      <c r="A1991">
        <v>1986</v>
      </c>
      <c r="B1991" s="1">
        <v>8</v>
      </c>
      <c r="C1991" s="1">
        <v>30</v>
      </c>
      <c r="D1991" s="1">
        <v>5.5E-2</v>
      </c>
      <c r="E1991" s="1">
        <v>0.04</v>
      </c>
      <c r="F1991" s="1">
        <v>5</v>
      </c>
      <c r="G1991" s="1">
        <v>1</v>
      </c>
      <c r="H1991" s="1">
        <v>1.3418604462799999</v>
      </c>
      <c r="I1991" s="1">
        <v>1.1260834442200001</v>
      </c>
      <c r="J1991" s="1">
        <v>0.57851679811800005</v>
      </c>
      <c r="K1991" s="1">
        <v>2040.6811044599999</v>
      </c>
      <c r="L1991" s="1">
        <v>478.36107744399999</v>
      </c>
      <c r="M1991" s="1" t="s">
        <v>198</v>
      </c>
      <c r="N1991" s="1" t="b">
        <v>1</v>
      </c>
    </row>
    <row r="1992" spans="1:14" ht="19" customHeight="1" x14ac:dyDescent="0.3">
      <c r="A1992">
        <v>1987</v>
      </c>
      <c r="B1992" s="1">
        <v>8</v>
      </c>
      <c r="C1992" s="1">
        <v>30</v>
      </c>
      <c r="D1992" s="1">
        <v>5.5E-2</v>
      </c>
      <c r="E1992" s="1">
        <v>0.06</v>
      </c>
      <c r="F1992" s="1">
        <v>-5</v>
      </c>
      <c r="G1992" s="1">
        <v>0</v>
      </c>
      <c r="H1992" s="1">
        <v>1.3694900459899999</v>
      </c>
      <c r="I1992" s="1">
        <v>1.5428889918499999</v>
      </c>
      <c r="J1992" s="1">
        <v>0.70798089270499998</v>
      </c>
      <c r="K1992" s="1">
        <v>2408.1734169199999</v>
      </c>
      <c r="L1992" s="1">
        <v>585.411700655</v>
      </c>
      <c r="M1992" s="1" t="s">
        <v>198</v>
      </c>
      <c r="N1992" s="1" t="b">
        <v>1</v>
      </c>
    </row>
    <row r="1993" spans="1:14" ht="19" customHeight="1" x14ac:dyDescent="0.3">
      <c r="A1993">
        <v>1988</v>
      </c>
      <c r="B1993" s="1">
        <v>8</v>
      </c>
      <c r="C1993" s="1">
        <v>30</v>
      </c>
      <c r="D1993" s="1">
        <v>5.5E-2</v>
      </c>
      <c r="E1993" s="1">
        <v>0.06</v>
      </c>
      <c r="F1993" s="1">
        <v>-5</v>
      </c>
      <c r="G1993" s="1">
        <v>1</v>
      </c>
      <c r="H1993" s="1">
        <v>1.3694900459899999</v>
      </c>
      <c r="I1993" s="1">
        <v>1.15716674389</v>
      </c>
      <c r="J1993" s="1">
        <v>0.58054433201800004</v>
      </c>
      <c r="K1993" s="1">
        <v>2089.2293331300002</v>
      </c>
      <c r="L1993" s="1">
        <v>480.03759453700002</v>
      </c>
      <c r="M1993" s="1" t="s">
        <v>198</v>
      </c>
      <c r="N1993" s="1" t="b">
        <v>1</v>
      </c>
    </row>
    <row r="1994" spans="1:14" ht="19" customHeight="1" x14ac:dyDescent="0.3">
      <c r="A1994">
        <v>1989</v>
      </c>
      <c r="B1994" s="1">
        <v>8</v>
      </c>
      <c r="C1994" s="1">
        <v>30</v>
      </c>
      <c r="D1994" s="1">
        <v>5.5E-2</v>
      </c>
      <c r="E1994" s="1">
        <v>0.06</v>
      </c>
      <c r="F1994" s="1">
        <v>0</v>
      </c>
      <c r="G1994" s="1">
        <v>0</v>
      </c>
      <c r="H1994" s="1">
        <v>1.4006528387699999</v>
      </c>
      <c r="I1994" s="1">
        <v>1.5779974835699999</v>
      </c>
      <c r="J1994" s="1">
        <v>0.70048089270500002</v>
      </c>
      <c r="K1994" s="1">
        <v>2462.9714852900001</v>
      </c>
      <c r="L1994" s="1">
        <v>579.21013815499998</v>
      </c>
      <c r="M1994" s="1" t="s">
        <v>198</v>
      </c>
      <c r="N1994" s="1" t="b">
        <v>1</v>
      </c>
    </row>
    <row r="1995" spans="1:14" ht="19" customHeight="1" x14ac:dyDescent="0.3">
      <c r="A1995">
        <v>1990</v>
      </c>
      <c r="B1995" s="1">
        <v>8</v>
      </c>
      <c r="C1995" s="1">
        <v>30</v>
      </c>
      <c r="D1995" s="1">
        <v>5.5E-2</v>
      </c>
      <c r="E1995" s="1">
        <v>0.06</v>
      </c>
      <c r="F1995" s="1">
        <v>0</v>
      </c>
      <c r="G1995" s="1">
        <v>1</v>
      </c>
      <c r="H1995" s="1">
        <v>1.4006528387699999</v>
      </c>
      <c r="I1995" s="1">
        <v>1.1834981126799999</v>
      </c>
      <c r="J1995" s="1">
        <v>0.57439433201800005</v>
      </c>
      <c r="K1995" s="1">
        <v>2136.76981798</v>
      </c>
      <c r="L1995" s="1">
        <v>474.95231328699998</v>
      </c>
      <c r="M1995" s="1" t="s">
        <v>198</v>
      </c>
      <c r="N1995" s="1" t="b">
        <v>1</v>
      </c>
    </row>
    <row r="1996" spans="1:14" ht="19" customHeight="1" x14ac:dyDescent="0.3">
      <c r="A1996">
        <v>1991</v>
      </c>
      <c r="B1996" s="1">
        <v>8</v>
      </c>
      <c r="C1996" s="1">
        <v>30</v>
      </c>
      <c r="D1996" s="1">
        <v>5.5E-2</v>
      </c>
      <c r="E1996" s="1">
        <v>0.06</v>
      </c>
      <c r="F1996" s="1">
        <v>5</v>
      </c>
      <c r="G1996" s="1">
        <v>0</v>
      </c>
      <c r="H1996" s="1">
        <v>1.3694900459899999</v>
      </c>
      <c r="I1996" s="1">
        <v>1.5428889918499999</v>
      </c>
      <c r="J1996" s="1">
        <v>0.70798089270499998</v>
      </c>
      <c r="K1996" s="1">
        <v>2408.1734169199999</v>
      </c>
      <c r="L1996" s="1">
        <v>585.411700655</v>
      </c>
      <c r="M1996" s="1" t="s">
        <v>198</v>
      </c>
      <c r="N1996" s="1" t="b">
        <v>1</v>
      </c>
    </row>
    <row r="1997" spans="1:14" ht="19" customHeight="1" x14ac:dyDescent="0.3">
      <c r="A1997">
        <v>1992</v>
      </c>
      <c r="B1997" s="1">
        <v>8</v>
      </c>
      <c r="C1997" s="1">
        <v>30</v>
      </c>
      <c r="D1997" s="1">
        <v>5.5E-2</v>
      </c>
      <c r="E1997" s="1">
        <v>0.06</v>
      </c>
      <c r="F1997" s="1">
        <v>5</v>
      </c>
      <c r="G1997" s="1">
        <v>1</v>
      </c>
      <c r="H1997" s="1">
        <v>1.3694900459899999</v>
      </c>
      <c r="I1997" s="1">
        <v>1.15716674389</v>
      </c>
      <c r="J1997" s="1">
        <v>0.58054433201800004</v>
      </c>
      <c r="K1997" s="1">
        <v>2089.2293331300002</v>
      </c>
      <c r="L1997" s="1">
        <v>480.03759453700002</v>
      </c>
      <c r="M1997" s="1" t="s">
        <v>198</v>
      </c>
      <c r="N1997" s="1" t="b">
        <v>1</v>
      </c>
    </row>
    <row r="1998" spans="1:14" ht="19" customHeight="1" x14ac:dyDescent="0.3">
      <c r="A1998">
        <v>1993</v>
      </c>
      <c r="B1998" s="1">
        <v>8</v>
      </c>
      <c r="C1998" s="1">
        <v>30</v>
      </c>
      <c r="D1998" s="1">
        <v>5.5E-2</v>
      </c>
      <c r="E1998" s="1">
        <v>8.5000000000000006E-2</v>
      </c>
      <c r="F1998" s="1">
        <v>-5</v>
      </c>
      <c r="G1998" s="1">
        <v>0</v>
      </c>
      <c r="H1998" s="1">
        <v>1.29885550048</v>
      </c>
      <c r="I1998" s="1">
        <v>1.4369371735800001</v>
      </c>
      <c r="J1998" s="1">
        <v>0.70165973196700004</v>
      </c>
      <c r="K1998" s="1">
        <v>2262.1585673599998</v>
      </c>
      <c r="L1998" s="1">
        <v>580.18489087</v>
      </c>
      <c r="M1998" s="1" t="s">
        <v>198</v>
      </c>
      <c r="N1998" s="1" t="b">
        <v>1</v>
      </c>
    </row>
    <row r="1999" spans="1:14" ht="19" customHeight="1" x14ac:dyDescent="0.3">
      <c r="A1999">
        <v>1994</v>
      </c>
      <c r="B1999" s="1">
        <v>8</v>
      </c>
      <c r="C1999" s="1">
        <v>30</v>
      </c>
      <c r="D1999" s="1">
        <v>5.5E-2</v>
      </c>
      <c r="E1999" s="1">
        <v>8.5000000000000006E-2</v>
      </c>
      <c r="F1999" s="1">
        <v>-5</v>
      </c>
      <c r="G1999" s="1">
        <v>1</v>
      </c>
      <c r="H1999" s="1">
        <v>1.29885550048</v>
      </c>
      <c r="I1999" s="1">
        <v>1.0777028801899999</v>
      </c>
      <c r="J1999" s="1">
        <v>0.57536098021299997</v>
      </c>
      <c r="K1999" s="1">
        <v>1965.11671101</v>
      </c>
      <c r="L1999" s="1">
        <v>475.751610513</v>
      </c>
      <c r="M1999" s="1" t="s">
        <v>198</v>
      </c>
      <c r="N1999" s="1" t="b">
        <v>1</v>
      </c>
    </row>
    <row r="2000" spans="1:14" ht="19" customHeight="1" x14ac:dyDescent="0.3">
      <c r="A2000">
        <v>1995</v>
      </c>
      <c r="B2000" s="1">
        <v>8</v>
      </c>
      <c r="C2000" s="1">
        <v>30</v>
      </c>
      <c r="D2000" s="1">
        <v>5.5E-2</v>
      </c>
      <c r="E2000" s="1">
        <v>8.5000000000000006E-2</v>
      </c>
      <c r="F2000" s="1">
        <v>0</v>
      </c>
      <c r="G2000" s="1">
        <v>0</v>
      </c>
      <c r="H2000" s="1">
        <v>1.3284110017699999</v>
      </c>
      <c r="I2000" s="1">
        <v>1.46963472806</v>
      </c>
      <c r="J2000" s="1">
        <v>0.69415973196699998</v>
      </c>
      <c r="K2000" s="1">
        <v>2313.6340628500002</v>
      </c>
      <c r="L2000" s="1">
        <v>573.98332836999998</v>
      </c>
      <c r="M2000" s="1" t="s">
        <v>198</v>
      </c>
      <c r="N2000" s="1" t="b">
        <v>1</v>
      </c>
    </row>
    <row r="2001" spans="1:14" ht="19" customHeight="1" x14ac:dyDescent="0.3">
      <c r="A2001">
        <v>1996</v>
      </c>
      <c r="B2001" s="1">
        <v>8</v>
      </c>
      <c r="C2001" s="1">
        <v>30</v>
      </c>
      <c r="D2001" s="1">
        <v>5.5E-2</v>
      </c>
      <c r="E2001" s="1">
        <v>8.5000000000000006E-2</v>
      </c>
      <c r="F2001" s="1">
        <v>0</v>
      </c>
      <c r="G2001" s="1">
        <v>1</v>
      </c>
      <c r="H2001" s="1">
        <v>1.3284110017699999</v>
      </c>
      <c r="I2001" s="1">
        <v>1.10222604604</v>
      </c>
      <c r="J2001" s="1">
        <v>0.56921098021299998</v>
      </c>
      <c r="K2001" s="1">
        <v>2009.83300891</v>
      </c>
      <c r="L2001" s="1">
        <v>470.66632926300002</v>
      </c>
      <c r="M2001" s="1" t="s">
        <v>198</v>
      </c>
      <c r="N2001" s="1" t="b">
        <v>1</v>
      </c>
    </row>
    <row r="2002" spans="1:14" ht="19" customHeight="1" x14ac:dyDescent="0.3">
      <c r="A2002">
        <v>1997</v>
      </c>
      <c r="B2002" s="1">
        <v>8</v>
      </c>
      <c r="C2002" s="1">
        <v>30</v>
      </c>
      <c r="D2002" s="1">
        <v>5.5E-2</v>
      </c>
      <c r="E2002" s="1">
        <v>8.5000000000000006E-2</v>
      </c>
      <c r="F2002" s="1">
        <v>5</v>
      </c>
      <c r="G2002" s="1">
        <v>0</v>
      </c>
      <c r="H2002" s="1">
        <v>1.29885550048</v>
      </c>
      <c r="I2002" s="1">
        <v>1.4369371735800001</v>
      </c>
      <c r="J2002" s="1">
        <v>0.70165973196700004</v>
      </c>
      <c r="K2002" s="1">
        <v>2262.1585673599998</v>
      </c>
      <c r="L2002" s="1">
        <v>580.18489087</v>
      </c>
      <c r="M2002" s="1" t="s">
        <v>198</v>
      </c>
      <c r="N2002" s="1" t="b">
        <v>1</v>
      </c>
    </row>
    <row r="2003" spans="1:14" ht="19" customHeight="1" x14ac:dyDescent="0.3">
      <c r="A2003">
        <v>1998</v>
      </c>
      <c r="B2003" s="1">
        <v>8</v>
      </c>
      <c r="C2003" s="1">
        <v>30</v>
      </c>
      <c r="D2003" s="1">
        <v>5.5E-2</v>
      </c>
      <c r="E2003" s="1">
        <v>8.5000000000000006E-2</v>
      </c>
      <c r="F2003" s="1">
        <v>5</v>
      </c>
      <c r="G2003" s="1">
        <v>1</v>
      </c>
      <c r="H2003" s="1">
        <v>1.29885550048</v>
      </c>
      <c r="I2003" s="1">
        <v>1.0777028801899999</v>
      </c>
      <c r="J2003" s="1">
        <v>0.57536098021299997</v>
      </c>
      <c r="K2003" s="1">
        <v>1965.11671101</v>
      </c>
      <c r="L2003" s="1">
        <v>475.751610513</v>
      </c>
      <c r="M2003" s="1" t="s">
        <v>198</v>
      </c>
      <c r="N2003" s="1" t="b">
        <v>1</v>
      </c>
    </row>
    <row r="2004" spans="1:14" ht="19" customHeight="1" x14ac:dyDescent="0.3">
      <c r="A2004">
        <v>1999</v>
      </c>
      <c r="B2004" s="1">
        <v>8</v>
      </c>
      <c r="C2004" s="1">
        <v>50</v>
      </c>
      <c r="D2004" s="1">
        <v>2.5000000000000001E-2</v>
      </c>
      <c r="E2004" s="1">
        <v>0.04</v>
      </c>
      <c r="F2004" s="1">
        <v>-5</v>
      </c>
      <c r="G2004" s="1">
        <v>0</v>
      </c>
      <c r="H2004" s="1">
        <v>1.47575673489</v>
      </c>
      <c r="I2004" s="1">
        <v>1.70228902521</v>
      </c>
      <c r="J2004" s="1">
        <v>0.71749081192099995</v>
      </c>
      <c r="K2004" s="1">
        <v>7299.5738552299999</v>
      </c>
      <c r="L2004" s="1">
        <v>1647.9867086300001</v>
      </c>
      <c r="M2004" s="1" t="s">
        <v>198</v>
      </c>
      <c r="N2004" s="1" t="b">
        <v>1</v>
      </c>
    </row>
    <row r="2005" spans="1:14" ht="19" customHeight="1" x14ac:dyDescent="0.3">
      <c r="A2005">
        <v>2000</v>
      </c>
      <c r="B2005" s="1">
        <v>8</v>
      </c>
      <c r="C2005" s="1">
        <v>50</v>
      </c>
      <c r="D2005" s="1">
        <v>2.5000000000000001E-2</v>
      </c>
      <c r="E2005" s="1">
        <v>0.04</v>
      </c>
      <c r="F2005" s="1">
        <v>-5</v>
      </c>
      <c r="G2005" s="1">
        <v>1</v>
      </c>
      <c r="H2005" s="1">
        <v>1.47575673489</v>
      </c>
      <c r="I2005" s="1">
        <v>1.2767167689100001</v>
      </c>
      <c r="J2005" s="1">
        <v>0.58834246577500005</v>
      </c>
      <c r="K2005" s="1">
        <v>6322.0875790399996</v>
      </c>
      <c r="L2005" s="1">
        <v>1351.3491010800001</v>
      </c>
      <c r="M2005" s="1" t="s">
        <v>198</v>
      </c>
      <c r="N2005" s="1" t="b">
        <v>1</v>
      </c>
    </row>
    <row r="2006" spans="1:14" ht="19" customHeight="1" x14ac:dyDescent="0.3">
      <c r="A2006">
        <v>2001</v>
      </c>
      <c r="B2006" s="1">
        <v>8</v>
      </c>
      <c r="C2006" s="1">
        <v>50</v>
      </c>
      <c r="D2006" s="1">
        <v>2.5000000000000001E-2</v>
      </c>
      <c r="E2006" s="1">
        <v>0.04</v>
      </c>
      <c r="F2006" s="1">
        <v>0</v>
      </c>
      <c r="G2006" s="1">
        <v>0</v>
      </c>
      <c r="H2006" s="1">
        <v>1.5093376298100001</v>
      </c>
      <c r="I2006" s="1">
        <v>1.7410246701300001</v>
      </c>
      <c r="J2006" s="1">
        <v>0.709990811921</v>
      </c>
      <c r="K2006" s="1">
        <v>7465.6759076899998</v>
      </c>
      <c r="L2006" s="1">
        <v>1630.7601461300001</v>
      </c>
      <c r="M2006" s="1" t="s">
        <v>198</v>
      </c>
      <c r="N2006" s="1" t="b">
        <v>1</v>
      </c>
    </row>
    <row r="2007" spans="1:14" ht="19" customHeight="1" x14ac:dyDescent="0.3">
      <c r="A2007">
        <v>2002</v>
      </c>
      <c r="B2007" s="1">
        <v>8</v>
      </c>
      <c r="C2007" s="1">
        <v>50</v>
      </c>
      <c r="D2007" s="1">
        <v>2.5000000000000001E-2</v>
      </c>
      <c r="E2007" s="1">
        <v>0.04</v>
      </c>
      <c r="F2007" s="1">
        <v>0</v>
      </c>
      <c r="G2007" s="1">
        <v>1</v>
      </c>
      <c r="H2007" s="1">
        <v>1.5093376298100001</v>
      </c>
      <c r="I2007" s="1">
        <v>1.3057685026000001</v>
      </c>
      <c r="J2007" s="1">
        <v>0.58219246577499995</v>
      </c>
      <c r="K2007" s="1">
        <v>6465.9468978900004</v>
      </c>
      <c r="L2007" s="1">
        <v>1337.22331983</v>
      </c>
      <c r="M2007" s="1" t="s">
        <v>198</v>
      </c>
      <c r="N2007" s="1" t="b">
        <v>1</v>
      </c>
    </row>
    <row r="2008" spans="1:14" ht="19" customHeight="1" x14ac:dyDescent="0.3">
      <c r="A2008">
        <v>2003</v>
      </c>
      <c r="B2008" s="1">
        <v>8</v>
      </c>
      <c r="C2008" s="1">
        <v>50</v>
      </c>
      <c r="D2008" s="1">
        <v>2.5000000000000001E-2</v>
      </c>
      <c r="E2008" s="1">
        <v>0.04</v>
      </c>
      <c r="F2008" s="1">
        <v>5</v>
      </c>
      <c r="G2008" s="1">
        <v>0</v>
      </c>
      <c r="H2008" s="1">
        <v>1.47575673489</v>
      </c>
      <c r="I2008" s="1">
        <v>1.70228902521</v>
      </c>
      <c r="J2008" s="1">
        <v>0.71749081192099995</v>
      </c>
      <c r="K2008" s="1">
        <v>7299.5738552299999</v>
      </c>
      <c r="L2008" s="1">
        <v>1647.9867086300001</v>
      </c>
      <c r="M2008" s="1" t="s">
        <v>198</v>
      </c>
      <c r="N2008" s="1" t="b">
        <v>1</v>
      </c>
    </row>
    <row r="2009" spans="1:14" ht="19" customHeight="1" x14ac:dyDescent="0.3">
      <c r="A2009">
        <v>2004</v>
      </c>
      <c r="B2009" s="1">
        <v>8</v>
      </c>
      <c r="C2009" s="1">
        <v>50</v>
      </c>
      <c r="D2009" s="1">
        <v>2.5000000000000001E-2</v>
      </c>
      <c r="E2009" s="1">
        <v>0.04</v>
      </c>
      <c r="F2009" s="1">
        <v>5</v>
      </c>
      <c r="G2009" s="1">
        <v>1</v>
      </c>
      <c r="H2009" s="1">
        <v>1.47575673489</v>
      </c>
      <c r="I2009" s="1">
        <v>1.2767167689100001</v>
      </c>
      <c r="J2009" s="1">
        <v>0.58834246577500005</v>
      </c>
      <c r="K2009" s="1">
        <v>6322.0875790399996</v>
      </c>
      <c r="L2009" s="1">
        <v>1351.3491010800001</v>
      </c>
      <c r="M2009" s="1" t="s">
        <v>198</v>
      </c>
      <c r="N2009" s="1" t="b">
        <v>1</v>
      </c>
    </row>
    <row r="2010" spans="1:14" ht="19" customHeight="1" x14ac:dyDescent="0.3">
      <c r="A2010">
        <v>2005</v>
      </c>
      <c r="B2010" s="1">
        <v>8</v>
      </c>
      <c r="C2010" s="1">
        <v>50</v>
      </c>
      <c r="D2010" s="1">
        <v>2.5000000000000001E-2</v>
      </c>
      <c r="E2010" s="1">
        <v>0.06</v>
      </c>
      <c r="F2010" s="1">
        <v>-5</v>
      </c>
      <c r="G2010" s="1">
        <v>0</v>
      </c>
      <c r="H2010" s="1">
        <v>1.5163717485299999</v>
      </c>
      <c r="I2010" s="1">
        <v>1.7632115456599999</v>
      </c>
      <c r="J2010" s="1">
        <v>0.72112549276600002</v>
      </c>
      <c r="K2010" s="1">
        <v>7532.7928788400004</v>
      </c>
      <c r="L2010" s="1">
        <v>1656.3351161999999</v>
      </c>
      <c r="M2010" s="1" t="s">
        <v>198</v>
      </c>
      <c r="N2010" s="1" t="b">
        <v>1</v>
      </c>
    </row>
    <row r="2011" spans="1:14" ht="19" customHeight="1" x14ac:dyDescent="0.3">
      <c r="A2011">
        <v>2006</v>
      </c>
      <c r="B2011" s="1">
        <v>8</v>
      </c>
      <c r="C2011" s="1">
        <v>50</v>
      </c>
      <c r="D2011" s="1">
        <v>2.5000000000000001E-2</v>
      </c>
      <c r="E2011" s="1">
        <v>0.06</v>
      </c>
      <c r="F2011" s="1">
        <v>-5</v>
      </c>
      <c r="G2011" s="1">
        <v>1</v>
      </c>
      <c r="H2011" s="1">
        <v>1.5163717485299999</v>
      </c>
      <c r="I2011" s="1">
        <v>1.32240865924</v>
      </c>
      <c r="J2011" s="1">
        <v>0.59132290406800003</v>
      </c>
      <c r="K2011" s="1">
        <v>6520.3237491099999</v>
      </c>
      <c r="L2011" s="1">
        <v>1358.1947952800001</v>
      </c>
      <c r="M2011" s="1" t="s">
        <v>198</v>
      </c>
      <c r="N2011" s="1" t="b">
        <v>1</v>
      </c>
    </row>
    <row r="2012" spans="1:14" ht="19" customHeight="1" x14ac:dyDescent="0.3">
      <c r="A2012">
        <v>2007</v>
      </c>
      <c r="B2012" s="1">
        <v>8</v>
      </c>
      <c r="C2012" s="1">
        <v>50</v>
      </c>
      <c r="D2012" s="1">
        <v>2.5000000000000001E-2</v>
      </c>
      <c r="E2012" s="1">
        <v>0.06</v>
      </c>
      <c r="F2012" s="1">
        <v>0</v>
      </c>
      <c r="G2012" s="1">
        <v>0</v>
      </c>
      <c r="H2012" s="1">
        <v>1.5508768394700001</v>
      </c>
      <c r="I2012" s="1">
        <v>1.80333348462</v>
      </c>
      <c r="J2012" s="1">
        <v>0.71362549276599996</v>
      </c>
      <c r="K2012" s="1">
        <v>7704.2018381500002</v>
      </c>
      <c r="L2012" s="1">
        <v>1639.1085536999999</v>
      </c>
      <c r="M2012" s="1" t="s">
        <v>198</v>
      </c>
      <c r="N2012" s="1" t="b">
        <v>1</v>
      </c>
    </row>
    <row r="2013" spans="1:14" ht="19" customHeight="1" x14ac:dyDescent="0.3">
      <c r="A2013">
        <v>2008</v>
      </c>
      <c r="B2013" s="1">
        <v>8</v>
      </c>
      <c r="C2013" s="1">
        <v>50</v>
      </c>
      <c r="D2013" s="1">
        <v>2.5000000000000001E-2</v>
      </c>
      <c r="E2013" s="1">
        <v>0.06</v>
      </c>
      <c r="F2013" s="1">
        <v>0</v>
      </c>
      <c r="G2013" s="1">
        <v>1</v>
      </c>
      <c r="H2013" s="1">
        <v>1.5508768394700001</v>
      </c>
      <c r="I2013" s="1">
        <v>1.3525001134700001</v>
      </c>
      <c r="J2013" s="1">
        <v>0.58517290406800004</v>
      </c>
      <c r="K2013" s="1">
        <v>6668.6939387800003</v>
      </c>
      <c r="L2013" s="1">
        <v>1344.0690140300001</v>
      </c>
      <c r="M2013" s="1" t="s">
        <v>198</v>
      </c>
      <c r="N2013" s="1" t="b">
        <v>1</v>
      </c>
    </row>
    <row r="2014" spans="1:14" ht="19" customHeight="1" x14ac:dyDescent="0.3">
      <c r="A2014">
        <v>2009</v>
      </c>
      <c r="B2014" s="1">
        <v>8</v>
      </c>
      <c r="C2014" s="1">
        <v>50</v>
      </c>
      <c r="D2014" s="1">
        <v>2.5000000000000001E-2</v>
      </c>
      <c r="E2014" s="1">
        <v>0.06</v>
      </c>
      <c r="F2014" s="1">
        <v>5</v>
      </c>
      <c r="G2014" s="1">
        <v>0</v>
      </c>
      <c r="H2014" s="1">
        <v>1.5163717485299999</v>
      </c>
      <c r="I2014" s="1">
        <v>1.7632115456599999</v>
      </c>
      <c r="J2014" s="1">
        <v>0.72112549276600002</v>
      </c>
      <c r="K2014" s="1">
        <v>7532.7928788400004</v>
      </c>
      <c r="L2014" s="1">
        <v>1656.3351161999999</v>
      </c>
      <c r="M2014" s="1" t="s">
        <v>198</v>
      </c>
      <c r="N2014" s="1" t="b">
        <v>1</v>
      </c>
    </row>
    <row r="2015" spans="1:14" ht="19" customHeight="1" x14ac:dyDescent="0.3">
      <c r="A2015">
        <v>2010</v>
      </c>
      <c r="B2015" s="1">
        <v>8</v>
      </c>
      <c r="C2015" s="1">
        <v>50</v>
      </c>
      <c r="D2015" s="1">
        <v>2.5000000000000001E-2</v>
      </c>
      <c r="E2015" s="1">
        <v>0.06</v>
      </c>
      <c r="F2015" s="1">
        <v>5</v>
      </c>
      <c r="G2015" s="1">
        <v>1</v>
      </c>
      <c r="H2015" s="1">
        <v>1.5163717485299999</v>
      </c>
      <c r="I2015" s="1">
        <v>1.32240865924</v>
      </c>
      <c r="J2015" s="1">
        <v>0.59132290406800003</v>
      </c>
      <c r="K2015" s="1">
        <v>6520.3237491099999</v>
      </c>
      <c r="L2015" s="1">
        <v>1358.1947952800001</v>
      </c>
      <c r="M2015" s="1" t="s">
        <v>198</v>
      </c>
      <c r="N2015" s="1" t="b">
        <v>1</v>
      </c>
    </row>
    <row r="2016" spans="1:14" ht="19" customHeight="1" x14ac:dyDescent="0.3">
      <c r="A2016">
        <v>2011</v>
      </c>
      <c r="B2016" s="1">
        <v>8</v>
      </c>
      <c r="C2016" s="1">
        <v>50</v>
      </c>
      <c r="D2016" s="1">
        <v>2.5000000000000001E-2</v>
      </c>
      <c r="E2016" s="1">
        <v>8.5000000000000006E-2</v>
      </c>
      <c r="F2016" s="1">
        <v>-5</v>
      </c>
      <c r="G2016" s="1">
        <v>0</v>
      </c>
      <c r="H2016" s="1">
        <v>1.41254023958</v>
      </c>
      <c r="I2016" s="1">
        <v>1.60746428224</v>
      </c>
      <c r="J2016" s="1">
        <v>0.71183350039899995</v>
      </c>
      <c r="K2016" s="1">
        <v>6936.57288608</v>
      </c>
      <c r="L2016" s="1">
        <v>1634.9925712300001</v>
      </c>
      <c r="M2016" s="1" t="s">
        <v>198</v>
      </c>
      <c r="N2016" s="1" t="b">
        <v>1</v>
      </c>
    </row>
    <row r="2017" spans="1:14" ht="19" customHeight="1" x14ac:dyDescent="0.3">
      <c r="A2017">
        <v>2012</v>
      </c>
      <c r="B2017" s="1">
        <v>8</v>
      </c>
      <c r="C2017" s="1">
        <v>50</v>
      </c>
      <c r="D2017" s="1">
        <v>2.5000000000000001E-2</v>
      </c>
      <c r="E2017" s="1">
        <v>8.5000000000000006E-2</v>
      </c>
      <c r="F2017" s="1">
        <v>-5</v>
      </c>
      <c r="G2017" s="1">
        <v>1</v>
      </c>
      <c r="H2017" s="1">
        <v>1.41254023958</v>
      </c>
      <c r="I2017" s="1">
        <v>1.2055982116799999</v>
      </c>
      <c r="J2017" s="1">
        <v>0.58370347032699998</v>
      </c>
      <c r="K2017" s="1">
        <v>6013.5367552600001</v>
      </c>
      <c r="L2017" s="1">
        <v>1340.6939084099999</v>
      </c>
      <c r="M2017" s="1" t="s">
        <v>198</v>
      </c>
      <c r="N2017" s="1" t="b">
        <v>1</v>
      </c>
    </row>
    <row r="2018" spans="1:14" ht="19" customHeight="1" x14ac:dyDescent="0.3">
      <c r="A2018">
        <v>2013</v>
      </c>
      <c r="B2018" s="1">
        <v>8</v>
      </c>
      <c r="C2018" s="1">
        <v>50</v>
      </c>
      <c r="D2018" s="1">
        <v>2.5000000000000001E-2</v>
      </c>
      <c r="E2018" s="1">
        <v>8.5000000000000006E-2</v>
      </c>
      <c r="F2018" s="1">
        <v>0</v>
      </c>
      <c r="G2018" s="1">
        <v>0</v>
      </c>
      <c r="H2018" s="1">
        <v>1.444682641</v>
      </c>
      <c r="I2018" s="1">
        <v>1.6440421868999999</v>
      </c>
      <c r="J2018" s="1">
        <v>0.704333500399</v>
      </c>
      <c r="K2018" s="1">
        <v>7094.4148390800001</v>
      </c>
      <c r="L2018" s="1">
        <v>1617.7660087300001</v>
      </c>
      <c r="M2018" s="1" t="s">
        <v>198</v>
      </c>
      <c r="N2018" s="1" t="b">
        <v>1</v>
      </c>
    </row>
    <row r="2019" spans="1:14" ht="19" customHeight="1" x14ac:dyDescent="0.3">
      <c r="A2019">
        <v>2014</v>
      </c>
      <c r="B2019" s="1">
        <v>8</v>
      </c>
      <c r="C2019" s="1">
        <v>50</v>
      </c>
      <c r="D2019" s="1">
        <v>2.5000000000000001E-2</v>
      </c>
      <c r="E2019" s="1">
        <v>8.5000000000000006E-2</v>
      </c>
      <c r="F2019" s="1">
        <v>0</v>
      </c>
      <c r="G2019" s="1">
        <v>1</v>
      </c>
      <c r="H2019" s="1">
        <v>1.444682641</v>
      </c>
      <c r="I2019" s="1">
        <v>1.2330316401800001</v>
      </c>
      <c r="J2019" s="1">
        <v>0.577553470327</v>
      </c>
      <c r="K2019" s="1">
        <v>6150.3749895700003</v>
      </c>
      <c r="L2019" s="1">
        <v>1326.5681271599999</v>
      </c>
      <c r="M2019" s="1" t="s">
        <v>198</v>
      </c>
      <c r="N2019" s="1" t="b">
        <v>1</v>
      </c>
    </row>
    <row r="2020" spans="1:14" ht="19" customHeight="1" x14ac:dyDescent="0.3">
      <c r="A2020">
        <v>2015</v>
      </c>
      <c r="B2020" s="1">
        <v>8</v>
      </c>
      <c r="C2020" s="1">
        <v>50</v>
      </c>
      <c r="D2020" s="1">
        <v>2.5000000000000001E-2</v>
      </c>
      <c r="E2020" s="1">
        <v>8.5000000000000006E-2</v>
      </c>
      <c r="F2020" s="1">
        <v>5</v>
      </c>
      <c r="G2020" s="1">
        <v>0</v>
      </c>
      <c r="H2020" s="1">
        <v>1.41254023958</v>
      </c>
      <c r="I2020" s="1">
        <v>1.60746428224</v>
      </c>
      <c r="J2020" s="1">
        <v>0.71183350039899995</v>
      </c>
      <c r="K2020" s="1">
        <v>6936.57288608</v>
      </c>
      <c r="L2020" s="1">
        <v>1634.9925712300001</v>
      </c>
      <c r="M2020" s="1" t="s">
        <v>198</v>
      </c>
      <c r="N2020" s="1" t="b">
        <v>1</v>
      </c>
    </row>
    <row r="2021" spans="1:14" ht="19" customHeight="1" x14ac:dyDescent="0.3">
      <c r="A2021">
        <v>2016</v>
      </c>
      <c r="B2021" s="1">
        <v>8</v>
      </c>
      <c r="C2021" s="1">
        <v>50</v>
      </c>
      <c r="D2021" s="1">
        <v>2.5000000000000001E-2</v>
      </c>
      <c r="E2021" s="1">
        <v>8.5000000000000006E-2</v>
      </c>
      <c r="F2021" s="1">
        <v>5</v>
      </c>
      <c r="G2021" s="1">
        <v>1</v>
      </c>
      <c r="H2021" s="1">
        <v>1.41254023958</v>
      </c>
      <c r="I2021" s="1">
        <v>1.2055982116799999</v>
      </c>
      <c r="J2021" s="1">
        <v>0.58370347032699998</v>
      </c>
      <c r="K2021" s="1">
        <v>6013.5367552600001</v>
      </c>
      <c r="L2021" s="1">
        <v>1340.6939084099999</v>
      </c>
      <c r="M2021" s="1" t="s">
        <v>198</v>
      </c>
      <c r="N2021" s="1" t="b">
        <v>1</v>
      </c>
    </row>
    <row r="2022" spans="1:14" ht="19" customHeight="1" x14ac:dyDescent="0.3">
      <c r="A2022">
        <v>2017</v>
      </c>
      <c r="B2022" s="1">
        <v>8</v>
      </c>
      <c r="C2022" s="1">
        <v>50</v>
      </c>
      <c r="D2022" s="1">
        <v>0.04</v>
      </c>
      <c r="E2022" s="1">
        <v>0.04</v>
      </c>
      <c r="F2022" s="1">
        <v>-5</v>
      </c>
      <c r="G2022" s="1">
        <v>0</v>
      </c>
      <c r="H2022" s="1">
        <v>1.4817455483499999</v>
      </c>
      <c r="I2022" s="1">
        <v>1.71127224539</v>
      </c>
      <c r="J2022" s="1">
        <v>0.71802675721800002</v>
      </c>
      <c r="K2022" s="1">
        <v>7333.96274498</v>
      </c>
      <c r="L2022" s="1">
        <v>1649.2177079799999</v>
      </c>
      <c r="M2022" s="1" t="s">
        <v>198</v>
      </c>
      <c r="N2022" s="1" t="b">
        <v>1</v>
      </c>
    </row>
    <row r="2023" spans="1:14" ht="19" customHeight="1" x14ac:dyDescent="0.3">
      <c r="A2023">
        <v>2018</v>
      </c>
      <c r="B2023" s="1">
        <v>8</v>
      </c>
      <c r="C2023" s="1">
        <v>50</v>
      </c>
      <c r="D2023" s="1">
        <v>0.04</v>
      </c>
      <c r="E2023" s="1">
        <v>0.04</v>
      </c>
      <c r="F2023" s="1">
        <v>-5</v>
      </c>
      <c r="G2023" s="1">
        <v>1</v>
      </c>
      <c r="H2023" s="1">
        <v>1.4817455483499999</v>
      </c>
      <c r="I2023" s="1">
        <v>1.28345418404</v>
      </c>
      <c r="J2023" s="1">
        <v>0.58878194091900005</v>
      </c>
      <c r="K2023" s="1">
        <v>6351.3181353199998</v>
      </c>
      <c r="L2023" s="1">
        <v>1352.3585205500001</v>
      </c>
      <c r="M2023" s="1" t="s">
        <v>198</v>
      </c>
      <c r="N2023" s="1" t="b">
        <v>1</v>
      </c>
    </row>
    <row r="2024" spans="1:14" ht="19" customHeight="1" x14ac:dyDescent="0.3">
      <c r="A2024">
        <v>2019</v>
      </c>
      <c r="B2024" s="1">
        <v>8</v>
      </c>
      <c r="C2024" s="1">
        <v>50</v>
      </c>
      <c r="D2024" s="1">
        <v>0.04</v>
      </c>
      <c r="E2024" s="1">
        <v>0.04</v>
      </c>
      <c r="F2024" s="1">
        <v>0</v>
      </c>
      <c r="G2024" s="1">
        <v>0</v>
      </c>
      <c r="H2024" s="1">
        <v>1.5154627189200001</v>
      </c>
      <c r="I2024" s="1">
        <v>1.7502123037899999</v>
      </c>
      <c r="J2024" s="1">
        <v>0.71052675721799996</v>
      </c>
      <c r="K2024" s="1">
        <v>7500.8473178000004</v>
      </c>
      <c r="L2024" s="1">
        <v>1631.9911454799999</v>
      </c>
      <c r="M2024" s="1" t="s">
        <v>198</v>
      </c>
      <c r="N2024" s="1" t="b">
        <v>1</v>
      </c>
    </row>
    <row r="2025" spans="1:14" ht="19" customHeight="1" x14ac:dyDescent="0.3">
      <c r="A2025">
        <v>2020</v>
      </c>
      <c r="B2025" s="1">
        <v>8</v>
      </c>
      <c r="C2025" s="1">
        <v>50</v>
      </c>
      <c r="D2025" s="1">
        <v>0.04</v>
      </c>
      <c r="E2025" s="1">
        <v>0.04</v>
      </c>
      <c r="F2025" s="1">
        <v>0</v>
      </c>
      <c r="G2025" s="1">
        <v>1</v>
      </c>
      <c r="H2025" s="1">
        <v>1.5154627189200001</v>
      </c>
      <c r="I2025" s="1">
        <v>1.31265922785</v>
      </c>
      <c r="J2025" s="1">
        <v>0.58263194091899995</v>
      </c>
      <c r="K2025" s="1">
        <v>6495.8425964799999</v>
      </c>
      <c r="L2025" s="1">
        <v>1338.2327393</v>
      </c>
      <c r="M2025" s="1" t="s">
        <v>198</v>
      </c>
      <c r="N2025" s="1" t="b">
        <v>1</v>
      </c>
    </row>
    <row r="2026" spans="1:14" ht="19" customHeight="1" x14ac:dyDescent="0.3">
      <c r="A2026">
        <v>2021</v>
      </c>
      <c r="B2026" s="1">
        <v>8</v>
      </c>
      <c r="C2026" s="1">
        <v>50</v>
      </c>
      <c r="D2026" s="1">
        <v>0.04</v>
      </c>
      <c r="E2026" s="1">
        <v>0.04</v>
      </c>
      <c r="F2026" s="1">
        <v>5</v>
      </c>
      <c r="G2026" s="1">
        <v>0</v>
      </c>
      <c r="H2026" s="1">
        <v>1.4817455483499999</v>
      </c>
      <c r="I2026" s="1">
        <v>1.71127224539</v>
      </c>
      <c r="J2026" s="1">
        <v>0.71802675721800002</v>
      </c>
      <c r="K2026" s="1">
        <v>7333.96274498</v>
      </c>
      <c r="L2026" s="1">
        <v>1649.2177079799999</v>
      </c>
      <c r="M2026" s="1" t="s">
        <v>198</v>
      </c>
      <c r="N2026" s="1" t="b">
        <v>1</v>
      </c>
    </row>
    <row r="2027" spans="1:14" ht="19" customHeight="1" x14ac:dyDescent="0.3">
      <c r="A2027">
        <v>2022</v>
      </c>
      <c r="B2027" s="1">
        <v>8</v>
      </c>
      <c r="C2027" s="1">
        <v>50</v>
      </c>
      <c r="D2027" s="1">
        <v>0.04</v>
      </c>
      <c r="E2027" s="1">
        <v>0.04</v>
      </c>
      <c r="F2027" s="1">
        <v>5</v>
      </c>
      <c r="G2027" s="1">
        <v>1</v>
      </c>
      <c r="H2027" s="1">
        <v>1.4817455483499999</v>
      </c>
      <c r="I2027" s="1">
        <v>1.28345418404</v>
      </c>
      <c r="J2027" s="1">
        <v>0.58878194091900005</v>
      </c>
      <c r="K2027" s="1">
        <v>6351.3181353199998</v>
      </c>
      <c r="L2027" s="1">
        <v>1352.3585205500001</v>
      </c>
      <c r="M2027" s="1" t="s">
        <v>198</v>
      </c>
      <c r="N2027" s="1" t="b">
        <v>1</v>
      </c>
    </row>
    <row r="2028" spans="1:14" ht="19" customHeight="1" x14ac:dyDescent="0.3">
      <c r="A2028">
        <v>2023</v>
      </c>
      <c r="B2028" s="1">
        <v>8</v>
      </c>
      <c r="C2028" s="1">
        <v>50</v>
      </c>
      <c r="D2028" s="1">
        <v>0.04</v>
      </c>
      <c r="E2028" s="1">
        <v>0.06</v>
      </c>
      <c r="F2028" s="1">
        <v>-5</v>
      </c>
      <c r="G2028" s="1">
        <v>0</v>
      </c>
      <c r="H2028" s="1">
        <v>1.5229413639</v>
      </c>
      <c r="I2028" s="1">
        <v>1.7730659687200001</v>
      </c>
      <c r="J2028" s="1">
        <v>0.72171341464600003</v>
      </c>
      <c r="K2028" s="1">
        <v>7570.5168421199996</v>
      </c>
      <c r="L2028" s="1">
        <v>1657.6854992599999</v>
      </c>
      <c r="M2028" s="1" t="s">
        <v>198</v>
      </c>
      <c r="N2028" s="1" t="b">
        <v>1</v>
      </c>
    </row>
    <row r="2029" spans="1:14" ht="19" customHeight="1" x14ac:dyDescent="0.3">
      <c r="A2029">
        <v>2024</v>
      </c>
      <c r="B2029" s="1">
        <v>8</v>
      </c>
      <c r="C2029" s="1">
        <v>50</v>
      </c>
      <c r="D2029" s="1">
        <v>0.04</v>
      </c>
      <c r="E2029" s="1">
        <v>0.06</v>
      </c>
      <c r="F2029" s="1">
        <v>-5</v>
      </c>
      <c r="G2029" s="1">
        <v>1</v>
      </c>
      <c r="H2029" s="1">
        <v>1.5229413639</v>
      </c>
      <c r="I2029" s="1">
        <v>1.3297994765400001</v>
      </c>
      <c r="J2029" s="1">
        <v>0.59180500001000003</v>
      </c>
      <c r="K2029" s="1">
        <v>6552.3891178900003</v>
      </c>
      <c r="L2029" s="1">
        <v>1359.3021094000001</v>
      </c>
      <c r="M2029" s="1" t="s">
        <v>198</v>
      </c>
      <c r="N2029" s="1" t="b">
        <v>1</v>
      </c>
    </row>
    <row r="2030" spans="1:14" ht="19" customHeight="1" x14ac:dyDescent="0.3">
      <c r="A2030">
        <v>2025</v>
      </c>
      <c r="B2030" s="1">
        <v>8</v>
      </c>
      <c r="C2030" s="1">
        <v>50</v>
      </c>
      <c r="D2030" s="1">
        <v>0.04</v>
      </c>
      <c r="E2030" s="1">
        <v>0.06</v>
      </c>
      <c r="F2030" s="1">
        <v>0</v>
      </c>
      <c r="G2030" s="1">
        <v>0</v>
      </c>
      <c r="H2030" s="1">
        <v>1.55759594667</v>
      </c>
      <c r="I2030" s="1">
        <v>1.8134121454100001</v>
      </c>
      <c r="J2030" s="1">
        <v>0.71421341464599997</v>
      </c>
      <c r="K2030" s="1">
        <v>7742.7842115000003</v>
      </c>
      <c r="L2030" s="1">
        <v>1640.4589367599999</v>
      </c>
      <c r="M2030" s="1" t="s">
        <v>198</v>
      </c>
      <c r="N2030" s="1" t="b">
        <v>1</v>
      </c>
    </row>
    <row r="2031" spans="1:14" ht="19" customHeight="1" x14ac:dyDescent="0.3">
      <c r="A2031">
        <v>2026</v>
      </c>
      <c r="B2031" s="1">
        <v>8</v>
      </c>
      <c r="C2031" s="1">
        <v>50</v>
      </c>
      <c r="D2031" s="1">
        <v>0.04</v>
      </c>
      <c r="E2031" s="1">
        <v>0.06</v>
      </c>
      <c r="F2031" s="1">
        <v>0</v>
      </c>
      <c r="G2031" s="1">
        <v>1</v>
      </c>
      <c r="H2031" s="1">
        <v>1.55759594667</v>
      </c>
      <c r="I2031" s="1">
        <v>1.36005910906</v>
      </c>
      <c r="J2031" s="1">
        <v>0.58565500001000004</v>
      </c>
      <c r="K2031" s="1">
        <v>6701.4889561299997</v>
      </c>
      <c r="L2031" s="1">
        <v>1345.17632815</v>
      </c>
      <c r="M2031" s="1" t="s">
        <v>198</v>
      </c>
      <c r="N2031" s="1" t="b">
        <v>1</v>
      </c>
    </row>
    <row r="2032" spans="1:14" ht="19" customHeight="1" x14ac:dyDescent="0.3">
      <c r="A2032">
        <v>2027</v>
      </c>
      <c r="B2032" s="1">
        <v>8</v>
      </c>
      <c r="C2032" s="1">
        <v>50</v>
      </c>
      <c r="D2032" s="1">
        <v>0.04</v>
      </c>
      <c r="E2032" s="1">
        <v>0.06</v>
      </c>
      <c r="F2032" s="1">
        <v>5</v>
      </c>
      <c r="G2032" s="1">
        <v>0</v>
      </c>
      <c r="H2032" s="1">
        <v>1.5229413639</v>
      </c>
      <c r="I2032" s="1">
        <v>1.7730659687200001</v>
      </c>
      <c r="J2032" s="1">
        <v>0.72171341464600003</v>
      </c>
      <c r="K2032" s="1">
        <v>7570.5168421199996</v>
      </c>
      <c r="L2032" s="1">
        <v>1657.6854992599999</v>
      </c>
      <c r="M2032" s="1" t="s">
        <v>198</v>
      </c>
      <c r="N2032" s="1" t="b">
        <v>1</v>
      </c>
    </row>
    <row r="2033" spans="1:14" ht="19" customHeight="1" x14ac:dyDescent="0.3">
      <c r="A2033">
        <v>2028</v>
      </c>
      <c r="B2033" s="1">
        <v>8</v>
      </c>
      <c r="C2033" s="1">
        <v>50</v>
      </c>
      <c r="D2033" s="1">
        <v>0.04</v>
      </c>
      <c r="E2033" s="1">
        <v>0.06</v>
      </c>
      <c r="F2033" s="1">
        <v>5</v>
      </c>
      <c r="G2033" s="1">
        <v>1</v>
      </c>
      <c r="H2033" s="1">
        <v>1.5229413639</v>
      </c>
      <c r="I2033" s="1">
        <v>1.3297994765400001</v>
      </c>
      <c r="J2033" s="1">
        <v>0.59180500001000003</v>
      </c>
      <c r="K2033" s="1">
        <v>6552.3891178900003</v>
      </c>
      <c r="L2033" s="1">
        <v>1359.3021094000001</v>
      </c>
      <c r="M2033" s="1" t="s">
        <v>198</v>
      </c>
      <c r="N2033" s="1" t="b">
        <v>1</v>
      </c>
    </row>
    <row r="2034" spans="1:14" ht="19" customHeight="1" x14ac:dyDescent="0.3">
      <c r="A2034">
        <v>2029</v>
      </c>
      <c r="B2034" s="1">
        <v>8</v>
      </c>
      <c r="C2034" s="1">
        <v>50</v>
      </c>
      <c r="D2034" s="1">
        <v>0.04</v>
      </c>
      <c r="E2034" s="1">
        <v>8.5000000000000006E-2</v>
      </c>
      <c r="F2034" s="1">
        <v>-5</v>
      </c>
      <c r="G2034" s="1">
        <v>0</v>
      </c>
      <c r="H2034" s="1">
        <v>1.4176250459099999</v>
      </c>
      <c r="I2034" s="1">
        <v>1.6150914917300001</v>
      </c>
      <c r="J2034" s="1">
        <v>0.71228854513499995</v>
      </c>
      <c r="K2034" s="1">
        <v>6965.7707973799997</v>
      </c>
      <c r="L2034" s="1">
        <v>1636.0377521099999</v>
      </c>
      <c r="M2034" s="1" t="s">
        <v>198</v>
      </c>
      <c r="N2034" s="1" t="b">
        <v>1</v>
      </c>
    </row>
    <row r="2035" spans="1:14" ht="19" customHeight="1" x14ac:dyDescent="0.3">
      <c r="A2035">
        <v>2030</v>
      </c>
      <c r="B2035" s="1">
        <v>8</v>
      </c>
      <c r="C2035" s="1">
        <v>50</v>
      </c>
      <c r="D2035" s="1">
        <v>0.04</v>
      </c>
      <c r="E2035" s="1">
        <v>8.5000000000000006E-2</v>
      </c>
      <c r="F2035" s="1">
        <v>-5</v>
      </c>
      <c r="G2035" s="1">
        <v>1</v>
      </c>
      <c r="H2035" s="1">
        <v>1.4176250459099999</v>
      </c>
      <c r="I2035" s="1">
        <v>1.2113186188</v>
      </c>
      <c r="J2035" s="1">
        <v>0.58407660701099995</v>
      </c>
      <c r="K2035" s="1">
        <v>6038.3549798699996</v>
      </c>
      <c r="L2035" s="1">
        <v>1341.5509567300001</v>
      </c>
      <c r="M2035" s="1" t="s">
        <v>198</v>
      </c>
      <c r="N2035" s="1" t="b">
        <v>1</v>
      </c>
    </row>
    <row r="2036" spans="1:14" ht="19" customHeight="1" x14ac:dyDescent="0.3">
      <c r="A2036">
        <v>2031</v>
      </c>
      <c r="B2036" s="1">
        <v>8</v>
      </c>
      <c r="C2036" s="1">
        <v>50</v>
      </c>
      <c r="D2036" s="1">
        <v>0.04</v>
      </c>
      <c r="E2036" s="1">
        <v>8.5000000000000006E-2</v>
      </c>
      <c r="F2036" s="1">
        <v>0</v>
      </c>
      <c r="G2036" s="1">
        <v>0</v>
      </c>
      <c r="H2036" s="1">
        <v>1.44988315226</v>
      </c>
      <c r="I2036" s="1">
        <v>1.6518429537999999</v>
      </c>
      <c r="J2036" s="1">
        <v>0.704788545135</v>
      </c>
      <c r="K2036" s="1">
        <v>7124.2771498599996</v>
      </c>
      <c r="L2036" s="1">
        <v>1618.8111896099999</v>
      </c>
      <c r="M2036" s="1" t="s">
        <v>198</v>
      </c>
      <c r="N2036" s="1" t="b">
        <v>1</v>
      </c>
    </row>
    <row r="2037" spans="1:14" ht="19" customHeight="1" x14ac:dyDescent="0.3">
      <c r="A2037">
        <v>2032</v>
      </c>
      <c r="B2037" s="1">
        <v>8</v>
      </c>
      <c r="C2037" s="1">
        <v>50</v>
      </c>
      <c r="D2037" s="1">
        <v>0.04</v>
      </c>
      <c r="E2037" s="1">
        <v>8.5000000000000006E-2</v>
      </c>
      <c r="F2037" s="1">
        <v>0</v>
      </c>
      <c r="G2037" s="1">
        <v>1</v>
      </c>
      <c r="H2037" s="1">
        <v>1.44988315226</v>
      </c>
      <c r="I2037" s="1">
        <v>1.2388822153500001</v>
      </c>
      <c r="J2037" s="1">
        <v>0.57792660701099996</v>
      </c>
      <c r="K2037" s="1">
        <v>6175.7579537299998</v>
      </c>
      <c r="L2037" s="1">
        <v>1327.42517548</v>
      </c>
      <c r="M2037" s="1" t="s">
        <v>198</v>
      </c>
      <c r="N2037" s="1" t="b">
        <v>1</v>
      </c>
    </row>
    <row r="2038" spans="1:14" ht="19" customHeight="1" x14ac:dyDescent="0.3">
      <c r="A2038">
        <v>2033</v>
      </c>
      <c r="B2038" s="1">
        <v>8</v>
      </c>
      <c r="C2038" s="1">
        <v>50</v>
      </c>
      <c r="D2038" s="1">
        <v>0.04</v>
      </c>
      <c r="E2038" s="1">
        <v>8.5000000000000006E-2</v>
      </c>
      <c r="F2038" s="1">
        <v>5</v>
      </c>
      <c r="G2038" s="1">
        <v>0</v>
      </c>
      <c r="H2038" s="1">
        <v>1.4176250459099999</v>
      </c>
      <c r="I2038" s="1">
        <v>1.6150914917300001</v>
      </c>
      <c r="J2038" s="1">
        <v>0.71228854513499995</v>
      </c>
      <c r="K2038" s="1">
        <v>6965.7707973799997</v>
      </c>
      <c r="L2038" s="1">
        <v>1636.0377521099999</v>
      </c>
      <c r="M2038" s="1" t="s">
        <v>198</v>
      </c>
      <c r="N2038" s="1" t="b">
        <v>1</v>
      </c>
    </row>
    <row r="2039" spans="1:14" ht="19" customHeight="1" x14ac:dyDescent="0.3">
      <c r="A2039">
        <v>2034</v>
      </c>
      <c r="B2039" s="1">
        <v>8</v>
      </c>
      <c r="C2039" s="1">
        <v>50</v>
      </c>
      <c r="D2039" s="1">
        <v>0.04</v>
      </c>
      <c r="E2039" s="1">
        <v>8.5000000000000006E-2</v>
      </c>
      <c r="F2039" s="1">
        <v>5</v>
      </c>
      <c r="G2039" s="1">
        <v>1</v>
      </c>
      <c r="H2039" s="1">
        <v>1.4176250459099999</v>
      </c>
      <c r="I2039" s="1">
        <v>1.2113186188</v>
      </c>
      <c r="J2039" s="1">
        <v>0.58407660701099995</v>
      </c>
      <c r="K2039" s="1">
        <v>6038.3549798699996</v>
      </c>
      <c r="L2039" s="1">
        <v>1341.5509567300001</v>
      </c>
      <c r="M2039" s="1" t="s">
        <v>198</v>
      </c>
      <c r="N2039" s="1" t="b">
        <v>1</v>
      </c>
    </row>
    <row r="2040" spans="1:14" ht="19" customHeight="1" x14ac:dyDescent="0.3">
      <c r="A2040">
        <v>2035</v>
      </c>
      <c r="B2040" s="1">
        <v>8</v>
      </c>
      <c r="C2040" s="1">
        <v>50</v>
      </c>
      <c r="D2040" s="1">
        <v>5.5E-2</v>
      </c>
      <c r="E2040" s="1">
        <v>0.04</v>
      </c>
      <c r="F2040" s="1">
        <v>-5</v>
      </c>
      <c r="G2040" s="1">
        <v>0</v>
      </c>
      <c r="H2040" s="1">
        <v>1.3418604462799999</v>
      </c>
      <c r="I2040" s="1">
        <v>1.5014445922899999</v>
      </c>
      <c r="J2040" s="1">
        <v>0.705508290388</v>
      </c>
      <c r="K2040" s="1">
        <v>6530.7162604699997</v>
      </c>
      <c r="L2040" s="1">
        <v>1620.46435449</v>
      </c>
      <c r="M2040" s="1" t="s">
        <v>198</v>
      </c>
      <c r="N2040" s="1" t="b">
        <v>1</v>
      </c>
    </row>
    <row r="2041" spans="1:14" ht="19" customHeight="1" x14ac:dyDescent="0.3">
      <c r="A2041">
        <v>2036</v>
      </c>
      <c r="B2041" s="1">
        <v>8</v>
      </c>
      <c r="C2041" s="1">
        <v>50</v>
      </c>
      <c r="D2041" s="1">
        <v>5.5E-2</v>
      </c>
      <c r="E2041" s="1">
        <v>0.04</v>
      </c>
      <c r="F2041" s="1">
        <v>-5</v>
      </c>
      <c r="G2041" s="1">
        <v>1</v>
      </c>
      <c r="H2041" s="1">
        <v>1.3418604462799999</v>
      </c>
      <c r="I2041" s="1">
        <v>1.1260834442200001</v>
      </c>
      <c r="J2041" s="1">
        <v>0.57851679811800005</v>
      </c>
      <c r="K2041" s="1">
        <v>5668.5586234900002</v>
      </c>
      <c r="L2041" s="1">
        <v>1328.7807706799999</v>
      </c>
      <c r="M2041" s="1" t="s">
        <v>198</v>
      </c>
      <c r="N2041" s="1" t="b">
        <v>1</v>
      </c>
    </row>
    <row r="2042" spans="1:14" ht="19" customHeight="1" x14ac:dyDescent="0.3">
      <c r="A2042">
        <v>2037</v>
      </c>
      <c r="B2042" s="1">
        <v>8</v>
      </c>
      <c r="C2042" s="1">
        <v>50</v>
      </c>
      <c r="D2042" s="1">
        <v>5.5E-2</v>
      </c>
      <c r="E2042" s="1">
        <v>0.04</v>
      </c>
      <c r="F2042" s="1">
        <v>0</v>
      </c>
      <c r="G2042" s="1">
        <v>0</v>
      </c>
      <c r="H2042" s="1">
        <v>1.3723945265799999</v>
      </c>
      <c r="I2042" s="1">
        <v>1.5356100152800001</v>
      </c>
      <c r="J2042" s="1">
        <v>0.69800829038800005</v>
      </c>
      <c r="K2042" s="1">
        <v>6679.3229320999999</v>
      </c>
      <c r="L2042" s="1">
        <v>1603.23779199</v>
      </c>
      <c r="M2042" s="1" t="s">
        <v>198</v>
      </c>
      <c r="N2042" s="1" t="b">
        <v>1</v>
      </c>
    </row>
    <row r="2043" spans="1:14" ht="19" customHeight="1" x14ac:dyDescent="0.3">
      <c r="A2043">
        <v>2038</v>
      </c>
      <c r="B2043" s="1">
        <v>8</v>
      </c>
      <c r="C2043" s="1">
        <v>50</v>
      </c>
      <c r="D2043" s="1">
        <v>5.5E-2</v>
      </c>
      <c r="E2043" s="1">
        <v>0.04</v>
      </c>
      <c r="F2043" s="1">
        <v>0</v>
      </c>
      <c r="G2043" s="1">
        <v>1</v>
      </c>
      <c r="H2043" s="1">
        <v>1.3723945265799999</v>
      </c>
      <c r="I2043" s="1">
        <v>1.1517075114599999</v>
      </c>
      <c r="J2043" s="1">
        <v>0.57236679811799995</v>
      </c>
      <c r="K2043" s="1">
        <v>5797.5468686300001</v>
      </c>
      <c r="L2043" s="1">
        <v>1314.6549894299999</v>
      </c>
      <c r="M2043" s="1" t="s">
        <v>198</v>
      </c>
      <c r="N2043" s="1" t="b">
        <v>1</v>
      </c>
    </row>
    <row r="2044" spans="1:14" ht="19" customHeight="1" x14ac:dyDescent="0.3">
      <c r="A2044">
        <v>2039</v>
      </c>
      <c r="B2044" s="1">
        <v>8</v>
      </c>
      <c r="C2044" s="1">
        <v>50</v>
      </c>
      <c r="D2044" s="1">
        <v>5.5E-2</v>
      </c>
      <c r="E2044" s="1">
        <v>0.04</v>
      </c>
      <c r="F2044" s="1">
        <v>5</v>
      </c>
      <c r="G2044" s="1">
        <v>0</v>
      </c>
      <c r="H2044" s="1">
        <v>1.3418604462799999</v>
      </c>
      <c r="I2044" s="1">
        <v>1.5014445922899999</v>
      </c>
      <c r="J2044" s="1">
        <v>0.705508290388</v>
      </c>
      <c r="K2044" s="1">
        <v>6530.7162604699997</v>
      </c>
      <c r="L2044" s="1">
        <v>1620.46435449</v>
      </c>
      <c r="M2044" s="1" t="s">
        <v>198</v>
      </c>
      <c r="N2044" s="1" t="b">
        <v>1</v>
      </c>
    </row>
    <row r="2045" spans="1:14" ht="19" customHeight="1" x14ac:dyDescent="0.3">
      <c r="A2045">
        <v>2040</v>
      </c>
      <c r="B2045" s="1">
        <v>8</v>
      </c>
      <c r="C2045" s="1">
        <v>50</v>
      </c>
      <c r="D2045" s="1">
        <v>5.5E-2</v>
      </c>
      <c r="E2045" s="1">
        <v>0.04</v>
      </c>
      <c r="F2045" s="1">
        <v>5</v>
      </c>
      <c r="G2045" s="1">
        <v>1</v>
      </c>
      <c r="H2045" s="1">
        <v>1.3418604462799999</v>
      </c>
      <c r="I2045" s="1">
        <v>1.1260834442200001</v>
      </c>
      <c r="J2045" s="1">
        <v>0.57851679811800005</v>
      </c>
      <c r="K2045" s="1">
        <v>5668.5586234900002</v>
      </c>
      <c r="L2045" s="1">
        <v>1328.7807706799999</v>
      </c>
      <c r="M2045" s="1" t="s">
        <v>198</v>
      </c>
      <c r="N2045" s="1" t="b">
        <v>1</v>
      </c>
    </row>
    <row r="2046" spans="1:14" ht="19" customHeight="1" x14ac:dyDescent="0.3">
      <c r="A2046">
        <v>2041</v>
      </c>
      <c r="B2046" s="1">
        <v>8</v>
      </c>
      <c r="C2046" s="1">
        <v>50</v>
      </c>
      <c r="D2046" s="1">
        <v>5.5E-2</v>
      </c>
      <c r="E2046" s="1">
        <v>0.06</v>
      </c>
      <c r="F2046" s="1">
        <v>-5</v>
      </c>
      <c r="G2046" s="1">
        <v>0</v>
      </c>
      <c r="H2046" s="1">
        <v>1.3694900459899999</v>
      </c>
      <c r="I2046" s="1">
        <v>1.5428889918499999</v>
      </c>
      <c r="J2046" s="1">
        <v>0.70798089270499998</v>
      </c>
      <c r="K2046" s="1">
        <v>6689.3706025399997</v>
      </c>
      <c r="L2046" s="1">
        <v>1626.14361293</v>
      </c>
      <c r="M2046" s="1" t="s">
        <v>198</v>
      </c>
      <c r="N2046" s="1" t="b">
        <v>1</v>
      </c>
    </row>
    <row r="2047" spans="1:14" ht="19" customHeight="1" x14ac:dyDescent="0.3">
      <c r="A2047">
        <v>2042</v>
      </c>
      <c r="B2047" s="1">
        <v>8</v>
      </c>
      <c r="C2047" s="1">
        <v>50</v>
      </c>
      <c r="D2047" s="1">
        <v>5.5E-2</v>
      </c>
      <c r="E2047" s="1">
        <v>0.06</v>
      </c>
      <c r="F2047" s="1">
        <v>-5</v>
      </c>
      <c r="G2047" s="1">
        <v>1</v>
      </c>
      <c r="H2047" s="1">
        <v>1.3694900459899999</v>
      </c>
      <c r="I2047" s="1">
        <v>1.15716674389</v>
      </c>
      <c r="J2047" s="1">
        <v>0.58054433201800004</v>
      </c>
      <c r="K2047" s="1">
        <v>5803.4148142499998</v>
      </c>
      <c r="L2047" s="1">
        <v>1333.4377626</v>
      </c>
      <c r="M2047" s="1" t="s">
        <v>198</v>
      </c>
      <c r="N2047" s="1" t="b">
        <v>1</v>
      </c>
    </row>
    <row r="2048" spans="1:14" ht="19" customHeight="1" x14ac:dyDescent="0.3">
      <c r="A2048">
        <v>2043</v>
      </c>
      <c r="B2048" s="1">
        <v>8</v>
      </c>
      <c r="C2048" s="1">
        <v>50</v>
      </c>
      <c r="D2048" s="1">
        <v>5.5E-2</v>
      </c>
      <c r="E2048" s="1">
        <v>0.06</v>
      </c>
      <c r="F2048" s="1">
        <v>0</v>
      </c>
      <c r="G2048" s="1">
        <v>0</v>
      </c>
      <c r="H2048" s="1">
        <v>1.4006528387699999</v>
      </c>
      <c r="I2048" s="1">
        <v>1.5779974835699999</v>
      </c>
      <c r="J2048" s="1">
        <v>0.70048089270500002</v>
      </c>
      <c r="K2048" s="1">
        <v>6841.5874591399997</v>
      </c>
      <c r="L2048" s="1">
        <v>1608.91705043</v>
      </c>
      <c r="M2048" s="1" t="s">
        <v>198</v>
      </c>
      <c r="N2048" s="1" t="b">
        <v>1</v>
      </c>
    </row>
    <row r="2049" spans="1:14" ht="19" customHeight="1" x14ac:dyDescent="0.3">
      <c r="A2049">
        <v>2044</v>
      </c>
      <c r="B2049" s="1">
        <v>8</v>
      </c>
      <c r="C2049" s="1">
        <v>50</v>
      </c>
      <c r="D2049" s="1">
        <v>5.5E-2</v>
      </c>
      <c r="E2049" s="1">
        <v>0.06</v>
      </c>
      <c r="F2049" s="1">
        <v>0</v>
      </c>
      <c r="G2049" s="1">
        <v>1</v>
      </c>
      <c r="H2049" s="1">
        <v>1.4006528387699999</v>
      </c>
      <c r="I2049" s="1">
        <v>1.1834981126799999</v>
      </c>
      <c r="J2049" s="1">
        <v>0.57439433201800005</v>
      </c>
      <c r="K2049" s="1">
        <v>5935.4717166199998</v>
      </c>
      <c r="L2049" s="1">
        <v>1319.31198135</v>
      </c>
      <c r="M2049" s="1" t="s">
        <v>198</v>
      </c>
      <c r="N2049" s="1" t="b">
        <v>1</v>
      </c>
    </row>
    <row r="2050" spans="1:14" ht="19" customHeight="1" x14ac:dyDescent="0.3">
      <c r="A2050">
        <v>2045</v>
      </c>
      <c r="B2050" s="1">
        <v>8</v>
      </c>
      <c r="C2050" s="1">
        <v>50</v>
      </c>
      <c r="D2050" s="1">
        <v>5.5E-2</v>
      </c>
      <c r="E2050" s="1">
        <v>0.06</v>
      </c>
      <c r="F2050" s="1">
        <v>5</v>
      </c>
      <c r="G2050" s="1">
        <v>0</v>
      </c>
      <c r="H2050" s="1">
        <v>1.3694900459899999</v>
      </c>
      <c r="I2050" s="1">
        <v>1.5428889918499999</v>
      </c>
      <c r="J2050" s="1">
        <v>0.70798089270499998</v>
      </c>
      <c r="K2050" s="1">
        <v>6689.3706025399997</v>
      </c>
      <c r="L2050" s="1">
        <v>1626.14361293</v>
      </c>
      <c r="M2050" s="1" t="s">
        <v>198</v>
      </c>
      <c r="N2050" s="1" t="b">
        <v>1</v>
      </c>
    </row>
    <row r="2051" spans="1:14" ht="19" customHeight="1" x14ac:dyDescent="0.3">
      <c r="A2051">
        <v>2046</v>
      </c>
      <c r="B2051" s="1">
        <v>8</v>
      </c>
      <c r="C2051" s="1">
        <v>50</v>
      </c>
      <c r="D2051" s="1">
        <v>5.5E-2</v>
      </c>
      <c r="E2051" s="1">
        <v>0.06</v>
      </c>
      <c r="F2051" s="1">
        <v>5</v>
      </c>
      <c r="G2051" s="1">
        <v>1</v>
      </c>
      <c r="H2051" s="1">
        <v>1.3694900459899999</v>
      </c>
      <c r="I2051" s="1">
        <v>1.15716674389</v>
      </c>
      <c r="J2051" s="1">
        <v>0.58054433201800004</v>
      </c>
      <c r="K2051" s="1">
        <v>5803.4148142499998</v>
      </c>
      <c r="L2051" s="1">
        <v>1333.4377626</v>
      </c>
      <c r="M2051" s="1" t="s">
        <v>198</v>
      </c>
      <c r="N2051" s="1" t="b">
        <v>1</v>
      </c>
    </row>
    <row r="2052" spans="1:14" ht="19" customHeight="1" x14ac:dyDescent="0.3">
      <c r="A2052">
        <v>2047</v>
      </c>
      <c r="B2052" s="1">
        <v>8</v>
      </c>
      <c r="C2052" s="1">
        <v>50</v>
      </c>
      <c r="D2052" s="1">
        <v>5.5E-2</v>
      </c>
      <c r="E2052" s="1">
        <v>8.5000000000000006E-2</v>
      </c>
      <c r="F2052" s="1">
        <v>-5</v>
      </c>
      <c r="G2052" s="1">
        <v>0</v>
      </c>
      <c r="H2052" s="1">
        <v>1.29885550048</v>
      </c>
      <c r="I2052" s="1">
        <v>1.4369371735800001</v>
      </c>
      <c r="J2052" s="1">
        <v>0.70165973196700004</v>
      </c>
      <c r="K2052" s="1">
        <v>6283.7737982299996</v>
      </c>
      <c r="L2052" s="1">
        <v>1611.6246968600001</v>
      </c>
      <c r="M2052" s="1" t="s">
        <v>198</v>
      </c>
      <c r="N2052" s="1" t="b">
        <v>1</v>
      </c>
    </row>
    <row r="2053" spans="1:14" ht="19" customHeight="1" x14ac:dyDescent="0.3">
      <c r="A2053">
        <v>2048</v>
      </c>
      <c r="B2053" s="1">
        <v>8</v>
      </c>
      <c r="C2053" s="1">
        <v>50</v>
      </c>
      <c r="D2053" s="1">
        <v>5.5E-2</v>
      </c>
      <c r="E2053" s="1">
        <v>8.5000000000000006E-2</v>
      </c>
      <c r="F2053" s="1">
        <v>-5</v>
      </c>
      <c r="G2053" s="1">
        <v>1</v>
      </c>
      <c r="H2053" s="1">
        <v>1.29885550048</v>
      </c>
      <c r="I2053" s="1">
        <v>1.0777028801899999</v>
      </c>
      <c r="J2053" s="1">
        <v>0.57536098021299997</v>
      </c>
      <c r="K2053" s="1">
        <v>5458.6575305899996</v>
      </c>
      <c r="L2053" s="1">
        <v>1321.5322514300001</v>
      </c>
      <c r="M2053" s="1" t="s">
        <v>198</v>
      </c>
      <c r="N2053" s="1" t="b">
        <v>1</v>
      </c>
    </row>
    <row r="2054" spans="1:14" ht="19" customHeight="1" x14ac:dyDescent="0.3">
      <c r="A2054">
        <v>2049</v>
      </c>
      <c r="B2054" s="1">
        <v>8</v>
      </c>
      <c r="C2054" s="1">
        <v>50</v>
      </c>
      <c r="D2054" s="1">
        <v>5.5E-2</v>
      </c>
      <c r="E2054" s="1">
        <v>8.5000000000000006E-2</v>
      </c>
      <c r="F2054" s="1">
        <v>0</v>
      </c>
      <c r="G2054" s="1">
        <v>0</v>
      </c>
      <c r="H2054" s="1">
        <v>1.3284110017699999</v>
      </c>
      <c r="I2054" s="1">
        <v>1.46963472806</v>
      </c>
      <c r="J2054" s="1">
        <v>0.69415973196699998</v>
      </c>
      <c r="K2054" s="1">
        <v>6426.7612856899996</v>
      </c>
      <c r="L2054" s="1">
        <v>1594.3981343600001</v>
      </c>
      <c r="M2054" s="1" t="s">
        <v>198</v>
      </c>
      <c r="N2054" s="1" t="b">
        <v>1</v>
      </c>
    </row>
    <row r="2055" spans="1:14" ht="19" customHeight="1" x14ac:dyDescent="0.3">
      <c r="A2055">
        <v>2050</v>
      </c>
      <c r="B2055" s="1">
        <v>8</v>
      </c>
      <c r="C2055" s="1">
        <v>50</v>
      </c>
      <c r="D2055" s="1">
        <v>5.5E-2</v>
      </c>
      <c r="E2055" s="1">
        <v>8.5000000000000006E-2</v>
      </c>
      <c r="F2055" s="1">
        <v>0</v>
      </c>
      <c r="G2055" s="1">
        <v>1</v>
      </c>
      <c r="H2055" s="1">
        <v>1.3284110017699999</v>
      </c>
      <c r="I2055" s="1">
        <v>1.10222604604</v>
      </c>
      <c r="J2055" s="1">
        <v>0.56921098021299998</v>
      </c>
      <c r="K2055" s="1">
        <v>5582.86946919</v>
      </c>
      <c r="L2055" s="1">
        <v>1307.40647018</v>
      </c>
      <c r="M2055" s="1" t="s">
        <v>198</v>
      </c>
      <c r="N2055" s="1" t="b">
        <v>1</v>
      </c>
    </row>
    <row r="2056" spans="1:14" ht="19" customHeight="1" x14ac:dyDescent="0.3">
      <c r="A2056">
        <v>2051</v>
      </c>
      <c r="B2056" s="1">
        <v>8</v>
      </c>
      <c r="C2056" s="1">
        <v>50</v>
      </c>
      <c r="D2056" s="1">
        <v>5.5E-2</v>
      </c>
      <c r="E2056" s="1">
        <v>8.5000000000000006E-2</v>
      </c>
      <c r="F2056" s="1">
        <v>5</v>
      </c>
      <c r="G2056" s="1">
        <v>0</v>
      </c>
      <c r="H2056" s="1">
        <v>1.29885550048</v>
      </c>
      <c r="I2056" s="1">
        <v>1.4369371735800001</v>
      </c>
      <c r="J2056" s="1">
        <v>0.70165973196700004</v>
      </c>
      <c r="K2056" s="1">
        <v>6283.7737982299996</v>
      </c>
      <c r="L2056" s="1">
        <v>1611.6246968600001</v>
      </c>
      <c r="M2056" s="1" t="s">
        <v>198</v>
      </c>
      <c r="N2056" s="1" t="b">
        <v>1</v>
      </c>
    </row>
    <row r="2057" spans="1:14" ht="19" customHeight="1" x14ac:dyDescent="0.3">
      <c r="A2057">
        <v>2052</v>
      </c>
      <c r="B2057" s="1">
        <v>8</v>
      </c>
      <c r="C2057" s="1">
        <v>50</v>
      </c>
      <c r="D2057" s="1">
        <v>5.5E-2</v>
      </c>
      <c r="E2057" s="1">
        <v>8.5000000000000006E-2</v>
      </c>
      <c r="F2057" s="1">
        <v>5</v>
      </c>
      <c r="G2057" s="1">
        <v>1</v>
      </c>
      <c r="H2057" s="1">
        <v>1.29885550048</v>
      </c>
      <c r="I2057" s="1">
        <v>1.0777028801899999</v>
      </c>
      <c r="J2057" s="1">
        <v>0.57536098021299997</v>
      </c>
      <c r="K2057" s="1">
        <v>5458.6575305899996</v>
      </c>
      <c r="L2057" s="1">
        <v>1321.5322514300001</v>
      </c>
      <c r="M2057" s="1" t="s">
        <v>198</v>
      </c>
      <c r="N2057" s="1" t="b">
        <v>1</v>
      </c>
    </row>
    <row r="2058" spans="1:14" ht="19" customHeight="1" x14ac:dyDescent="0.3">
      <c r="A2058">
        <v>2053</v>
      </c>
      <c r="B2058" s="1">
        <v>8</v>
      </c>
      <c r="C2058" s="1">
        <v>70</v>
      </c>
      <c r="D2058" s="1">
        <v>2.5000000000000001E-2</v>
      </c>
      <c r="E2058" s="1">
        <v>0.04</v>
      </c>
      <c r="F2058" s="1">
        <v>-5</v>
      </c>
      <c r="G2058" s="1">
        <v>0</v>
      </c>
      <c r="H2058" s="1">
        <v>1.47575673489</v>
      </c>
      <c r="I2058" s="1">
        <v>1.70228902521</v>
      </c>
      <c r="J2058" s="1">
        <v>0.71749081192099995</v>
      </c>
      <c r="K2058" s="1">
        <v>14307.164756300001</v>
      </c>
      <c r="L2058" s="1">
        <v>3230.05394892</v>
      </c>
      <c r="M2058" s="1" t="s">
        <v>198</v>
      </c>
      <c r="N2058" s="1" t="b">
        <v>1</v>
      </c>
    </row>
    <row r="2059" spans="1:14" ht="19" customHeight="1" x14ac:dyDescent="0.3">
      <c r="A2059">
        <v>2054</v>
      </c>
      <c r="B2059" s="1">
        <v>8</v>
      </c>
      <c r="C2059" s="1">
        <v>70</v>
      </c>
      <c r="D2059" s="1">
        <v>2.5000000000000001E-2</v>
      </c>
      <c r="E2059" s="1">
        <v>0.04</v>
      </c>
      <c r="F2059" s="1">
        <v>-5</v>
      </c>
      <c r="G2059" s="1">
        <v>1</v>
      </c>
      <c r="H2059" s="1">
        <v>1.47575673489</v>
      </c>
      <c r="I2059" s="1">
        <v>1.2767167689100001</v>
      </c>
      <c r="J2059" s="1">
        <v>0.58834246577500005</v>
      </c>
      <c r="K2059" s="1">
        <v>12391.2916549</v>
      </c>
      <c r="L2059" s="1">
        <v>2648.6442381100001</v>
      </c>
      <c r="M2059" s="1" t="s">
        <v>198</v>
      </c>
      <c r="N2059" s="1" t="b">
        <v>1</v>
      </c>
    </row>
    <row r="2060" spans="1:14" ht="19" customHeight="1" x14ac:dyDescent="0.3">
      <c r="A2060">
        <v>2055</v>
      </c>
      <c r="B2060" s="1">
        <v>8</v>
      </c>
      <c r="C2060" s="1">
        <v>70</v>
      </c>
      <c r="D2060" s="1">
        <v>2.5000000000000001E-2</v>
      </c>
      <c r="E2060" s="1">
        <v>0.04</v>
      </c>
      <c r="F2060" s="1">
        <v>0</v>
      </c>
      <c r="G2060" s="1">
        <v>0</v>
      </c>
      <c r="H2060" s="1">
        <v>1.5093376298100001</v>
      </c>
      <c r="I2060" s="1">
        <v>1.7410246701300001</v>
      </c>
      <c r="J2060" s="1">
        <v>0.709990811921</v>
      </c>
      <c r="K2060" s="1">
        <v>14632.724779100001</v>
      </c>
      <c r="L2060" s="1">
        <v>3196.2898864200001</v>
      </c>
      <c r="M2060" s="1" t="s">
        <v>198</v>
      </c>
      <c r="N2060" s="1" t="b">
        <v>1</v>
      </c>
    </row>
    <row r="2061" spans="1:14" ht="19" customHeight="1" x14ac:dyDescent="0.3">
      <c r="A2061">
        <v>2056</v>
      </c>
      <c r="B2061" s="1">
        <v>8</v>
      </c>
      <c r="C2061" s="1">
        <v>70</v>
      </c>
      <c r="D2061" s="1">
        <v>2.5000000000000001E-2</v>
      </c>
      <c r="E2061" s="1">
        <v>0.04</v>
      </c>
      <c r="F2061" s="1">
        <v>0</v>
      </c>
      <c r="G2061" s="1">
        <v>1</v>
      </c>
      <c r="H2061" s="1">
        <v>1.5093376298100001</v>
      </c>
      <c r="I2061" s="1">
        <v>1.3057685026000001</v>
      </c>
      <c r="J2061" s="1">
        <v>0.58219246577499995</v>
      </c>
      <c r="K2061" s="1">
        <v>12673.255919900001</v>
      </c>
      <c r="L2061" s="1">
        <v>2620.9577068600001</v>
      </c>
      <c r="M2061" s="1" t="s">
        <v>198</v>
      </c>
      <c r="N2061" s="1" t="b">
        <v>1</v>
      </c>
    </row>
    <row r="2062" spans="1:14" ht="19" customHeight="1" x14ac:dyDescent="0.3">
      <c r="A2062">
        <v>2057</v>
      </c>
      <c r="B2062" s="1">
        <v>8</v>
      </c>
      <c r="C2062" s="1">
        <v>70</v>
      </c>
      <c r="D2062" s="1">
        <v>2.5000000000000001E-2</v>
      </c>
      <c r="E2062" s="1">
        <v>0.04</v>
      </c>
      <c r="F2062" s="1">
        <v>5</v>
      </c>
      <c r="G2062" s="1">
        <v>0</v>
      </c>
      <c r="H2062" s="1">
        <v>1.47575673489</v>
      </c>
      <c r="I2062" s="1">
        <v>1.70228902521</v>
      </c>
      <c r="J2062" s="1">
        <v>0.71749081192099995</v>
      </c>
      <c r="K2062" s="1">
        <v>14307.164756300001</v>
      </c>
      <c r="L2062" s="1">
        <v>3230.05394892</v>
      </c>
      <c r="M2062" s="1" t="s">
        <v>198</v>
      </c>
      <c r="N2062" s="1" t="b">
        <v>1</v>
      </c>
    </row>
    <row r="2063" spans="1:14" ht="19" customHeight="1" x14ac:dyDescent="0.3">
      <c r="A2063">
        <v>2058</v>
      </c>
      <c r="B2063" s="1">
        <v>8</v>
      </c>
      <c r="C2063" s="1">
        <v>70</v>
      </c>
      <c r="D2063" s="1">
        <v>2.5000000000000001E-2</v>
      </c>
      <c r="E2063" s="1">
        <v>0.04</v>
      </c>
      <c r="F2063" s="1">
        <v>5</v>
      </c>
      <c r="G2063" s="1">
        <v>1</v>
      </c>
      <c r="H2063" s="1">
        <v>1.47575673489</v>
      </c>
      <c r="I2063" s="1">
        <v>1.2767167689100001</v>
      </c>
      <c r="J2063" s="1">
        <v>0.58834246577500005</v>
      </c>
      <c r="K2063" s="1">
        <v>12391.2916549</v>
      </c>
      <c r="L2063" s="1">
        <v>2648.6442381100001</v>
      </c>
      <c r="M2063" s="1" t="s">
        <v>198</v>
      </c>
      <c r="N2063" s="1" t="b">
        <v>1</v>
      </c>
    </row>
    <row r="2064" spans="1:14" ht="19" customHeight="1" x14ac:dyDescent="0.3">
      <c r="A2064">
        <v>2059</v>
      </c>
      <c r="B2064" s="1">
        <v>8</v>
      </c>
      <c r="C2064" s="1">
        <v>70</v>
      </c>
      <c r="D2064" s="1">
        <v>2.5000000000000001E-2</v>
      </c>
      <c r="E2064" s="1">
        <v>0.06</v>
      </c>
      <c r="F2064" s="1">
        <v>-5</v>
      </c>
      <c r="G2064" s="1">
        <v>0</v>
      </c>
      <c r="H2064" s="1">
        <v>1.5163717485299999</v>
      </c>
      <c r="I2064" s="1">
        <v>1.7632115456599999</v>
      </c>
      <c r="J2064" s="1">
        <v>0.72112549276600002</v>
      </c>
      <c r="K2064" s="1">
        <v>14764.274042499999</v>
      </c>
      <c r="L2064" s="1">
        <v>3246.4168277499998</v>
      </c>
      <c r="M2064" s="1" t="s">
        <v>198</v>
      </c>
      <c r="N2064" s="1" t="b">
        <v>1</v>
      </c>
    </row>
    <row r="2065" spans="1:14" ht="19" customHeight="1" x14ac:dyDescent="0.3">
      <c r="A2065">
        <v>2060</v>
      </c>
      <c r="B2065" s="1">
        <v>8</v>
      </c>
      <c r="C2065" s="1">
        <v>70</v>
      </c>
      <c r="D2065" s="1">
        <v>2.5000000000000001E-2</v>
      </c>
      <c r="E2065" s="1">
        <v>0.06</v>
      </c>
      <c r="F2065" s="1">
        <v>-5</v>
      </c>
      <c r="G2065" s="1">
        <v>1</v>
      </c>
      <c r="H2065" s="1">
        <v>1.5163717485299999</v>
      </c>
      <c r="I2065" s="1">
        <v>1.32240865924</v>
      </c>
      <c r="J2065" s="1">
        <v>0.59132290406800003</v>
      </c>
      <c r="K2065" s="1">
        <v>12779.8345482</v>
      </c>
      <c r="L2065" s="1">
        <v>2662.06179875</v>
      </c>
      <c r="M2065" s="1" t="s">
        <v>198</v>
      </c>
      <c r="N2065" s="1" t="b">
        <v>1</v>
      </c>
    </row>
    <row r="2066" spans="1:14" ht="19" customHeight="1" x14ac:dyDescent="0.3">
      <c r="A2066">
        <v>2061</v>
      </c>
      <c r="B2066" s="1">
        <v>8</v>
      </c>
      <c r="C2066" s="1">
        <v>70</v>
      </c>
      <c r="D2066" s="1">
        <v>2.5000000000000001E-2</v>
      </c>
      <c r="E2066" s="1">
        <v>0.06</v>
      </c>
      <c r="F2066" s="1">
        <v>0</v>
      </c>
      <c r="G2066" s="1">
        <v>0</v>
      </c>
      <c r="H2066" s="1">
        <v>1.5508768394700001</v>
      </c>
      <c r="I2066" s="1">
        <v>1.80333348462</v>
      </c>
      <c r="J2066" s="1">
        <v>0.71362549276599996</v>
      </c>
      <c r="K2066" s="1">
        <v>15100.235602799999</v>
      </c>
      <c r="L2066" s="1">
        <v>3212.6527652499999</v>
      </c>
      <c r="M2066" s="1" t="s">
        <v>198</v>
      </c>
      <c r="N2066" s="1" t="b">
        <v>1</v>
      </c>
    </row>
    <row r="2067" spans="1:14" ht="19" customHeight="1" x14ac:dyDescent="0.3">
      <c r="A2067">
        <v>2062</v>
      </c>
      <c r="B2067" s="1">
        <v>8</v>
      </c>
      <c r="C2067" s="1">
        <v>70</v>
      </c>
      <c r="D2067" s="1">
        <v>2.5000000000000001E-2</v>
      </c>
      <c r="E2067" s="1">
        <v>0.06</v>
      </c>
      <c r="F2067" s="1">
        <v>0</v>
      </c>
      <c r="G2067" s="1">
        <v>1</v>
      </c>
      <c r="H2067" s="1">
        <v>1.5508768394700001</v>
      </c>
      <c r="I2067" s="1">
        <v>1.3525001134700001</v>
      </c>
      <c r="J2067" s="1">
        <v>0.58517290406800004</v>
      </c>
      <c r="K2067" s="1">
        <v>13070.64012</v>
      </c>
      <c r="L2067" s="1">
        <v>2634.3752675000001</v>
      </c>
      <c r="M2067" s="1" t="s">
        <v>198</v>
      </c>
      <c r="N2067" s="1" t="b">
        <v>1</v>
      </c>
    </row>
    <row r="2068" spans="1:14" ht="19" customHeight="1" x14ac:dyDescent="0.3">
      <c r="A2068">
        <v>2063</v>
      </c>
      <c r="B2068" s="1">
        <v>8</v>
      </c>
      <c r="C2068" s="1">
        <v>70</v>
      </c>
      <c r="D2068" s="1">
        <v>2.5000000000000001E-2</v>
      </c>
      <c r="E2068" s="1">
        <v>0.06</v>
      </c>
      <c r="F2068" s="1">
        <v>5</v>
      </c>
      <c r="G2068" s="1">
        <v>0</v>
      </c>
      <c r="H2068" s="1">
        <v>1.5163717485299999</v>
      </c>
      <c r="I2068" s="1">
        <v>1.7632115456599999</v>
      </c>
      <c r="J2068" s="1">
        <v>0.72112549276600002</v>
      </c>
      <c r="K2068" s="1">
        <v>14764.274042499999</v>
      </c>
      <c r="L2068" s="1">
        <v>3246.4168277499998</v>
      </c>
      <c r="M2068" s="1" t="s">
        <v>198</v>
      </c>
      <c r="N2068" s="1" t="b">
        <v>1</v>
      </c>
    </row>
    <row r="2069" spans="1:14" ht="19" customHeight="1" x14ac:dyDescent="0.3">
      <c r="A2069">
        <v>2064</v>
      </c>
      <c r="B2069" s="1">
        <v>8</v>
      </c>
      <c r="C2069" s="1">
        <v>70</v>
      </c>
      <c r="D2069" s="1">
        <v>2.5000000000000001E-2</v>
      </c>
      <c r="E2069" s="1">
        <v>0.06</v>
      </c>
      <c r="F2069" s="1">
        <v>5</v>
      </c>
      <c r="G2069" s="1">
        <v>1</v>
      </c>
      <c r="H2069" s="1">
        <v>1.5163717485299999</v>
      </c>
      <c r="I2069" s="1">
        <v>1.32240865924</v>
      </c>
      <c r="J2069" s="1">
        <v>0.59132290406800003</v>
      </c>
      <c r="K2069" s="1">
        <v>12779.8345482</v>
      </c>
      <c r="L2069" s="1">
        <v>2662.06179875</v>
      </c>
      <c r="M2069" s="1" t="s">
        <v>198</v>
      </c>
      <c r="N2069" s="1" t="b">
        <v>1</v>
      </c>
    </row>
    <row r="2070" spans="1:14" ht="19" customHeight="1" x14ac:dyDescent="0.3">
      <c r="A2070">
        <v>2065</v>
      </c>
      <c r="B2070" s="1">
        <v>8</v>
      </c>
      <c r="C2070" s="1">
        <v>70</v>
      </c>
      <c r="D2070" s="1">
        <v>2.5000000000000001E-2</v>
      </c>
      <c r="E2070" s="1">
        <v>8.5000000000000006E-2</v>
      </c>
      <c r="F2070" s="1">
        <v>-5</v>
      </c>
      <c r="G2070" s="1">
        <v>0</v>
      </c>
      <c r="H2070" s="1">
        <v>1.41254023958</v>
      </c>
      <c r="I2070" s="1">
        <v>1.60746428224</v>
      </c>
      <c r="J2070" s="1">
        <v>0.71183350039899995</v>
      </c>
      <c r="K2070" s="1">
        <v>13595.682856699999</v>
      </c>
      <c r="L2070" s="1">
        <v>3204.5854396099999</v>
      </c>
      <c r="M2070" s="1" t="s">
        <v>198</v>
      </c>
      <c r="N2070" s="1" t="b">
        <v>1</v>
      </c>
    </row>
    <row r="2071" spans="1:14" ht="19" customHeight="1" x14ac:dyDescent="0.3">
      <c r="A2071">
        <v>2066</v>
      </c>
      <c r="B2071" s="1">
        <v>8</v>
      </c>
      <c r="C2071" s="1">
        <v>70</v>
      </c>
      <c r="D2071" s="1">
        <v>2.5000000000000001E-2</v>
      </c>
      <c r="E2071" s="1">
        <v>8.5000000000000006E-2</v>
      </c>
      <c r="F2071" s="1">
        <v>-5</v>
      </c>
      <c r="G2071" s="1">
        <v>1</v>
      </c>
      <c r="H2071" s="1">
        <v>1.41254023958</v>
      </c>
      <c r="I2071" s="1">
        <v>1.2055982116799999</v>
      </c>
      <c r="J2071" s="1">
        <v>0.58370347032699998</v>
      </c>
      <c r="K2071" s="1">
        <v>11786.532040300001</v>
      </c>
      <c r="L2071" s="1">
        <v>2627.76006048</v>
      </c>
      <c r="M2071" s="1" t="s">
        <v>198</v>
      </c>
      <c r="N2071" s="1" t="b">
        <v>1</v>
      </c>
    </row>
    <row r="2072" spans="1:14" ht="19" customHeight="1" x14ac:dyDescent="0.3">
      <c r="A2072">
        <v>2067</v>
      </c>
      <c r="B2072" s="1">
        <v>8</v>
      </c>
      <c r="C2072" s="1">
        <v>70</v>
      </c>
      <c r="D2072" s="1">
        <v>2.5000000000000001E-2</v>
      </c>
      <c r="E2072" s="1">
        <v>8.5000000000000006E-2</v>
      </c>
      <c r="F2072" s="1">
        <v>0</v>
      </c>
      <c r="G2072" s="1">
        <v>0</v>
      </c>
      <c r="H2072" s="1">
        <v>1.444682641</v>
      </c>
      <c r="I2072" s="1">
        <v>1.6440421868999999</v>
      </c>
      <c r="J2072" s="1">
        <v>0.704333500399</v>
      </c>
      <c r="K2072" s="1">
        <v>13905.0530846</v>
      </c>
      <c r="L2072" s="1">
        <v>3170.82137711</v>
      </c>
      <c r="M2072" s="1" t="s">
        <v>198</v>
      </c>
      <c r="N2072" s="1" t="b">
        <v>1</v>
      </c>
    </row>
    <row r="2073" spans="1:14" ht="19" customHeight="1" x14ac:dyDescent="0.3">
      <c r="A2073">
        <v>2068</v>
      </c>
      <c r="B2073" s="1">
        <v>8</v>
      </c>
      <c r="C2073" s="1">
        <v>70</v>
      </c>
      <c r="D2073" s="1">
        <v>2.5000000000000001E-2</v>
      </c>
      <c r="E2073" s="1">
        <v>8.5000000000000006E-2</v>
      </c>
      <c r="F2073" s="1">
        <v>0</v>
      </c>
      <c r="G2073" s="1">
        <v>1</v>
      </c>
      <c r="H2073" s="1">
        <v>1.444682641</v>
      </c>
      <c r="I2073" s="1">
        <v>1.2330316401800001</v>
      </c>
      <c r="J2073" s="1">
        <v>0.577553470327</v>
      </c>
      <c r="K2073" s="1">
        <v>12054.7349796</v>
      </c>
      <c r="L2073" s="1">
        <v>2600.0735292300001</v>
      </c>
      <c r="M2073" s="1" t="s">
        <v>198</v>
      </c>
      <c r="N2073" s="1" t="b">
        <v>1</v>
      </c>
    </row>
    <row r="2074" spans="1:14" ht="19" customHeight="1" x14ac:dyDescent="0.3">
      <c r="A2074">
        <v>2069</v>
      </c>
      <c r="B2074" s="1">
        <v>8</v>
      </c>
      <c r="C2074" s="1">
        <v>70</v>
      </c>
      <c r="D2074" s="1">
        <v>2.5000000000000001E-2</v>
      </c>
      <c r="E2074" s="1">
        <v>8.5000000000000006E-2</v>
      </c>
      <c r="F2074" s="1">
        <v>5</v>
      </c>
      <c r="G2074" s="1">
        <v>0</v>
      </c>
      <c r="H2074" s="1">
        <v>1.41254023958</v>
      </c>
      <c r="I2074" s="1">
        <v>1.60746428224</v>
      </c>
      <c r="J2074" s="1">
        <v>0.71183350039899995</v>
      </c>
      <c r="K2074" s="1">
        <v>13595.682856699999</v>
      </c>
      <c r="L2074" s="1">
        <v>3204.5854396099999</v>
      </c>
      <c r="M2074" s="1" t="s">
        <v>198</v>
      </c>
      <c r="N2074" s="1" t="b">
        <v>1</v>
      </c>
    </row>
    <row r="2075" spans="1:14" ht="19" customHeight="1" x14ac:dyDescent="0.3">
      <c r="A2075">
        <v>2070</v>
      </c>
      <c r="B2075" s="1">
        <v>8</v>
      </c>
      <c r="C2075" s="1">
        <v>70</v>
      </c>
      <c r="D2075" s="1">
        <v>2.5000000000000001E-2</v>
      </c>
      <c r="E2075" s="1">
        <v>8.5000000000000006E-2</v>
      </c>
      <c r="F2075" s="1">
        <v>5</v>
      </c>
      <c r="G2075" s="1">
        <v>1</v>
      </c>
      <c r="H2075" s="1">
        <v>1.41254023958</v>
      </c>
      <c r="I2075" s="1">
        <v>1.2055982116799999</v>
      </c>
      <c r="J2075" s="1">
        <v>0.58370347032699998</v>
      </c>
      <c r="K2075" s="1">
        <v>11786.532040300001</v>
      </c>
      <c r="L2075" s="1">
        <v>2627.76006048</v>
      </c>
      <c r="M2075" s="1" t="s">
        <v>198</v>
      </c>
      <c r="N2075" s="1" t="b">
        <v>1</v>
      </c>
    </row>
    <row r="2076" spans="1:14" ht="19" customHeight="1" x14ac:dyDescent="0.3">
      <c r="A2076">
        <v>2071</v>
      </c>
      <c r="B2076" s="1">
        <v>8</v>
      </c>
      <c r="C2076" s="1">
        <v>70</v>
      </c>
      <c r="D2076" s="1">
        <v>0.04</v>
      </c>
      <c r="E2076" s="1">
        <v>0.04</v>
      </c>
      <c r="F2076" s="1">
        <v>-5</v>
      </c>
      <c r="G2076" s="1">
        <v>0</v>
      </c>
      <c r="H2076" s="1">
        <v>1.4817455483499999</v>
      </c>
      <c r="I2076" s="1">
        <v>1.71127224539</v>
      </c>
      <c r="J2076" s="1">
        <v>0.71802675721800002</v>
      </c>
      <c r="K2076" s="1">
        <v>14374.566980199999</v>
      </c>
      <c r="L2076" s="1">
        <v>3232.46670765</v>
      </c>
      <c r="M2076" s="1" t="s">
        <v>198</v>
      </c>
      <c r="N2076" s="1" t="b">
        <v>1</v>
      </c>
    </row>
    <row r="2077" spans="1:14" ht="19" customHeight="1" x14ac:dyDescent="0.3">
      <c r="A2077">
        <v>2072</v>
      </c>
      <c r="B2077" s="1">
        <v>8</v>
      </c>
      <c r="C2077" s="1">
        <v>70</v>
      </c>
      <c r="D2077" s="1">
        <v>0.04</v>
      </c>
      <c r="E2077" s="1">
        <v>0.04</v>
      </c>
      <c r="F2077" s="1">
        <v>-5</v>
      </c>
      <c r="G2077" s="1">
        <v>1</v>
      </c>
      <c r="H2077" s="1">
        <v>1.4817455483499999</v>
      </c>
      <c r="I2077" s="1">
        <v>1.28345418404</v>
      </c>
      <c r="J2077" s="1">
        <v>0.58878194091900005</v>
      </c>
      <c r="K2077" s="1">
        <v>12448.583545199999</v>
      </c>
      <c r="L2077" s="1">
        <v>2650.6227002700002</v>
      </c>
      <c r="M2077" s="1" t="s">
        <v>198</v>
      </c>
      <c r="N2077" s="1" t="b">
        <v>1</v>
      </c>
    </row>
    <row r="2078" spans="1:14" ht="19" customHeight="1" x14ac:dyDescent="0.3">
      <c r="A2078">
        <v>2073</v>
      </c>
      <c r="B2078" s="1">
        <v>8</v>
      </c>
      <c r="C2078" s="1">
        <v>70</v>
      </c>
      <c r="D2078" s="1">
        <v>0.04</v>
      </c>
      <c r="E2078" s="1">
        <v>0.04</v>
      </c>
      <c r="F2078" s="1">
        <v>0</v>
      </c>
      <c r="G2078" s="1">
        <v>0</v>
      </c>
      <c r="H2078" s="1">
        <v>1.5154627189200001</v>
      </c>
      <c r="I2078" s="1">
        <v>1.7502123037899999</v>
      </c>
      <c r="J2078" s="1">
        <v>0.71052675721799996</v>
      </c>
      <c r="K2078" s="1">
        <v>14701.6607429</v>
      </c>
      <c r="L2078" s="1">
        <v>3198.7026451500001</v>
      </c>
      <c r="M2078" s="1" t="s">
        <v>198</v>
      </c>
      <c r="N2078" s="1" t="b">
        <v>1</v>
      </c>
    </row>
    <row r="2079" spans="1:14" ht="19" customHeight="1" x14ac:dyDescent="0.3">
      <c r="A2079">
        <v>2074</v>
      </c>
      <c r="B2079" s="1">
        <v>8</v>
      </c>
      <c r="C2079" s="1">
        <v>70</v>
      </c>
      <c r="D2079" s="1">
        <v>0.04</v>
      </c>
      <c r="E2079" s="1">
        <v>0.04</v>
      </c>
      <c r="F2079" s="1">
        <v>0</v>
      </c>
      <c r="G2079" s="1">
        <v>1</v>
      </c>
      <c r="H2079" s="1">
        <v>1.5154627189200001</v>
      </c>
      <c r="I2079" s="1">
        <v>1.31265922785</v>
      </c>
      <c r="J2079" s="1">
        <v>0.58263194091899995</v>
      </c>
      <c r="K2079" s="1">
        <v>12731.8514891</v>
      </c>
      <c r="L2079" s="1">
        <v>2622.9361690199999</v>
      </c>
      <c r="M2079" s="1" t="s">
        <v>198</v>
      </c>
      <c r="N2079" s="1" t="b">
        <v>1</v>
      </c>
    </row>
    <row r="2080" spans="1:14" ht="19" customHeight="1" x14ac:dyDescent="0.3">
      <c r="A2080">
        <v>2075</v>
      </c>
      <c r="B2080" s="1">
        <v>8</v>
      </c>
      <c r="C2080" s="1">
        <v>70</v>
      </c>
      <c r="D2080" s="1">
        <v>0.04</v>
      </c>
      <c r="E2080" s="1">
        <v>0.04</v>
      </c>
      <c r="F2080" s="1">
        <v>5</v>
      </c>
      <c r="G2080" s="1">
        <v>0</v>
      </c>
      <c r="H2080" s="1">
        <v>1.4817455483499999</v>
      </c>
      <c r="I2080" s="1">
        <v>1.71127224539</v>
      </c>
      <c r="J2080" s="1">
        <v>0.71802675721800002</v>
      </c>
      <c r="K2080" s="1">
        <v>14374.566980199999</v>
      </c>
      <c r="L2080" s="1">
        <v>3232.46670765</v>
      </c>
      <c r="M2080" s="1" t="s">
        <v>198</v>
      </c>
      <c r="N2080" s="1" t="b">
        <v>1</v>
      </c>
    </row>
    <row r="2081" spans="1:14" ht="19" customHeight="1" x14ac:dyDescent="0.3">
      <c r="A2081">
        <v>2076</v>
      </c>
      <c r="B2081" s="1">
        <v>8</v>
      </c>
      <c r="C2081" s="1">
        <v>70</v>
      </c>
      <c r="D2081" s="1">
        <v>0.04</v>
      </c>
      <c r="E2081" s="1">
        <v>0.04</v>
      </c>
      <c r="F2081" s="1">
        <v>5</v>
      </c>
      <c r="G2081" s="1">
        <v>1</v>
      </c>
      <c r="H2081" s="1">
        <v>1.4817455483499999</v>
      </c>
      <c r="I2081" s="1">
        <v>1.28345418404</v>
      </c>
      <c r="J2081" s="1">
        <v>0.58878194091900005</v>
      </c>
      <c r="K2081" s="1">
        <v>12448.583545199999</v>
      </c>
      <c r="L2081" s="1">
        <v>2650.6227002700002</v>
      </c>
      <c r="M2081" s="1" t="s">
        <v>198</v>
      </c>
      <c r="N2081" s="1" t="b">
        <v>1</v>
      </c>
    </row>
    <row r="2082" spans="1:14" ht="19" customHeight="1" x14ac:dyDescent="0.3">
      <c r="A2082">
        <v>2077</v>
      </c>
      <c r="B2082" s="1">
        <v>8</v>
      </c>
      <c r="C2082" s="1">
        <v>70</v>
      </c>
      <c r="D2082" s="1">
        <v>0.04</v>
      </c>
      <c r="E2082" s="1">
        <v>0.06</v>
      </c>
      <c r="F2082" s="1">
        <v>-5</v>
      </c>
      <c r="G2082" s="1">
        <v>0</v>
      </c>
      <c r="H2082" s="1">
        <v>1.5229413639</v>
      </c>
      <c r="I2082" s="1">
        <v>1.7730659687200001</v>
      </c>
      <c r="J2082" s="1">
        <v>0.72171341464600003</v>
      </c>
      <c r="K2082" s="1">
        <v>14838.2130106</v>
      </c>
      <c r="L2082" s="1">
        <v>3249.0635785600002</v>
      </c>
      <c r="M2082" s="1" t="s">
        <v>198</v>
      </c>
      <c r="N2082" s="1" t="b">
        <v>1</v>
      </c>
    </row>
    <row r="2083" spans="1:14" ht="19" customHeight="1" x14ac:dyDescent="0.3">
      <c r="A2083">
        <v>2078</v>
      </c>
      <c r="B2083" s="1">
        <v>8</v>
      </c>
      <c r="C2083" s="1">
        <v>70</v>
      </c>
      <c r="D2083" s="1">
        <v>0.04</v>
      </c>
      <c r="E2083" s="1">
        <v>0.06</v>
      </c>
      <c r="F2083" s="1">
        <v>-5</v>
      </c>
      <c r="G2083" s="1">
        <v>1</v>
      </c>
      <c r="H2083" s="1">
        <v>1.5229413639</v>
      </c>
      <c r="I2083" s="1">
        <v>1.3297994765400001</v>
      </c>
      <c r="J2083" s="1">
        <v>0.59180500001000003</v>
      </c>
      <c r="K2083" s="1">
        <v>12842.682671099999</v>
      </c>
      <c r="L2083" s="1">
        <v>2664.23213442</v>
      </c>
      <c r="M2083" s="1" t="s">
        <v>198</v>
      </c>
      <c r="N2083" s="1" t="b">
        <v>1</v>
      </c>
    </row>
    <row r="2084" spans="1:14" ht="19" customHeight="1" x14ac:dyDescent="0.3">
      <c r="A2084">
        <v>2079</v>
      </c>
      <c r="B2084" s="1">
        <v>8</v>
      </c>
      <c r="C2084" s="1">
        <v>70</v>
      </c>
      <c r="D2084" s="1">
        <v>0.04</v>
      </c>
      <c r="E2084" s="1">
        <v>0.06</v>
      </c>
      <c r="F2084" s="1">
        <v>0</v>
      </c>
      <c r="G2084" s="1">
        <v>0</v>
      </c>
      <c r="H2084" s="1">
        <v>1.55759594667</v>
      </c>
      <c r="I2084" s="1">
        <v>1.8134121454100001</v>
      </c>
      <c r="J2084" s="1">
        <v>0.71421341464599997</v>
      </c>
      <c r="K2084" s="1">
        <v>15175.8570545</v>
      </c>
      <c r="L2084" s="1">
        <v>3215.2995160599999</v>
      </c>
      <c r="M2084" s="1" t="s">
        <v>198</v>
      </c>
      <c r="N2084" s="1" t="b">
        <v>1</v>
      </c>
    </row>
    <row r="2085" spans="1:14" ht="19" customHeight="1" x14ac:dyDescent="0.3">
      <c r="A2085">
        <v>2080</v>
      </c>
      <c r="B2085" s="1">
        <v>8</v>
      </c>
      <c r="C2085" s="1">
        <v>70</v>
      </c>
      <c r="D2085" s="1">
        <v>0.04</v>
      </c>
      <c r="E2085" s="1">
        <v>0.06</v>
      </c>
      <c r="F2085" s="1">
        <v>0</v>
      </c>
      <c r="G2085" s="1">
        <v>1</v>
      </c>
      <c r="H2085" s="1">
        <v>1.55759594667</v>
      </c>
      <c r="I2085" s="1">
        <v>1.36005910906</v>
      </c>
      <c r="J2085" s="1">
        <v>0.58565500001000004</v>
      </c>
      <c r="K2085" s="1">
        <v>13134.918353999999</v>
      </c>
      <c r="L2085" s="1">
        <v>2636.54560317</v>
      </c>
      <c r="M2085" s="1" t="s">
        <v>198</v>
      </c>
      <c r="N2085" s="1" t="b">
        <v>1</v>
      </c>
    </row>
    <row r="2086" spans="1:14" ht="19" customHeight="1" x14ac:dyDescent="0.3">
      <c r="A2086">
        <v>2081</v>
      </c>
      <c r="B2086" s="1">
        <v>8</v>
      </c>
      <c r="C2086" s="1">
        <v>70</v>
      </c>
      <c r="D2086" s="1">
        <v>0.04</v>
      </c>
      <c r="E2086" s="1">
        <v>0.06</v>
      </c>
      <c r="F2086" s="1">
        <v>5</v>
      </c>
      <c r="G2086" s="1">
        <v>0</v>
      </c>
      <c r="H2086" s="1">
        <v>1.5229413639</v>
      </c>
      <c r="I2086" s="1">
        <v>1.7730659687200001</v>
      </c>
      <c r="J2086" s="1">
        <v>0.72171341464600003</v>
      </c>
      <c r="K2086" s="1">
        <v>14838.2130106</v>
      </c>
      <c r="L2086" s="1">
        <v>3249.0635785600002</v>
      </c>
      <c r="M2086" s="1" t="s">
        <v>198</v>
      </c>
      <c r="N2086" s="1" t="b">
        <v>1</v>
      </c>
    </row>
    <row r="2087" spans="1:14" ht="19" customHeight="1" x14ac:dyDescent="0.3">
      <c r="A2087">
        <v>2082</v>
      </c>
      <c r="B2087" s="1">
        <v>8</v>
      </c>
      <c r="C2087" s="1">
        <v>70</v>
      </c>
      <c r="D2087" s="1">
        <v>0.04</v>
      </c>
      <c r="E2087" s="1">
        <v>0.06</v>
      </c>
      <c r="F2087" s="1">
        <v>5</v>
      </c>
      <c r="G2087" s="1">
        <v>1</v>
      </c>
      <c r="H2087" s="1">
        <v>1.5229413639</v>
      </c>
      <c r="I2087" s="1">
        <v>1.3297994765400001</v>
      </c>
      <c r="J2087" s="1">
        <v>0.59180500001000003</v>
      </c>
      <c r="K2087" s="1">
        <v>12842.682671099999</v>
      </c>
      <c r="L2087" s="1">
        <v>2664.23213442</v>
      </c>
      <c r="M2087" s="1" t="s">
        <v>198</v>
      </c>
      <c r="N2087" s="1" t="b">
        <v>1</v>
      </c>
    </row>
    <row r="2088" spans="1:14" ht="19" customHeight="1" x14ac:dyDescent="0.3">
      <c r="A2088">
        <v>2083</v>
      </c>
      <c r="B2088" s="1">
        <v>8</v>
      </c>
      <c r="C2088" s="1">
        <v>70</v>
      </c>
      <c r="D2088" s="1">
        <v>0.04</v>
      </c>
      <c r="E2088" s="1">
        <v>8.5000000000000006E-2</v>
      </c>
      <c r="F2088" s="1">
        <v>-5</v>
      </c>
      <c r="G2088" s="1">
        <v>0</v>
      </c>
      <c r="H2088" s="1">
        <v>1.4176250459099999</v>
      </c>
      <c r="I2088" s="1">
        <v>1.6150914917300001</v>
      </c>
      <c r="J2088" s="1">
        <v>0.71228854513499995</v>
      </c>
      <c r="K2088" s="1">
        <v>13652.910762899999</v>
      </c>
      <c r="L2088" s="1">
        <v>3206.6339941299998</v>
      </c>
      <c r="M2088" s="1" t="s">
        <v>198</v>
      </c>
      <c r="N2088" s="1" t="b">
        <v>1</v>
      </c>
    </row>
    <row r="2089" spans="1:14" ht="19" customHeight="1" x14ac:dyDescent="0.3">
      <c r="A2089">
        <v>2084</v>
      </c>
      <c r="B2089" s="1">
        <v>8</v>
      </c>
      <c r="C2089" s="1">
        <v>70</v>
      </c>
      <c r="D2089" s="1">
        <v>0.04</v>
      </c>
      <c r="E2089" s="1">
        <v>8.5000000000000006E-2</v>
      </c>
      <c r="F2089" s="1">
        <v>-5</v>
      </c>
      <c r="G2089" s="1">
        <v>1</v>
      </c>
      <c r="H2089" s="1">
        <v>1.4176250459099999</v>
      </c>
      <c r="I2089" s="1">
        <v>1.2113186188</v>
      </c>
      <c r="J2089" s="1">
        <v>0.58407660701099995</v>
      </c>
      <c r="K2089" s="1">
        <v>11835.1757605</v>
      </c>
      <c r="L2089" s="1">
        <v>2629.4398751899998</v>
      </c>
      <c r="M2089" s="1" t="s">
        <v>198</v>
      </c>
      <c r="N2089" s="1" t="b">
        <v>1</v>
      </c>
    </row>
    <row r="2090" spans="1:14" ht="19" customHeight="1" x14ac:dyDescent="0.3">
      <c r="A2090">
        <v>2085</v>
      </c>
      <c r="B2090" s="1">
        <v>8</v>
      </c>
      <c r="C2090" s="1">
        <v>70</v>
      </c>
      <c r="D2090" s="1">
        <v>0.04</v>
      </c>
      <c r="E2090" s="1">
        <v>8.5000000000000006E-2</v>
      </c>
      <c r="F2090" s="1">
        <v>0</v>
      </c>
      <c r="G2090" s="1">
        <v>0</v>
      </c>
      <c r="H2090" s="1">
        <v>1.44988315226</v>
      </c>
      <c r="I2090" s="1">
        <v>1.6518429537999999</v>
      </c>
      <c r="J2090" s="1">
        <v>0.704788545135</v>
      </c>
      <c r="K2090" s="1">
        <v>13963.5832137</v>
      </c>
      <c r="L2090" s="1">
        <v>3172.8699316299999</v>
      </c>
      <c r="M2090" s="1" t="s">
        <v>198</v>
      </c>
      <c r="N2090" s="1" t="b">
        <v>1</v>
      </c>
    </row>
    <row r="2091" spans="1:14" ht="19" customHeight="1" x14ac:dyDescent="0.3">
      <c r="A2091">
        <v>2086</v>
      </c>
      <c r="B2091" s="1">
        <v>8</v>
      </c>
      <c r="C2091" s="1">
        <v>70</v>
      </c>
      <c r="D2091" s="1">
        <v>0.04</v>
      </c>
      <c r="E2091" s="1">
        <v>8.5000000000000006E-2</v>
      </c>
      <c r="F2091" s="1">
        <v>0</v>
      </c>
      <c r="G2091" s="1">
        <v>1</v>
      </c>
      <c r="H2091" s="1">
        <v>1.44988315226</v>
      </c>
      <c r="I2091" s="1">
        <v>1.2388822153500001</v>
      </c>
      <c r="J2091" s="1">
        <v>0.57792660701099996</v>
      </c>
      <c r="K2091" s="1">
        <v>12104.4855893</v>
      </c>
      <c r="L2091" s="1">
        <v>2601.7533439399999</v>
      </c>
      <c r="M2091" s="1" t="s">
        <v>198</v>
      </c>
      <c r="N2091" s="1" t="b">
        <v>1</v>
      </c>
    </row>
    <row r="2092" spans="1:14" ht="19" customHeight="1" x14ac:dyDescent="0.3">
      <c r="A2092">
        <v>2087</v>
      </c>
      <c r="B2092" s="1">
        <v>8</v>
      </c>
      <c r="C2092" s="1">
        <v>70</v>
      </c>
      <c r="D2092" s="1">
        <v>0.04</v>
      </c>
      <c r="E2092" s="1">
        <v>8.5000000000000006E-2</v>
      </c>
      <c r="F2092" s="1">
        <v>5</v>
      </c>
      <c r="G2092" s="1">
        <v>0</v>
      </c>
      <c r="H2092" s="1">
        <v>1.4176250459099999</v>
      </c>
      <c r="I2092" s="1">
        <v>1.6150914917300001</v>
      </c>
      <c r="J2092" s="1">
        <v>0.71228854513499995</v>
      </c>
      <c r="K2092" s="1">
        <v>13652.910762899999</v>
      </c>
      <c r="L2092" s="1">
        <v>3206.6339941299998</v>
      </c>
      <c r="M2092" s="1" t="s">
        <v>198</v>
      </c>
      <c r="N2092" s="1" t="b">
        <v>1</v>
      </c>
    </row>
    <row r="2093" spans="1:14" ht="19" customHeight="1" x14ac:dyDescent="0.3">
      <c r="A2093">
        <v>2088</v>
      </c>
      <c r="B2093" s="1">
        <v>8</v>
      </c>
      <c r="C2093" s="1">
        <v>70</v>
      </c>
      <c r="D2093" s="1">
        <v>0.04</v>
      </c>
      <c r="E2093" s="1">
        <v>8.5000000000000006E-2</v>
      </c>
      <c r="F2093" s="1">
        <v>5</v>
      </c>
      <c r="G2093" s="1">
        <v>1</v>
      </c>
      <c r="H2093" s="1">
        <v>1.4176250459099999</v>
      </c>
      <c r="I2093" s="1">
        <v>1.2113186188</v>
      </c>
      <c r="J2093" s="1">
        <v>0.58407660701099995</v>
      </c>
      <c r="K2093" s="1">
        <v>11835.1757605</v>
      </c>
      <c r="L2093" s="1">
        <v>2629.4398751899998</v>
      </c>
      <c r="M2093" s="1" t="s">
        <v>198</v>
      </c>
      <c r="N2093" s="1" t="b">
        <v>1</v>
      </c>
    </row>
    <row r="2094" spans="1:14" ht="19" customHeight="1" x14ac:dyDescent="0.3">
      <c r="A2094">
        <v>2089</v>
      </c>
      <c r="B2094" s="1">
        <v>8</v>
      </c>
      <c r="C2094" s="1">
        <v>70</v>
      </c>
      <c r="D2094" s="1">
        <v>5.5E-2</v>
      </c>
      <c r="E2094" s="1">
        <v>0.04</v>
      </c>
      <c r="F2094" s="1">
        <v>-5</v>
      </c>
      <c r="G2094" s="1">
        <v>0</v>
      </c>
      <c r="H2094" s="1">
        <v>1.3418604462799999</v>
      </c>
      <c r="I2094" s="1">
        <v>1.5014445922899999</v>
      </c>
      <c r="J2094" s="1">
        <v>0.705508290388</v>
      </c>
      <c r="K2094" s="1">
        <v>12800.2038705</v>
      </c>
      <c r="L2094" s="1">
        <v>3176.1101347899998</v>
      </c>
      <c r="M2094" s="1" t="s">
        <v>198</v>
      </c>
      <c r="N2094" s="1" t="b">
        <v>1</v>
      </c>
    </row>
    <row r="2095" spans="1:14" ht="19" customHeight="1" x14ac:dyDescent="0.3">
      <c r="A2095">
        <v>2090</v>
      </c>
      <c r="B2095" s="1">
        <v>8</v>
      </c>
      <c r="C2095" s="1">
        <v>70</v>
      </c>
      <c r="D2095" s="1">
        <v>5.5E-2</v>
      </c>
      <c r="E2095" s="1">
        <v>0.04</v>
      </c>
      <c r="F2095" s="1">
        <v>-5</v>
      </c>
      <c r="G2095" s="1">
        <v>1</v>
      </c>
      <c r="H2095" s="1">
        <v>1.3418604462799999</v>
      </c>
      <c r="I2095" s="1">
        <v>1.1260834442200001</v>
      </c>
      <c r="J2095" s="1">
        <v>0.57851679811800005</v>
      </c>
      <c r="K2095" s="1">
        <v>11110.374902</v>
      </c>
      <c r="L2095" s="1">
        <v>2604.4103105300001</v>
      </c>
      <c r="M2095" s="1" t="s">
        <v>198</v>
      </c>
      <c r="N2095" s="1" t="b">
        <v>1</v>
      </c>
    </row>
    <row r="2096" spans="1:14" ht="19" customHeight="1" x14ac:dyDescent="0.3">
      <c r="A2096">
        <v>2091</v>
      </c>
      <c r="B2096" s="1">
        <v>8</v>
      </c>
      <c r="C2096" s="1">
        <v>70</v>
      </c>
      <c r="D2096" s="1">
        <v>5.5E-2</v>
      </c>
      <c r="E2096" s="1">
        <v>0.04</v>
      </c>
      <c r="F2096" s="1">
        <v>0</v>
      </c>
      <c r="G2096" s="1">
        <v>0</v>
      </c>
      <c r="H2096" s="1">
        <v>1.3723945265799999</v>
      </c>
      <c r="I2096" s="1">
        <v>1.5356100152800001</v>
      </c>
      <c r="J2096" s="1">
        <v>0.69800829038800005</v>
      </c>
      <c r="K2096" s="1">
        <v>13091.472946899999</v>
      </c>
      <c r="L2096" s="1">
        <v>3142.3460722899999</v>
      </c>
      <c r="M2096" s="1" t="s">
        <v>198</v>
      </c>
      <c r="N2096" s="1" t="b">
        <v>1</v>
      </c>
    </row>
    <row r="2097" spans="1:14" ht="19" customHeight="1" x14ac:dyDescent="0.3">
      <c r="A2097">
        <v>2092</v>
      </c>
      <c r="B2097" s="1">
        <v>8</v>
      </c>
      <c r="C2097" s="1">
        <v>70</v>
      </c>
      <c r="D2097" s="1">
        <v>5.5E-2</v>
      </c>
      <c r="E2097" s="1">
        <v>0.04</v>
      </c>
      <c r="F2097" s="1">
        <v>0</v>
      </c>
      <c r="G2097" s="1">
        <v>1</v>
      </c>
      <c r="H2097" s="1">
        <v>1.3723945265799999</v>
      </c>
      <c r="I2097" s="1">
        <v>1.1517075114599999</v>
      </c>
      <c r="J2097" s="1">
        <v>0.57236679811799995</v>
      </c>
      <c r="K2097" s="1">
        <v>11363.1918625</v>
      </c>
      <c r="L2097" s="1">
        <v>2576.7237792800001</v>
      </c>
      <c r="M2097" s="1" t="s">
        <v>198</v>
      </c>
      <c r="N2097" s="1" t="b">
        <v>1</v>
      </c>
    </row>
    <row r="2098" spans="1:14" ht="19" customHeight="1" x14ac:dyDescent="0.3">
      <c r="A2098">
        <v>2093</v>
      </c>
      <c r="B2098" s="1">
        <v>8</v>
      </c>
      <c r="C2098" s="1">
        <v>70</v>
      </c>
      <c r="D2098" s="1">
        <v>5.5E-2</v>
      </c>
      <c r="E2098" s="1">
        <v>0.04</v>
      </c>
      <c r="F2098" s="1">
        <v>5</v>
      </c>
      <c r="G2098" s="1">
        <v>0</v>
      </c>
      <c r="H2098" s="1">
        <v>1.3418604462799999</v>
      </c>
      <c r="I2098" s="1">
        <v>1.5014445922899999</v>
      </c>
      <c r="J2098" s="1">
        <v>0.705508290388</v>
      </c>
      <c r="K2098" s="1">
        <v>12800.2038705</v>
      </c>
      <c r="L2098" s="1">
        <v>3176.1101347899998</v>
      </c>
      <c r="M2098" s="1" t="s">
        <v>198</v>
      </c>
      <c r="N2098" s="1" t="b">
        <v>1</v>
      </c>
    </row>
    <row r="2099" spans="1:14" ht="19" customHeight="1" x14ac:dyDescent="0.3">
      <c r="A2099">
        <v>2094</v>
      </c>
      <c r="B2099" s="1">
        <v>8</v>
      </c>
      <c r="C2099" s="1">
        <v>70</v>
      </c>
      <c r="D2099" s="1">
        <v>5.5E-2</v>
      </c>
      <c r="E2099" s="1">
        <v>0.04</v>
      </c>
      <c r="F2099" s="1">
        <v>5</v>
      </c>
      <c r="G2099" s="1">
        <v>1</v>
      </c>
      <c r="H2099" s="1">
        <v>1.3418604462799999</v>
      </c>
      <c r="I2099" s="1">
        <v>1.1260834442200001</v>
      </c>
      <c r="J2099" s="1">
        <v>0.57851679811800005</v>
      </c>
      <c r="K2099" s="1">
        <v>11110.374902</v>
      </c>
      <c r="L2099" s="1">
        <v>2604.4103105300001</v>
      </c>
      <c r="M2099" s="1" t="s">
        <v>198</v>
      </c>
      <c r="N2099" s="1" t="b">
        <v>1</v>
      </c>
    </row>
    <row r="2100" spans="1:14" ht="19" customHeight="1" x14ac:dyDescent="0.3">
      <c r="A2100">
        <v>2095</v>
      </c>
      <c r="B2100" s="1">
        <v>8</v>
      </c>
      <c r="C2100" s="1">
        <v>70</v>
      </c>
      <c r="D2100" s="1">
        <v>5.5E-2</v>
      </c>
      <c r="E2100" s="1">
        <v>0.06</v>
      </c>
      <c r="F2100" s="1">
        <v>-5</v>
      </c>
      <c r="G2100" s="1">
        <v>0</v>
      </c>
      <c r="H2100" s="1">
        <v>1.3694900459899999</v>
      </c>
      <c r="I2100" s="1">
        <v>1.5428889918499999</v>
      </c>
      <c r="J2100" s="1">
        <v>0.70798089270499998</v>
      </c>
      <c r="K2100" s="1">
        <v>13111.166380999999</v>
      </c>
      <c r="L2100" s="1">
        <v>3187.24148135</v>
      </c>
      <c r="M2100" s="1" t="s">
        <v>198</v>
      </c>
      <c r="N2100" s="1" t="b">
        <v>1</v>
      </c>
    </row>
    <row r="2101" spans="1:14" ht="19" customHeight="1" x14ac:dyDescent="0.3">
      <c r="A2101">
        <v>2096</v>
      </c>
      <c r="B2101" s="1">
        <v>8</v>
      </c>
      <c r="C2101" s="1">
        <v>70</v>
      </c>
      <c r="D2101" s="1">
        <v>5.5E-2</v>
      </c>
      <c r="E2101" s="1">
        <v>0.06</v>
      </c>
      <c r="F2101" s="1">
        <v>-5</v>
      </c>
      <c r="G2101" s="1">
        <v>1</v>
      </c>
      <c r="H2101" s="1">
        <v>1.3694900459899999</v>
      </c>
      <c r="I2101" s="1">
        <v>1.15716674389</v>
      </c>
      <c r="J2101" s="1">
        <v>0.58054433201800004</v>
      </c>
      <c r="K2101" s="1">
        <v>11374.6930359</v>
      </c>
      <c r="L2101" s="1">
        <v>2613.5380147000001</v>
      </c>
      <c r="M2101" s="1" t="s">
        <v>198</v>
      </c>
      <c r="N2101" s="1" t="b">
        <v>1</v>
      </c>
    </row>
    <row r="2102" spans="1:14" ht="19" customHeight="1" x14ac:dyDescent="0.3">
      <c r="A2102">
        <v>2097</v>
      </c>
      <c r="B2102" s="1">
        <v>8</v>
      </c>
      <c r="C2102" s="1">
        <v>70</v>
      </c>
      <c r="D2102" s="1">
        <v>5.5E-2</v>
      </c>
      <c r="E2102" s="1">
        <v>0.06</v>
      </c>
      <c r="F2102" s="1">
        <v>0</v>
      </c>
      <c r="G2102" s="1">
        <v>0</v>
      </c>
      <c r="H2102" s="1">
        <v>1.4006528387699999</v>
      </c>
      <c r="I2102" s="1">
        <v>1.5779974835699999</v>
      </c>
      <c r="J2102" s="1">
        <v>0.70048089270500002</v>
      </c>
      <c r="K2102" s="1">
        <v>13409.5114199</v>
      </c>
      <c r="L2102" s="1">
        <v>3153.47741885</v>
      </c>
      <c r="M2102" s="1" t="s">
        <v>198</v>
      </c>
      <c r="N2102" s="1" t="b">
        <v>1</v>
      </c>
    </row>
    <row r="2103" spans="1:14" ht="19" customHeight="1" x14ac:dyDescent="0.3">
      <c r="A2103">
        <v>2098</v>
      </c>
      <c r="B2103" s="1">
        <v>8</v>
      </c>
      <c r="C2103" s="1">
        <v>70</v>
      </c>
      <c r="D2103" s="1">
        <v>5.5E-2</v>
      </c>
      <c r="E2103" s="1">
        <v>0.06</v>
      </c>
      <c r="F2103" s="1">
        <v>0</v>
      </c>
      <c r="G2103" s="1">
        <v>1</v>
      </c>
      <c r="H2103" s="1">
        <v>1.4006528387699999</v>
      </c>
      <c r="I2103" s="1">
        <v>1.1834981126799999</v>
      </c>
      <c r="J2103" s="1">
        <v>0.57439433201800005</v>
      </c>
      <c r="K2103" s="1">
        <v>11633.5245646</v>
      </c>
      <c r="L2103" s="1">
        <v>2585.8514834500002</v>
      </c>
      <c r="M2103" s="1" t="s">
        <v>198</v>
      </c>
      <c r="N2103" s="1" t="b">
        <v>1</v>
      </c>
    </row>
    <row r="2104" spans="1:14" ht="19" customHeight="1" x14ac:dyDescent="0.3">
      <c r="A2104">
        <v>2099</v>
      </c>
      <c r="B2104" s="1">
        <v>8</v>
      </c>
      <c r="C2104" s="1">
        <v>70</v>
      </c>
      <c r="D2104" s="1">
        <v>5.5E-2</v>
      </c>
      <c r="E2104" s="1">
        <v>0.06</v>
      </c>
      <c r="F2104" s="1">
        <v>5</v>
      </c>
      <c r="G2104" s="1">
        <v>0</v>
      </c>
      <c r="H2104" s="1">
        <v>1.3694900459899999</v>
      </c>
      <c r="I2104" s="1">
        <v>1.5428889918499999</v>
      </c>
      <c r="J2104" s="1">
        <v>0.70798089270499998</v>
      </c>
      <c r="K2104" s="1">
        <v>13111.166380999999</v>
      </c>
      <c r="L2104" s="1">
        <v>3187.24148135</v>
      </c>
      <c r="M2104" s="1" t="s">
        <v>198</v>
      </c>
      <c r="N2104" s="1" t="b">
        <v>1</v>
      </c>
    </row>
    <row r="2105" spans="1:14" ht="19" customHeight="1" x14ac:dyDescent="0.3">
      <c r="A2105">
        <v>2100</v>
      </c>
      <c r="B2105" s="1">
        <v>8</v>
      </c>
      <c r="C2105" s="1">
        <v>70</v>
      </c>
      <c r="D2105" s="1">
        <v>5.5E-2</v>
      </c>
      <c r="E2105" s="1">
        <v>0.06</v>
      </c>
      <c r="F2105" s="1">
        <v>5</v>
      </c>
      <c r="G2105" s="1">
        <v>1</v>
      </c>
      <c r="H2105" s="1">
        <v>1.3694900459899999</v>
      </c>
      <c r="I2105" s="1">
        <v>1.15716674389</v>
      </c>
      <c r="J2105" s="1">
        <v>0.58054433201800004</v>
      </c>
      <c r="K2105" s="1">
        <v>11374.6930359</v>
      </c>
      <c r="L2105" s="1">
        <v>2613.5380147000001</v>
      </c>
      <c r="M2105" s="1" t="s">
        <v>198</v>
      </c>
      <c r="N2105" s="1" t="b">
        <v>1</v>
      </c>
    </row>
    <row r="2106" spans="1:14" ht="19" customHeight="1" x14ac:dyDescent="0.3">
      <c r="A2106">
        <v>2101</v>
      </c>
      <c r="B2106" s="1">
        <v>8</v>
      </c>
      <c r="C2106" s="1">
        <v>70</v>
      </c>
      <c r="D2106" s="1">
        <v>5.5E-2</v>
      </c>
      <c r="E2106" s="1">
        <v>8.5000000000000006E-2</v>
      </c>
      <c r="F2106" s="1">
        <v>-5</v>
      </c>
      <c r="G2106" s="1">
        <v>0</v>
      </c>
      <c r="H2106" s="1">
        <v>1.29885550048</v>
      </c>
      <c r="I2106" s="1">
        <v>1.4369371735800001</v>
      </c>
      <c r="J2106" s="1">
        <v>0.70165973196700004</v>
      </c>
      <c r="K2106" s="1">
        <v>12316.1966445</v>
      </c>
      <c r="L2106" s="1">
        <v>3158.78440585</v>
      </c>
      <c r="M2106" s="1" t="s">
        <v>198</v>
      </c>
      <c r="N2106" s="1" t="b">
        <v>1</v>
      </c>
    </row>
    <row r="2107" spans="1:14" ht="19" customHeight="1" x14ac:dyDescent="0.3">
      <c r="A2107">
        <v>2102</v>
      </c>
      <c r="B2107" s="1">
        <v>8</v>
      </c>
      <c r="C2107" s="1">
        <v>70</v>
      </c>
      <c r="D2107" s="1">
        <v>5.5E-2</v>
      </c>
      <c r="E2107" s="1">
        <v>8.5000000000000006E-2</v>
      </c>
      <c r="F2107" s="1">
        <v>-5</v>
      </c>
      <c r="G2107" s="1">
        <v>1</v>
      </c>
      <c r="H2107" s="1">
        <v>1.29885550048</v>
      </c>
      <c r="I2107" s="1">
        <v>1.0777028801899999</v>
      </c>
      <c r="J2107" s="1">
        <v>0.57536098021299997</v>
      </c>
      <c r="K2107" s="1">
        <v>10698.96876</v>
      </c>
      <c r="L2107" s="1">
        <v>2590.2032128000001</v>
      </c>
      <c r="M2107" s="1" t="s">
        <v>198</v>
      </c>
      <c r="N2107" s="1" t="b">
        <v>1</v>
      </c>
    </row>
    <row r="2108" spans="1:14" ht="19" customHeight="1" x14ac:dyDescent="0.3">
      <c r="A2108">
        <v>2103</v>
      </c>
      <c r="B2108" s="1">
        <v>8</v>
      </c>
      <c r="C2108" s="1">
        <v>70</v>
      </c>
      <c r="D2108" s="1">
        <v>5.5E-2</v>
      </c>
      <c r="E2108" s="1">
        <v>8.5000000000000006E-2</v>
      </c>
      <c r="F2108" s="1">
        <v>0</v>
      </c>
      <c r="G2108" s="1">
        <v>0</v>
      </c>
      <c r="H2108" s="1">
        <v>1.3284110017699999</v>
      </c>
      <c r="I2108" s="1">
        <v>1.46963472806</v>
      </c>
      <c r="J2108" s="1">
        <v>0.69415973196699998</v>
      </c>
      <c r="K2108" s="1">
        <v>12596.45212</v>
      </c>
      <c r="L2108" s="1">
        <v>3125.0203433500001</v>
      </c>
      <c r="M2108" s="1" t="s">
        <v>198</v>
      </c>
      <c r="N2108" s="1" t="b">
        <v>1</v>
      </c>
    </row>
    <row r="2109" spans="1:14" ht="19" customHeight="1" x14ac:dyDescent="0.3">
      <c r="A2109">
        <v>2104</v>
      </c>
      <c r="B2109" s="1">
        <v>8</v>
      </c>
      <c r="C2109" s="1">
        <v>70</v>
      </c>
      <c r="D2109" s="1">
        <v>5.5E-2</v>
      </c>
      <c r="E2109" s="1">
        <v>8.5000000000000006E-2</v>
      </c>
      <c r="F2109" s="1">
        <v>0</v>
      </c>
      <c r="G2109" s="1">
        <v>1</v>
      </c>
      <c r="H2109" s="1">
        <v>1.3284110017699999</v>
      </c>
      <c r="I2109" s="1">
        <v>1.10222604604</v>
      </c>
      <c r="J2109" s="1">
        <v>0.56921098021299998</v>
      </c>
      <c r="K2109" s="1">
        <v>10942.424159599999</v>
      </c>
      <c r="L2109" s="1">
        <v>2562.5166815500002</v>
      </c>
      <c r="M2109" s="1" t="s">
        <v>198</v>
      </c>
      <c r="N2109" s="1" t="b">
        <v>1</v>
      </c>
    </row>
    <row r="2110" spans="1:14" ht="19" customHeight="1" x14ac:dyDescent="0.3">
      <c r="A2110">
        <v>2105</v>
      </c>
      <c r="B2110" s="1">
        <v>8</v>
      </c>
      <c r="C2110" s="1">
        <v>70</v>
      </c>
      <c r="D2110" s="1">
        <v>5.5E-2</v>
      </c>
      <c r="E2110" s="1">
        <v>8.5000000000000006E-2</v>
      </c>
      <c r="F2110" s="1">
        <v>5</v>
      </c>
      <c r="G2110" s="1">
        <v>0</v>
      </c>
      <c r="H2110" s="1">
        <v>1.29885550048</v>
      </c>
      <c r="I2110" s="1">
        <v>1.4369371735800001</v>
      </c>
      <c r="J2110" s="1">
        <v>0.70165973196700004</v>
      </c>
      <c r="K2110" s="1">
        <v>12316.1966445</v>
      </c>
      <c r="L2110" s="1">
        <v>3158.78440585</v>
      </c>
      <c r="M2110" s="1" t="s">
        <v>198</v>
      </c>
      <c r="N2110" s="1" t="b">
        <v>1</v>
      </c>
    </row>
    <row r="2111" spans="1:14" ht="19" customHeight="1" x14ac:dyDescent="0.3">
      <c r="A2111">
        <v>2106</v>
      </c>
      <c r="B2111" s="1">
        <v>8</v>
      </c>
      <c r="C2111" s="1">
        <v>70</v>
      </c>
      <c r="D2111" s="1">
        <v>5.5E-2</v>
      </c>
      <c r="E2111" s="1">
        <v>8.5000000000000006E-2</v>
      </c>
      <c r="F2111" s="1">
        <v>5</v>
      </c>
      <c r="G2111" s="1">
        <v>1</v>
      </c>
      <c r="H2111" s="1">
        <v>1.29885550048</v>
      </c>
      <c r="I2111" s="1">
        <v>1.0777028801899999</v>
      </c>
      <c r="J2111" s="1">
        <v>0.57536098021299997</v>
      </c>
      <c r="K2111" s="1">
        <v>10698.96876</v>
      </c>
      <c r="L2111" s="1">
        <v>2590.2032128000001</v>
      </c>
      <c r="M2111" s="1" t="s">
        <v>198</v>
      </c>
      <c r="N2111" s="1" t="b">
        <v>1</v>
      </c>
    </row>
    <row r="2112" spans="1:14" ht="19" customHeight="1" x14ac:dyDescent="0.3">
      <c r="A2112">
        <v>2107</v>
      </c>
      <c r="B2112" s="1">
        <v>8</v>
      </c>
      <c r="C2112" s="1">
        <v>90</v>
      </c>
      <c r="D2112" s="1">
        <v>2.5000000000000001E-2</v>
      </c>
      <c r="E2112" s="1">
        <v>0.04</v>
      </c>
      <c r="F2112" s="1">
        <v>-5</v>
      </c>
      <c r="G2112" s="1">
        <v>0</v>
      </c>
      <c r="H2112" s="1">
        <v>1.47575673489</v>
      </c>
      <c r="I2112" s="1">
        <v>1.70228902521</v>
      </c>
      <c r="J2112" s="1">
        <v>0.71749081192099995</v>
      </c>
      <c r="K2112" s="1">
        <v>23650.619290899998</v>
      </c>
      <c r="L2112" s="1">
        <v>5339.4769359600004</v>
      </c>
      <c r="M2112" s="1" t="s">
        <v>198</v>
      </c>
      <c r="N2112" s="1" t="b">
        <v>1</v>
      </c>
    </row>
    <row r="2113" spans="1:14" ht="19" customHeight="1" x14ac:dyDescent="0.3">
      <c r="A2113">
        <v>2108</v>
      </c>
      <c r="B2113" s="1">
        <v>8</v>
      </c>
      <c r="C2113" s="1">
        <v>90</v>
      </c>
      <c r="D2113" s="1">
        <v>2.5000000000000001E-2</v>
      </c>
      <c r="E2113" s="1">
        <v>0.04</v>
      </c>
      <c r="F2113" s="1">
        <v>-5</v>
      </c>
      <c r="G2113" s="1">
        <v>1</v>
      </c>
      <c r="H2113" s="1">
        <v>1.47575673489</v>
      </c>
      <c r="I2113" s="1">
        <v>1.2767167689100001</v>
      </c>
      <c r="J2113" s="1">
        <v>0.58834246577500005</v>
      </c>
      <c r="K2113" s="1">
        <v>20483.5637561</v>
      </c>
      <c r="L2113" s="1">
        <v>4378.3710874899998</v>
      </c>
      <c r="M2113" s="1" t="s">
        <v>198</v>
      </c>
      <c r="N2113" s="1" t="b">
        <v>1</v>
      </c>
    </row>
    <row r="2114" spans="1:14" ht="19" customHeight="1" x14ac:dyDescent="0.3">
      <c r="A2114">
        <v>2109</v>
      </c>
      <c r="B2114" s="1">
        <v>8</v>
      </c>
      <c r="C2114" s="1">
        <v>90</v>
      </c>
      <c r="D2114" s="1">
        <v>2.5000000000000001E-2</v>
      </c>
      <c r="E2114" s="1">
        <v>0.04</v>
      </c>
      <c r="F2114" s="1">
        <v>0</v>
      </c>
      <c r="G2114" s="1">
        <v>0</v>
      </c>
      <c r="H2114" s="1">
        <v>1.5093376298100001</v>
      </c>
      <c r="I2114" s="1">
        <v>1.7410246701300001</v>
      </c>
      <c r="J2114" s="1">
        <v>0.709990811921</v>
      </c>
      <c r="K2114" s="1">
        <v>24188.789940899998</v>
      </c>
      <c r="L2114" s="1">
        <v>5283.6628734599999</v>
      </c>
      <c r="M2114" s="1" t="s">
        <v>198</v>
      </c>
      <c r="N2114" s="1" t="b">
        <v>1</v>
      </c>
    </row>
    <row r="2115" spans="1:14" ht="19" customHeight="1" x14ac:dyDescent="0.3">
      <c r="A2115">
        <v>2110</v>
      </c>
      <c r="B2115" s="1">
        <v>8</v>
      </c>
      <c r="C2115" s="1">
        <v>90</v>
      </c>
      <c r="D2115" s="1">
        <v>2.5000000000000001E-2</v>
      </c>
      <c r="E2115" s="1">
        <v>0.04</v>
      </c>
      <c r="F2115" s="1">
        <v>0</v>
      </c>
      <c r="G2115" s="1">
        <v>1</v>
      </c>
      <c r="H2115" s="1">
        <v>1.5093376298100001</v>
      </c>
      <c r="I2115" s="1">
        <v>1.3057685026000001</v>
      </c>
      <c r="J2115" s="1">
        <v>0.58219246577499995</v>
      </c>
      <c r="K2115" s="1">
        <v>20949.6679492</v>
      </c>
      <c r="L2115" s="1">
        <v>4332.6035562400002</v>
      </c>
      <c r="M2115" s="1" t="s">
        <v>198</v>
      </c>
      <c r="N2115" s="1" t="b">
        <v>1</v>
      </c>
    </row>
    <row r="2116" spans="1:14" ht="19" customHeight="1" x14ac:dyDescent="0.3">
      <c r="A2116">
        <v>2111</v>
      </c>
      <c r="B2116" s="1">
        <v>8</v>
      </c>
      <c r="C2116" s="1">
        <v>90</v>
      </c>
      <c r="D2116" s="1">
        <v>2.5000000000000001E-2</v>
      </c>
      <c r="E2116" s="1">
        <v>0.04</v>
      </c>
      <c r="F2116" s="1">
        <v>5</v>
      </c>
      <c r="G2116" s="1">
        <v>0</v>
      </c>
      <c r="H2116" s="1">
        <v>1.47575673489</v>
      </c>
      <c r="I2116" s="1">
        <v>1.70228902521</v>
      </c>
      <c r="J2116" s="1">
        <v>0.71749081192099995</v>
      </c>
      <c r="K2116" s="1">
        <v>23650.619290899998</v>
      </c>
      <c r="L2116" s="1">
        <v>5339.4769359600004</v>
      </c>
      <c r="M2116" s="1" t="s">
        <v>198</v>
      </c>
      <c r="N2116" s="1" t="b">
        <v>1</v>
      </c>
    </row>
    <row r="2117" spans="1:14" ht="19" customHeight="1" x14ac:dyDescent="0.3">
      <c r="A2117">
        <v>2112</v>
      </c>
      <c r="B2117" s="1">
        <v>8</v>
      </c>
      <c r="C2117" s="1">
        <v>90</v>
      </c>
      <c r="D2117" s="1">
        <v>2.5000000000000001E-2</v>
      </c>
      <c r="E2117" s="1">
        <v>0.04</v>
      </c>
      <c r="F2117" s="1">
        <v>5</v>
      </c>
      <c r="G2117" s="1">
        <v>1</v>
      </c>
      <c r="H2117" s="1">
        <v>1.47575673489</v>
      </c>
      <c r="I2117" s="1">
        <v>1.2767167689100001</v>
      </c>
      <c r="J2117" s="1">
        <v>0.58834246577500005</v>
      </c>
      <c r="K2117" s="1">
        <v>20483.5637561</v>
      </c>
      <c r="L2117" s="1">
        <v>4378.3710874899998</v>
      </c>
      <c r="M2117" s="1" t="s">
        <v>198</v>
      </c>
      <c r="N2117" s="1" t="b">
        <v>1</v>
      </c>
    </row>
    <row r="2118" spans="1:14" ht="19" customHeight="1" x14ac:dyDescent="0.3">
      <c r="A2118">
        <v>2113</v>
      </c>
      <c r="B2118" s="1">
        <v>8</v>
      </c>
      <c r="C2118" s="1">
        <v>90</v>
      </c>
      <c r="D2118" s="1">
        <v>2.5000000000000001E-2</v>
      </c>
      <c r="E2118" s="1">
        <v>0.06</v>
      </c>
      <c r="F2118" s="1">
        <v>-5</v>
      </c>
      <c r="G2118" s="1">
        <v>0</v>
      </c>
      <c r="H2118" s="1">
        <v>1.5163717485299999</v>
      </c>
      <c r="I2118" s="1">
        <v>1.7632115456599999</v>
      </c>
      <c r="J2118" s="1">
        <v>0.72112549276600002</v>
      </c>
      <c r="K2118" s="1">
        <v>24406.2489274</v>
      </c>
      <c r="L2118" s="1">
        <v>5366.5257764799999</v>
      </c>
      <c r="M2118" s="1" t="s">
        <v>198</v>
      </c>
      <c r="N2118" s="1" t="b">
        <v>1</v>
      </c>
    </row>
    <row r="2119" spans="1:14" ht="19" customHeight="1" x14ac:dyDescent="0.3">
      <c r="A2119">
        <v>2114</v>
      </c>
      <c r="B2119" s="1">
        <v>8</v>
      </c>
      <c r="C2119" s="1">
        <v>90</v>
      </c>
      <c r="D2119" s="1">
        <v>2.5000000000000001E-2</v>
      </c>
      <c r="E2119" s="1">
        <v>0.06</v>
      </c>
      <c r="F2119" s="1">
        <v>-5</v>
      </c>
      <c r="G2119" s="1">
        <v>1</v>
      </c>
      <c r="H2119" s="1">
        <v>1.5163717485299999</v>
      </c>
      <c r="I2119" s="1">
        <v>1.32240865924</v>
      </c>
      <c r="J2119" s="1">
        <v>0.59132290406800003</v>
      </c>
      <c r="K2119" s="1">
        <v>21125.848947099999</v>
      </c>
      <c r="L2119" s="1">
        <v>4400.5511367099998</v>
      </c>
      <c r="M2119" s="1" t="s">
        <v>198</v>
      </c>
      <c r="N2119" s="1" t="b">
        <v>1</v>
      </c>
    </row>
    <row r="2120" spans="1:14" ht="19" customHeight="1" x14ac:dyDescent="0.3">
      <c r="A2120">
        <v>2115</v>
      </c>
      <c r="B2120" s="1">
        <v>8</v>
      </c>
      <c r="C2120" s="1">
        <v>90</v>
      </c>
      <c r="D2120" s="1">
        <v>2.5000000000000001E-2</v>
      </c>
      <c r="E2120" s="1">
        <v>0.06</v>
      </c>
      <c r="F2120" s="1">
        <v>0</v>
      </c>
      <c r="G2120" s="1">
        <v>0</v>
      </c>
      <c r="H2120" s="1">
        <v>1.5508768394700001</v>
      </c>
      <c r="I2120" s="1">
        <v>1.80333348462</v>
      </c>
      <c r="J2120" s="1">
        <v>0.71362549276599996</v>
      </c>
      <c r="K2120" s="1">
        <v>24961.613955600002</v>
      </c>
      <c r="L2120" s="1">
        <v>5310.7117139800002</v>
      </c>
      <c r="M2120" s="1" t="s">
        <v>198</v>
      </c>
      <c r="N2120" s="1" t="b">
        <v>1</v>
      </c>
    </row>
    <row r="2121" spans="1:14" ht="19" customHeight="1" x14ac:dyDescent="0.3">
      <c r="A2121">
        <v>2116</v>
      </c>
      <c r="B2121" s="1">
        <v>8</v>
      </c>
      <c r="C2121" s="1">
        <v>90</v>
      </c>
      <c r="D2121" s="1">
        <v>2.5000000000000001E-2</v>
      </c>
      <c r="E2121" s="1">
        <v>0.06</v>
      </c>
      <c r="F2121" s="1">
        <v>0</v>
      </c>
      <c r="G2121" s="1">
        <v>1</v>
      </c>
      <c r="H2121" s="1">
        <v>1.5508768394700001</v>
      </c>
      <c r="I2121" s="1">
        <v>1.3525001134700001</v>
      </c>
      <c r="J2121" s="1">
        <v>0.58517290406800004</v>
      </c>
      <c r="K2121" s="1">
        <v>21606.568361599999</v>
      </c>
      <c r="L2121" s="1">
        <v>4354.7836054600002</v>
      </c>
      <c r="M2121" s="1" t="s">
        <v>198</v>
      </c>
      <c r="N2121" s="1" t="b">
        <v>1</v>
      </c>
    </row>
    <row r="2122" spans="1:14" ht="19" customHeight="1" x14ac:dyDescent="0.3">
      <c r="A2122">
        <v>2117</v>
      </c>
      <c r="B2122" s="1">
        <v>8</v>
      </c>
      <c r="C2122" s="1">
        <v>90</v>
      </c>
      <c r="D2122" s="1">
        <v>2.5000000000000001E-2</v>
      </c>
      <c r="E2122" s="1">
        <v>0.06</v>
      </c>
      <c r="F2122" s="1">
        <v>5</v>
      </c>
      <c r="G2122" s="1">
        <v>0</v>
      </c>
      <c r="H2122" s="1">
        <v>1.5163717485299999</v>
      </c>
      <c r="I2122" s="1">
        <v>1.7632115456599999</v>
      </c>
      <c r="J2122" s="1">
        <v>0.72112549276600002</v>
      </c>
      <c r="K2122" s="1">
        <v>24406.2489274</v>
      </c>
      <c r="L2122" s="1">
        <v>5366.5257764799999</v>
      </c>
      <c r="M2122" s="1" t="s">
        <v>198</v>
      </c>
      <c r="N2122" s="1" t="b">
        <v>1</v>
      </c>
    </row>
    <row r="2123" spans="1:14" ht="19" customHeight="1" x14ac:dyDescent="0.3">
      <c r="A2123">
        <v>2118</v>
      </c>
      <c r="B2123" s="1">
        <v>8</v>
      </c>
      <c r="C2123" s="1">
        <v>90</v>
      </c>
      <c r="D2123" s="1">
        <v>2.5000000000000001E-2</v>
      </c>
      <c r="E2123" s="1">
        <v>0.06</v>
      </c>
      <c r="F2123" s="1">
        <v>5</v>
      </c>
      <c r="G2123" s="1">
        <v>1</v>
      </c>
      <c r="H2123" s="1">
        <v>1.5163717485299999</v>
      </c>
      <c r="I2123" s="1">
        <v>1.32240865924</v>
      </c>
      <c r="J2123" s="1">
        <v>0.59132290406800003</v>
      </c>
      <c r="K2123" s="1">
        <v>21125.848947099999</v>
      </c>
      <c r="L2123" s="1">
        <v>4400.5511367099998</v>
      </c>
      <c r="M2123" s="1" t="s">
        <v>198</v>
      </c>
      <c r="N2123" s="1" t="b">
        <v>1</v>
      </c>
    </row>
    <row r="2124" spans="1:14" ht="19" customHeight="1" x14ac:dyDescent="0.3">
      <c r="A2124">
        <v>2119</v>
      </c>
      <c r="B2124" s="1">
        <v>8</v>
      </c>
      <c r="C2124" s="1">
        <v>90</v>
      </c>
      <c r="D2124" s="1">
        <v>2.5000000000000001E-2</v>
      </c>
      <c r="E2124" s="1">
        <v>8.5000000000000006E-2</v>
      </c>
      <c r="F2124" s="1">
        <v>-5</v>
      </c>
      <c r="G2124" s="1">
        <v>0</v>
      </c>
      <c r="H2124" s="1">
        <v>1.41254023958</v>
      </c>
      <c r="I2124" s="1">
        <v>1.60746428224</v>
      </c>
      <c r="J2124" s="1">
        <v>0.71183350039899995</v>
      </c>
      <c r="K2124" s="1">
        <v>22474.496150899999</v>
      </c>
      <c r="L2124" s="1">
        <v>5297.3759307800001</v>
      </c>
      <c r="M2124" s="1" t="s">
        <v>198</v>
      </c>
      <c r="N2124" s="1" t="b">
        <v>1</v>
      </c>
    </row>
    <row r="2125" spans="1:14" ht="19" customHeight="1" x14ac:dyDescent="0.3">
      <c r="A2125">
        <v>2120</v>
      </c>
      <c r="B2125" s="1">
        <v>8</v>
      </c>
      <c r="C2125" s="1">
        <v>90</v>
      </c>
      <c r="D2125" s="1">
        <v>2.5000000000000001E-2</v>
      </c>
      <c r="E2125" s="1">
        <v>8.5000000000000006E-2</v>
      </c>
      <c r="F2125" s="1">
        <v>-5</v>
      </c>
      <c r="G2125" s="1">
        <v>1</v>
      </c>
      <c r="H2125" s="1">
        <v>1.41254023958</v>
      </c>
      <c r="I2125" s="1">
        <v>1.2055982116799999</v>
      </c>
      <c r="J2125" s="1">
        <v>0.58370347032699998</v>
      </c>
      <c r="K2125" s="1">
        <v>19483.859087000001</v>
      </c>
      <c r="L2125" s="1">
        <v>4343.8482632400001</v>
      </c>
      <c r="M2125" s="1" t="s">
        <v>198</v>
      </c>
      <c r="N2125" s="1" t="b">
        <v>1</v>
      </c>
    </row>
    <row r="2126" spans="1:14" ht="19" customHeight="1" x14ac:dyDescent="0.3">
      <c r="A2126">
        <v>2121</v>
      </c>
      <c r="B2126" s="1">
        <v>8</v>
      </c>
      <c r="C2126" s="1">
        <v>90</v>
      </c>
      <c r="D2126" s="1">
        <v>2.5000000000000001E-2</v>
      </c>
      <c r="E2126" s="1">
        <v>8.5000000000000006E-2</v>
      </c>
      <c r="F2126" s="1">
        <v>0</v>
      </c>
      <c r="G2126" s="1">
        <v>0</v>
      </c>
      <c r="H2126" s="1">
        <v>1.444682641</v>
      </c>
      <c r="I2126" s="1">
        <v>1.6440421868999999</v>
      </c>
      <c r="J2126" s="1">
        <v>0.704333500399</v>
      </c>
      <c r="K2126" s="1">
        <v>22985.904078600001</v>
      </c>
      <c r="L2126" s="1">
        <v>5241.5618682800005</v>
      </c>
      <c r="M2126" s="1" t="s">
        <v>198</v>
      </c>
      <c r="N2126" s="1" t="b">
        <v>1</v>
      </c>
    </row>
    <row r="2127" spans="1:14" ht="19" customHeight="1" x14ac:dyDescent="0.3">
      <c r="A2127">
        <v>2122</v>
      </c>
      <c r="B2127" s="1">
        <v>8</v>
      </c>
      <c r="C2127" s="1">
        <v>90</v>
      </c>
      <c r="D2127" s="1">
        <v>2.5000000000000001E-2</v>
      </c>
      <c r="E2127" s="1">
        <v>8.5000000000000006E-2</v>
      </c>
      <c r="F2127" s="1">
        <v>0</v>
      </c>
      <c r="G2127" s="1">
        <v>1</v>
      </c>
      <c r="H2127" s="1">
        <v>1.444682641</v>
      </c>
      <c r="I2127" s="1">
        <v>1.2330316401800001</v>
      </c>
      <c r="J2127" s="1">
        <v>0.577553470327</v>
      </c>
      <c r="K2127" s="1">
        <v>19927.214966200001</v>
      </c>
      <c r="L2127" s="1">
        <v>4298.0807319899995</v>
      </c>
      <c r="M2127" s="1" t="s">
        <v>198</v>
      </c>
      <c r="N2127" s="1" t="b">
        <v>1</v>
      </c>
    </row>
    <row r="2128" spans="1:14" ht="19" customHeight="1" x14ac:dyDescent="0.3">
      <c r="A2128">
        <v>2123</v>
      </c>
      <c r="B2128" s="1">
        <v>8</v>
      </c>
      <c r="C2128" s="1">
        <v>90</v>
      </c>
      <c r="D2128" s="1">
        <v>2.5000000000000001E-2</v>
      </c>
      <c r="E2128" s="1">
        <v>8.5000000000000006E-2</v>
      </c>
      <c r="F2128" s="1">
        <v>5</v>
      </c>
      <c r="G2128" s="1">
        <v>0</v>
      </c>
      <c r="H2128" s="1">
        <v>1.41254023958</v>
      </c>
      <c r="I2128" s="1">
        <v>1.60746428224</v>
      </c>
      <c r="J2128" s="1">
        <v>0.71183350039899995</v>
      </c>
      <c r="K2128" s="1">
        <v>22474.496150899999</v>
      </c>
      <c r="L2128" s="1">
        <v>5297.3759307800001</v>
      </c>
      <c r="M2128" s="1" t="s">
        <v>198</v>
      </c>
      <c r="N2128" s="1" t="b">
        <v>1</v>
      </c>
    </row>
    <row r="2129" spans="1:14" ht="19" customHeight="1" x14ac:dyDescent="0.3">
      <c r="A2129">
        <v>2124</v>
      </c>
      <c r="B2129" s="1">
        <v>8</v>
      </c>
      <c r="C2129" s="1">
        <v>90</v>
      </c>
      <c r="D2129" s="1">
        <v>2.5000000000000001E-2</v>
      </c>
      <c r="E2129" s="1">
        <v>8.5000000000000006E-2</v>
      </c>
      <c r="F2129" s="1">
        <v>5</v>
      </c>
      <c r="G2129" s="1">
        <v>1</v>
      </c>
      <c r="H2129" s="1">
        <v>1.41254023958</v>
      </c>
      <c r="I2129" s="1">
        <v>1.2055982116799999</v>
      </c>
      <c r="J2129" s="1">
        <v>0.58370347032699998</v>
      </c>
      <c r="K2129" s="1">
        <v>19483.859087000001</v>
      </c>
      <c r="L2129" s="1">
        <v>4343.8482632400001</v>
      </c>
      <c r="M2129" s="1" t="s">
        <v>198</v>
      </c>
      <c r="N2129" s="1" t="b">
        <v>1</v>
      </c>
    </row>
    <row r="2130" spans="1:14" ht="19" customHeight="1" x14ac:dyDescent="0.3">
      <c r="A2130">
        <v>2125</v>
      </c>
      <c r="B2130" s="1">
        <v>8</v>
      </c>
      <c r="C2130" s="1">
        <v>90</v>
      </c>
      <c r="D2130" s="1">
        <v>0.04</v>
      </c>
      <c r="E2130" s="1">
        <v>0.04</v>
      </c>
      <c r="F2130" s="1">
        <v>-5</v>
      </c>
      <c r="G2130" s="1">
        <v>0</v>
      </c>
      <c r="H2130" s="1">
        <v>1.4817455483499999</v>
      </c>
      <c r="I2130" s="1">
        <v>1.71127224539</v>
      </c>
      <c r="J2130" s="1">
        <v>0.71802675721800002</v>
      </c>
      <c r="K2130" s="1">
        <v>23762.0392937</v>
      </c>
      <c r="L2130" s="1">
        <v>5343.4653738699999</v>
      </c>
      <c r="M2130" s="1" t="s">
        <v>198</v>
      </c>
      <c r="N2130" s="1" t="b">
        <v>1</v>
      </c>
    </row>
    <row r="2131" spans="1:14" ht="19" customHeight="1" x14ac:dyDescent="0.3">
      <c r="A2131">
        <v>2126</v>
      </c>
      <c r="B2131" s="1">
        <v>8</v>
      </c>
      <c r="C2131" s="1">
        <v>90</v>
      </c>
      <c r="D2131" s="1">
        <v>0.04</v>
      </c>
      <c r="E2131" s="1">
        <v>0.04</v>
      </c>
      <c r="F2131" s="1">
        <v>-5</v>
      </c>
      <c r="G2131" s="1">
        <v>1</v>
      </c>
      <c r="H2131" s="1">
        <v>1.4817455483499999</v>
      </c>
      <c r="I2131" s="1">
        <v>1.28345418404</v>
      </c>
      <c r="J2131" s="1">
        <v>0.58878194091900005</v>
      </c>
      <c r="K2131" s="1">
        <v>20578.270758499999</v>
      </c>
      <c r="L2131" s="1">
        <v>4381.6416065699996</v>
      </c>
      <c r="M2131" s="1" t="s">
        <v>198</v>
      </c>
      <c r="N2131" s="1" t="b">
        <v>1</v>
      </c>
    </row>
    <row r="2132" spans="1:14" ht="19" customHeight="1" x14ac:dyDescent="0.3">
      <c r="A2132">
        <v>2127</v>
      </c>
      <c r="B2132" s="1">
        <v>8</v>
      </c>
      <c r="C2132" s="1">
        <v>90</v>
      </c>
      <c r="D2132" s="1">
        <v>0.04</v>
      </c>
      <c r="E2132" s="1">
        <v>0.04</v>
      </c>
      <c r="F2132" s="1">
        <v>0</v>
      </c>
      <c r="G2132" s="1">
        <v>0</v>
      </c>
      <c r="H2132" s="1">
        <v>1.5154627189200001</v>
      </c>
      <c r="I2132" s="1">
        <v>1.7502123037899999</v>
      </c>
      <c r="J2132" s="1">
        <v>0.71052675721799996</v>
      </c>
      <c r="K2132" s="1">
        <v>24302.7453097</v>
      </c>
      <c r="L2132" s="1">
        <v>5287.6513113700003</v>
      </c>
      <c r="M2132" s="1" t="s">
        <v>198</v>
      </c>
      <c r="N2132" s="1" t="b">
        <v>1</v>
      </c>
    </row>
    <row r="2133" spans="1:14" ht="19" customHeight="1" x14ac:dyDescent="0.3">
      <c r="A2133">
        <v>2128</v>
      </c>
      <c r="B2133" s="1">
        <v>8</v>
      </c>
      <c r="C2133" s="1">
        <v>90</v>
      </c>
      <c r="D2133" s="1">
        <v>0.04</v>
      </c>
      <c r="E2133" s="1">
        <v>0.04</v>
      </c>
      <c r="F2133" s="1">
        <v>0</v>
      </c>
      <c r="G2133" s="1">
        <v>1</v>
      </c>
      <c r="H2133" s="1">
        <v>1.5154627189200001</v>
      </c>
      <c r="I2133" s="1">
        <v>1.31265922785</v>
      </c>
      <c r="J2133" s="1">
        <v>0.58263194091899995</v>
      </c>
      <c r="K2133" s="1">
        <v>21046.5300126</v>
      </c>
      <c r="L2133" s="1">
        <v>4335.87407532</v>
      </c>
      <c r="M2133" s="1" t="s">
        <v>198</v>
      </c>
      <c r="N2133" s="1" t="b">
        <v>1</v>
      </c>
    </row>
    <row r="2134" spans="1:14" ht="19" customHeight="1" x14ac:dyDescent="0.3">
      <c r="A2134">
        <v>2129</v>
      </c>
      <c r="B2134" s="1">
        <v>8</v>
      </c>
      <c r="C2134" s="1">
        <v>90</v>
      </c>
      <c r="D2134" s="1">
        <v>0.04</v>
      </c>
      <c r="E2134" s="1">
        <v>0.04</v>
      </c>
      <c r="F2134" s="1">
        <v>5</v>
      </c>
      <c r="G2134" s="1">
        <v>0</v>
      </c>
      <c r="H2134" s="1">
        <v>1.4817455483499999</v>
      </c>
      <c r="I2134" s="1">
        <v>1.71127224539</v>
      </c>
      <c r="J2134" s="1">
        <v>0.71802675721800002</v>
      </c>
      <c r="K2134" s="1">
        <v>23762.0392937</v>
      </c>
      <c r="L2134" s="1">
        <v>5343.4653738699999</v>
      </c>
      <c r="M2134" s="1" t="s">
        <v>198</v>
      </c>
      <c r="N2134" s="1" t="b">
        <v>1</v>
      </c>
    </row>
    <row r="2135" spans="1:14" ht="19" customHeight="1" x14ac:dyDescent="0.3">
      <c r="A2135">
        <v>2130</v>
      </c>
      <c r="B2135" s="1">
        <v>8</v>
      </c>
      <c r="C2135" s="1">
        <v>90</v>
      </c>
      <c r="D2135" s="1">
        <v>0.04</v>
      </c>
      <c r="E2135" s="1">
        <v>0.04</v>
      </c>
      <c r="F2135" s="1">
        <v>5</v>
      </c>
      <c r="G2135" s="1">
        <v>1</v>
      </c>
      <c r="H2135" s="1">
        <v>1.4817455483499999</v>
      </c>
      <c r="I2135" s="1">
        <v>1.28345418404</v>
      </c>
      <c r="J2135" s="1">
        <v>0.58878194091900005</v>
      </c>
      <c r="K2135" s="1">
        <v>20578.270758499999</v>
      </c>
      <c r="L2135" s="1">
        <v>4381.6416065699996</v>
      </c>
      <c r="M2135" s="1" t="s">
        <v>198</v>
      </c>
      <c r="N2135" s="1" t="b">
        <v>1</v>
      </c>
    </row>
    <row r="2136" spans="1:14" ht="19" customHeight="1" x14ac:dyDescent="0.3">
      <c r="A2136">
        <v>2131</v>
      </c>
      <c r="B2136" s="1">
        <v>8</v>
      </c>
      <c r="C2136" s="1">
        <v>90</v>
      </c>
      <c r="D2136" s="1">
        <v>0.04</v>
      </c>
      <c r="E2136" s="1">
        <v>0.06</v>
      </c>
      <c r="F2136" s="1">
        <v>-5</v>
      </c>
      <c r="G2136" s="1">
        <v>0</v>
      </c>
      <c r="H2136" s="1">
        <v>1.5229413639</v>
      </c>
      <c r="I2136" s="1">
        <v>1.7730659687200001</v>
      </c>
      <c r="J2136" s="1">
        <v>0.72171341464600003</v>
      </c>
      <c r="K2136" s="1">
        <v>24528.474568500002</v>
      </c>
      <c r="L2136" s="1">
        <v>5370.9010176199999</v>
      </c>
      <c r="M2136" s="1" t="s">
        <v>198</v>
      </c>
      <c r="N2136" s="1" t="b">
        <v>1</v>
      </c>
    </row>
    <row r="2137" spans="1:14" ht="19" customHeight="1" x14ac:dyDescent="0.3">
      <c r="A2137">
        <v>2132</v>
      </c>
      <c r="B2137" s="1">
        <v>8</v>
      </c>
      <c r="C2137" s="1">
        <v>90</v>
      </c>
      <c r="D2137" s="1">
        <v>0.04</v>
      </c>
      <c r="E2137" s="1">
        <v>0.06</v>
      </c>
      <c r="F2137" s="1">
        <v>-5</v>
      </c>
      <c r="G2137" s="1">
        <v>1</v>
      </c>
      <c r="H2137" s="1">
        <v>1.5229413639</v>
      </c>
      <c r="I2137" s="1">
        <v>1.3297994765400001</v>
      </c>
      <c r="J2137" s="1">
        <v>0.59180500001000003</v>
      </c>
      <c r="K2137" s="1">
        <v>21229.740742000002</v>
      </c>
      <c r="L2137" s="1">
        <v>4404.1388344500001</v>
      </c>
      <c r="M2137" s="1" t="s">
        <v>198</v>
      </c>
      <c r="N2137" s="1" t="b">
        <v>1</v>
      </c>
    </row>
    <row r="2138" spans="1:14" ht="19" customHeight="1" x14ac:dyDescent="0.3">
      <c r="A2138">
        <v>2133</v>
      </c>
      <c r="B2138" s="1">
        <v>8</v>
      </c>
      <c r="C2138" s="1">
        <v>90</v>
      </c>
      <c r="D2138" s="1">
        <v>0.04</v>
      </c>
      <c r="E2138" s="1">
        <v>0.06</v>
      </c>
      <c r="F2138" s="1">
        <v>0</v>
      </c>
      <c r="G2138" s="1">
        <v>0</v>
      </c>
      <c r="H2138" s="1">
        <v>1.55759594667</v>
      </c>
      <c r="I2138" s="1">
        <v>1.8134121454100001</v>
      </c>
      <c r="J2138" s="1">
        <v>0.71421341464599997</v>
      </c>
      <c r="K2138" s="1">
        <v>25086.6208453</v>
      </c>
      <c r="L2138" s="1">
        <v>5315.0869551200003</v>
      </c>
      <c r="M2138" s="1" t="s">
        <v>198</v>
      </c>
      <c r="N2138" s="1" t="b">
        <v>1</v>
      </c>
    </row>
    <row r="2139" spans="1:14" ht="19" customHeight="1" x14ac:dyDescent="0.3">
      <c r="A2139">
        <v>2134</v>
      </c>
      <c r="B2139" s="1">
        <v>8</v>
      </c>
      <c r="C2139" s="1">
        <v>90</v>
      </c>
      <c r="D2139" s="1">
        <v>0.04</v>
      </c>
      <c r="E2139" s="1">
        <v>0.06</v>
      </c>
      <c r="F2139" s="1">
        <v>0</v>
      </c>
      <c r="G2139" s="1">
        <v>1</v>
      </c>
      <c r="H2139" s="1">
        <v>1.55759594667</v>
      </c>
      <c r="I2139" s="1">
        <v>1.36005910906</v>
      </c>
      <c r="J2139" s="1">
        <v>0.58565500001000004</v>
      </c>
      <c r="K2139" s="1">
        <v>21712.824217900001</v>
      </c>
      <c r="L2139" s="1">
        <v>4358.3713031999996</v>
      </c>
      <c r="M2139" s="1" t="s">
        <v>198</v>
      </c>
      <c r="N2139" s="1" t="b">
        <v>1</v>
      </c>
    </row>
    <row r="2140" spans="1:14" ht="19" customHeight="1" x14ac:dyDescent="0.3">
      <c r="A2140">
        <v>2135</v>
      </c>
      <c r="B2140" s="1">
        <v>8</v>
      </c>
      <c r="C2140" s="1">
        <v>90</v>
      </c>
      <c r="D2140" s="1">
        <v>0.04</v>
      </c>
      <c r="E2140" s="1">
        <v>0.06</v>
      </c>
      <c r="F2140" s="1">
        <v>5</v>
      </c>
      <c r="G2140" s="1">
        <v>0</v>
      </c>
      <c r="H2140" s="1">
        <v>1.5229413639</v>
      </c>
      <c r="I2140" s="1">
        <v>1.7730659687200001</v>
      </c>
      <c r="J2140" s="1">
        <v>0.72171341464600003</v>
      </c>
      <c r="K2140" s="1">
        <v>24528.474568500002</v>
      </c>
      <c r="L2140" s="1">
        <v>5370.9010176199999</v>
      </c>
      <c r="M2140" s="1" t="s">
        <v>198</v>
      </c>
      <c r="N2140" s="1" t="b">
        <v>1</v>
      </c>
    </row>
    <row r="2141" spans="1:14" ht="19" customHeight="1" x14ac:dyDescent="0.3">
      <c r="A2141">
        <v>2136</v>
      </c>
      <c r="B2141" s="1">
        <v>8</v>
      </c>
      <c r="C2141" s="1">
        <v>90</v>
      </c>
      <c r="D2141" s="1">
        <v>0.04</v>
      </c>
      <c r="E2141" s="1">
        <v>0.06</v>
      </c>
      <c r="F2141" s="1">
        <v>5</v>
      </c>
      <c r="G2141" s="1">
        <v>1</v>
      </c>
      <c r="H2141" s="1">
        <v>1.5229413639</v>
      </c>
      <c r="I2141" s="1">
        <v>1.3297994765400001</v>
      </c>
      <c r="J2141" s="1">
        <v>0.59180500001000003</v>
      </c>
      <c r="K2141" s="1">
        <v>21229.740742000002</v>
      </c>
      <c r="L2141" s="1">
        <v>4404.1388344500001</v>
      </c>
      <c r="M2141" s="1" t="s">
        <v>198</v>
      </c>
      <c r="N2141" s="1" t="b">
        <v>1</v>
      </c>
    </row>
    <row r="2142" spans="1:14" ht="19" customHeight="1" x14ac:dyDescent="0.3">
      <c r="A2142">
        <v>2137</v>
      </c>
      <c r="B2142" s="1">
        <v>8</v>
      </c>
      <c r="C2142" s="1">
        <v>90</v>
      </c>
      <c r="D2142" s="1">
        <v>0.04</v>
      </c>
      <c r="E2142" s="1">
        <v>8.5000000000000006E-2</v>
      </c>
      <c r="F2142" s="1">
        <v>-5</v>
      </c>
      <c r="G2142" s="1">
        <v>0</v>
      </c>
      <c r="H2142" s="1">
        <v>1.4176250459099999</v>
      </c>
      <c r="I2142" s="1">
        <v>1.6150914917300001</v>
      </c>
      <c r="J2142" s="1">
        <v>0.71228854513499995</v>
      </c>
      <c r="K2142" s="1">
        <v>22569.0973835</v>
      </c>
      <c r="L2142" s="1">
        <v>5300.7623168299997</v>
      </c>
      <c r="M2142" s="1" t="s">
        <v>198</v>
      </c>
      <c r="N2142" s="1" t="b">
        <v>1</v>
      </c>
    </row>
    <row r="2143" spans="1:14" ht="19" customHeight="1" x14ac:dyDescent="0.3">
      <c r="A2143">
        <v>2138</v>
      </c>
      <c r="B2143" s="1">
        <v>8</v>
      </c>
      <c r="C2143" s="1">
        <v>90</v>
      </c>
      <c r="D2143" s="1">
        <v>0.04</v>
      </c>
      <c r="E2143" s="1">
        <v>8.5000000000000006E-2</v>
      </c>
      <c r="F2143" s="1">
        <v>-5</v>
      </c>
      <c r="G2143" s="1">
        <v>1</v>
      </c>
      <c r="H2143" s="1">
        <v>1.4176250459099999</v>
      </c>
      <c r="I2143" s="1">
        <v>1.2113186188</v>
      </c>
      <c r="J2143" s="1">
        <v>0.58407660701099995</v>
      </c>
      <c r="K2143" s="1">
        <v>19564.270134800001</v>
      </c>
      <c r="L2143" s="1">
        <v>4346.6250997999996</v>
      </c>
      <c r="M2143" s="1" t="s">
        <v>198</v>
      </c>
      <c r="N2143" s="1" t="b">
        <v>1</v>
      </c>
    </row>
    <row r="2144" spans="1:14" ht="19" customHeight="1" x14ac:dyDescent="0.3">
      <c r="A2144">
        <v>2139</v>
      </c>
      <c r="B2144" s="1">
        <v>8</v>
      </c>
      <c r="C2144" s="1">
        <v>90</v>
      </c>
      <c r="D2144" s="1">
        <v>0.04</v>
      </c>
      <c r="E2144" s="1">
        <v>8.5000000000000006E-2</v>
      </c>
      <c r="F2144" s="1">
        <v>0</v>
      </c>
      <c r="G2144" s="1">
        <v>0</v>
      </c>
      <c r="H2144" s="1">
        <v>1.44988315226</v>
      </c>
      <c r="I2144" s="1">
        <v>1.6518429537999999</v>
      </c>
      <c r="J2144" s="1">
        <v>0.704788545135</v>
      </c>
      <c r="K2144" s="1">
        <v>23082.657965499999</v>
      </c>
      <c r="L2144" s="1">
        <v>5244.9482543300001</v>
      </c>
      <c r="M2144" s="1" t="s">
        <v>198</v>
      </c>
      <c r="N2144" s="1" t="b">
        <v>1</v>
      </c>
    </row>
    <row r="2145" spans="1:14" ht="19" customHeight="1" x14ac:dyDescent="0.3">
      <c r="A2145">
        <v>2140</v>
      </c>
      <c r="B2145" s="1">
        <v>8</v>
      </c>
      <c r="C2145" s="1">
        <v>90</v>
      </c>
      <c r="D2145" s="1">
        <v>0.04</v>
      </c>
      <c r="E2145" s="1">
        <v>8.5000000000000006E-2</v>
      </c>
      <c r="F2145" s="1">
        <v>0</v>
      </c>
      <c r="G2145" s="1">
        <v>1</v>
      </c>
      <c r="H2145" s="1">
        <v>1.44988315226</v>
      </c>
      <c r="I2145" s="1">
        <v>1.2388822153500001</v>
      </c>
      <c r="J2145" s="1">
        <v>0.57792660701099996</v>
      </c>
      <c r="K2145" s="1">
        <v>20009.455770100001</v>
      </c>
      <c r="L2145" s="1">
        <v>4300.85756855</v>
      </c>
      <c r="M2145" s="1" t="s">
        <v>198</v>
      </c>
      <c r="N2145" s="1" t="b">
        <v>1</v>
      </c>
    </row>
    <row r="2146" spans="1:14" ht="19" customHeight="1" x14ac:dyDescent="0.3">
      <c r="A2146">
        <v>2141</v>
      </c>
      <c r="B2146" s="1">
        <v>8</v>
      </c>
      <c r="C2146" s="1">
        <v>90</v>
      </c>
      <c r="D2146" s="1">
        <v>0.04</v>
      </c>
      <c r="E2146" s="1">
        <v>8.5000000000000006E-2</v>
      </c>
      <c r="F2146" s="1">
        <v>5</v>
      </c>
      <c r="G2146" s="1">
        <v>0</v>
      </c>
      <c r="H2146" s="1">
        <v>1.4176250459099999</v>
      </c>
      <c r="I2146" s="1">
        <v>1.6150914917300001</v>
      </c>
      <c r="J2146" s="1">
        <v>0.71228854513499995</v>
      </c>
      <c r="K2146" s="1">
        <v>22569.0973835</v>
      </c>
      <c r="L2146" s="1">
        <v>5300.7623168299997</v>
      </c>
      <c r="M2146" s="1" t="s">
        <v>198</v>
      </c>
      <c r="N2146" s="1" t="b">
        <v>1</v>
      </c>
    </row>
    <row r="2147" spans="1:14" ht="19" customHeight="1" x14ac:dyDescent="0.3">
      <c r="A2147">
        <v>2142</v>
      </c>
      <c r="B2147" s="1">
        <v>8</v>
      </c>
      <c r="C2147" s="1">
        <v>90</v>
      </c>
      <c r="D2147" s="1">
        <v>0.04</v>
      </c>
      <c r="E2147" s="1">
        <v>8.5000000000000006E-2</v>
      </c>
      <c r="F2147" s="1">
        <v>5</v>
      </c>
      <c r="G2147" s="1">
        <v>1</v>
      </c>
      <c r="H2147" s="1">
        <v>1.4176250459099999</v>
      </c>
      <c r="I2147" s="1">
        <v>1.2113186188</v>
      </c>
      <c r="J2147" s="1">
        <v>0.58407660701099995</v>
      </c>
      <c r="K2147" s="1">
        <v>19564.270134800001</v>
      </c>
      <c r="L2147" s="1">
        <v>4346.6250997999996</v>
      </c>
      <c r="M2147" s="1" t="s">
        <v>198</v>
      </c>
      <c r="N2147" s="1" t="b">
        <v>1</v>
      </c>
    </row>
    <row r="2148" spans="1:14" ht="19" customHeight="1" x14ac:dyDescent="0.3">
      <c r="A2148">
        <v>2143</v>
      </c>
      <c r="B2148" s="1">
        <v>8</v>
      </c>
      <c r="C2148" s="1">
        <v>90</v>
      </c>
      <c r="D2148" s="1">
        <v>5.5E-2</v>
      </c>
      <c r="E2148" s="1">
        <v>0.04</v>
      </c>
      <c r="F2148" s="1">
        <v>-5</v>
      </c>
      <c r="G2148" s="1">
        <v>0</v>
      </c>
      <c r="H2148" s="1">
        <v>1.3418604462799999</v>
      </c>
      <c r="I2148" s="1">
        <v>1.5014445922899999</v>
      </c>
      <c r="J2148" s="1">
        <v>0.705508290388</v>
      </c>
      <c r="K2148" s="1">
        <v>21159.520683899998</v>
      </c>
      <c r="L2148" s="1">
        <v>5250.30450853</v>
      </c>
      <c r="M2148" s="1" t="s">
        <v>198</v>
      </c>
      <c r="N2148" s="1" t="b">
        <v>1</v>
      </c>
    </row>
    <row r="2149" spans="1:14" ht="19" customHeight="1" x14ac:dyDescent="0.3">
      <c r="A2149">
        <v>2144</v>
      </c>
      <c r="B2149" s="1">
        <v>8</v>
      </c>
      <c r="C2149" s="1">
        <v>90</v>
      </c>
      <c r="D2149" s="1">
        <v>5.5E-2</v>
      </c>
      <c r="E2149" s="1">
        <v>0.04</v>
      </c>
      <c r="F2149" s="1">
        <v>-5</v>
      </c>
      <c r="G2149" s="1">
        <v>1</v>
      </c>
      <c r="H2149" s="1">
        <v>1.3418604462799999</v>
      </c>
      <c r="I2149" s="1">
        <v>1.1260834442200001</v>
      </c>
      <c r="J2149" s="1">
        <v>0.57851679811800005</v>
      </c>
      <c r="K2149" s="1">
        <v>18366.1299401</v>
      </c>
      <c r="L2149" s="1">
        <v>4305.2496970000002</v>
      </c>
      <c r="M2149" s="1" t="s">
        <v>198</v>
      </c>
      <c r="N2149" s="1" t="b">
        <v>1</v>
      </c>
    </row>
    <row r="2150" spans="1:14" ht="19" customHeight="1" x14ac:dyDescent="0.3">
      <c r="A2150">
        <v>2145</v>
      </c>
      <c r="B2150" s="1">
        <v>8</v>
      </c>
      <c r="C2150" s="1">
        <v>90</v>
      </c>
      <c r="D2150" s="1">
        <v>5.5E-2</v>
      </c>
      <c r="E2150" s="1">
        <v>0.04</v>
      </c>
      <c r="F2150" s="1">
        <v>0</v>
      </c>
      <c r="G2150" s="1">
        <v>0</v>
      </c>
      <c r="H2150" s="1">
        <v>1.3723945265799999</v>
      </c>
      <c r="I2150" s="1">
        <v>1.5356100152800001</v>
      </c>
      <c r="J2150" s="1">
        <v>0.69800829038800005</v>
      </c>
      <c r="K2150" s="1">
        <v>21641.006300000001</v>
      </c>
      <c r="L2150" s="1">
        <v>5194.4904460300004</v>
      </c>
      <c r="M2150" s="1" t="s">
        <v>198</v>
      </c>
      <c r="N2150" s="1" t="b">
        <v>1</v>
      </c>
    </row>
    <row r="2151" spans="1:14" ht="19" customHeight="1" x14ac:dyDescent="0.3">
      <c r="A2151">
        <v>2146</v>
      </c>
      <c r="B2151" s="1">
        <v>8</v>
      </c>
      <c r="C2151" s="1">
        <v>90</v>
      </c>
      <c r="D2151" s="1">
        <v>5.5E-2</v>
      </c>
      <c r="E2151" s="1">
        <v>0.04</v>
      </c>
      <c r="F2151" s="1">
        <v>0</v>
      </c>
      <c r="G2151" s="1">
        <v>1</v>
      </c>
      <c r="H2151" s="1">
        <v>1.3723945265799999</v>
      </c>
      <c r="I2151" s="1">
        <v>1.1517075114599999</v>
      </c>
      <c r="J2151" s="1">
        <v>0.57236679811799995</v>
      </c>
      <c r="K2151" s="1">
        <v>18784.051854400001</v>
      </c>
      <c r="L2151" s="1">
        <v>4259.4821657499997</v>
      </c>
      <c r="M2151" s="1" t="s">
        <v>198</v>
      </c>
      <c r="N2151" s="1" t="b">
        <v>1</v>
      </c>
    </row>
    <row r="2152" spans="1:14" ht="19" customHeight="1" x14ac:dyDescent="0.3">
      <c r="A2152">
        <v>2147</v>
      </c>
      <c r="B2152" s="1">
        <v>8</v>
      </c>
      <c r="C2152" s="1">
        <v>90</v>
      </c>
      <c r="D2152" s="1">
        <v>5.5E-2</v>
      </c>
      <c r="E2152" s="1">
        <v>0.04</v>
      </c>
      <c r="F2152" s="1">
        <v>5</v>
      </c>
      <c r="G2152" s="1">
        <v>0</v>
      </c>
      <c r="H2152" s="1">
        <v>1.3418604462799999</v>
      </c>
      <c r="I2152" s="1">
        <v>1.5014445922899999</v>
      </c>
      <c r="J2152" s="1">
        <v>0.705508290388</v>
      </c>
      <c r="K2152" s="1">
        <v>21159.520683899998</v>
      </c>
      <c r="L2152" s="1">
        <v>5250.30450853</v>
      </c>
      <c r="M2152" s="1" t="s">
        <v>198</v>
      </c>
      <c r="N2152" s="1" t="b">
        <v>1</v>
      </c>
    </row>
    <row r="2153" spans="1:14" ht="19" customHeight="1" x14ac:dyDescent="0.3">
      <c r="A2153">
        <v>2148</v>
      </c>
      <c r="B2153" s="1">
        <v>8</v>
      </c>
      <c r="C2153" s="1">
        <v>90</v>
      </c>
      <c r="D2153" s="1">
        <v>5.5E-2</v>
      </c>
      <c r="E2153" s="1">
        <v>0.04</v>
      </c>
      <c r="F2153" s="1">
        <v>5</v>
      </c>
      <c r="G2153" s="1">
        <v>1</v>
      </c>
      <c r="H2153" s="1">
        <v>1.3418604462799999</v>
      </c>
      <c r="I2153" s="1">
        <v>1.1260834442200001</v>
      </c>
      <c r="J2153" s="1">
        <v>0.57851679811800005</v>
      </c>
      <c r="K2153" s="1">
        <v>18366.1299401</v>
      </c>
      <c r="L2153" s="1">
        <v>4305.2496970000002</v>
      </c>
      <c r="M2153" s="1" t="s">
        <v>198</v>
      </c>
      <c r="N2153" s="1" t="b">
        <v>1</v>
      </c>
    </row>
    <row r="2154" spans="1:14" ht="19" customHeight="1" x14ac:dyDescent="0.3">
      <c r="A2154">
        <v>2149</v>
      </c>
      <c r="B2154" s="1">
        <v>8</v>
      </c>
      <c r="C2154" s="1">
        <v>90</v>
      </c>
      <c r="D2154" s="1">
        <v>5.5E-2</v>
      </c>
      <c r="E2154" s="1">
        <v>0.06</v>
      </c>
      <c r="F2154" s="1">
        <v>-5</v>
      </c>
      <c r="G2154" s="1">
        <v>0</v>
      </c>
      <c r="H2154" s="1">
        <v>1.3694900459899999</v>
      </c>
      <c r="I2154" s="1">
        <v>1.5428889918499999</v>
      </c>
      <c r="J2154" s="1">
        <v>0.70798089270499998</v>
      </c>
      <c r="K2154" s="1">
        <v>21673.560752199999</v>
      </c>
      <c r="L2154" s="1">
        <v>5268.7053059</v>
      </c>
      <c r="M2154" s="1" t="s">
        <v>198</v>
      </c>
      <c r="N2154" s="1" t="b">
        <v>1</v>
      </c>
    </row>
    <row r="2155" spans="1:14" ht="19" customHeight="1" x14ac:dyDescent="0.3">
      <c r="A2155">
        <v>2150</v>
      </c>
      <c r="B2155" s="1">
        <v>8</v>
      </c>
      <c r="C2155" s="1">
        <v>90</v>
      </c>
      <c r="D2155" s="1">
        <v>5.5E-2</v>
      </c>
      <c r="E2155" s="1">
        <v>0.06</v>
      </c>
      <c r="F2155" s="1">
        <v>-5</v>
      </c>
      <c r="G2155" s="1">
        <v>1</v>
      </c>
      <c r="H2155" s="1">
        <v>1.3694900459899999</v>
      </c>
      <c r="I2155" s="1">
        <v>1.15716674389</v>
      </c>
      <c r="J2155" s="1">
        <v>0.58054433201800004</v>
      </c>
      <c r="K2155" s="1">
        <v>18803.063998199999</v>
      </c>
      <c r="L2155" s="1">
        <v>4320.3383508400002</v>
      </c>
      <c r="M2155" s="1" t="s">
        <v>198</v>
      </c>
      <c r="N2155" s="1" t="b">
        <v>1</v>
      </c>
    </row>
    <row r="2156" spans="1:14" ht="19" customHeight="1" x14ac:dyDescent="0.3">
      <c r="A2156">
        <v>2151</v>
      </c>
      <c r="B2156" s="1">
        <v>8</v>
      </c>
      <c r="C2156" s="1">
        <v>90</v>
      </c>
      <c r="D2156" s="1">
        <v>5.5E-2</v>
      </c>
      <c r="E2156" s="1">
        <v>0.06</v>
      </c>
      <c r="F2156" s="1">
        <v>0</v>
      </c>
      <c r="G2156" s="1">
        <v>0</v>
      </c>
      <c r="H2156" s="1">
        <v>1.4006528387699999</v>
      </c>
      <c r="I2156" s="1">
        <v>1.5779974835699999</v>
      </c>
      <c r="J2156" s="1">
        <v>0.70048089270500002</v>
      </c>
      <c r="K2156" s="1">
        <v>22166.7433676</v>
      </c>
      <c r="L2156" s="1">
        <v>5212.8912434000003</v>
      </c>
      <c r="M2156" s="1" t="s">
        <v>198</v>
      </c>
      <c r="N2156" s="1" t="b">
        <v>1</v>
      </c>
    </row>
    <row r="2157" spans="1:14" ht="19" customHeight="1" x14ac:dyDescent="0.3">
      <c r="A2157">
        <v>2152</v>
      </c>
      <c r="B2157" s="1">
        <v>8</v>
      </c>
      <c r="C2157" s="1">
        <v>90</v>
      </c>
      <c r="D2157" s="1">
        <v>5.5E-2</v>
      </c>
      <c r="E2157" s="1">
        <v>0.06</v>
      </c>
      <c r="F2157" s="1">
        <v>0</v>
      </c>
      <c r="G2157" s="1">
        <v>1</v>
      </c>
      <c r="H2157" s="1">
        <v>1.4006528387699999</v>
      </c>
      <c r="I2157" s="1">
        <v>1.1834981126799999</v>
      </c>
      <c r="J2157" s="1">
        <v>0.57439433201800005</v>
      </c>
      <c r="K2157" s="1">
        <v>19230.928361900002</v>
      </c>
      <c r="L2157" s="1">
        <v>4274.5708195899997</v>
      </c>
      <c r="M2157" s="1" t="s">
        <v>198</v>
      </c>
      <c r="N2157" s="1" t="b">
        <v>1</v>
      </c>
    </row>
    <row r="2158" spans="1:14" ht="19" customHeight="1" x14ac:dyDescent="0.3">
      <c r="A2158">
        <v>2153</v>
      </c>
      <c r="B2158" s="1">
        <v>8</v>
      </c>
      <c r="C2158" s="1">
        <v>90</v>
      </c>
      <c r="D2158" s="1">
        <v>5.5E-2</v>
      </c>
      <c r="E2158" s="1">
        <v>0.06</v>
      </c>
      <c r="F2158" s="1">
        <v>5</v>
      </c>
      <c r="G2158" s="1">
        <v>0</v>
      </c>
      <c r="H2158" s="1">
        <v>1.3694900459899999</v>
      </c>
      <c r="I2158" s="1">
        <v>1.5428889918499999</v>
      </c>
      <c r="J2158" s="1">
        <v>0.70798089270499998</v>
      </c>
      <c r="K2158" s="1">
        <v>21673.560752199999</v>
      </c>
      <c r="L2158" s="1">
        <v>5268.7053059</v>
      </c>
      <c r="M2158" s="1" t="s">
        <v>198</v>
      </c>
      <c r="N2158" s="1" t="b">
        <v>1</v>
      </c>
    </row>
    <row r="2159" spans="1:14" ht="19" customHeight="1" x14ac:dyDescent="0.3">
      <c r="A2159">
        <v>2154</v>
      </c>
      <c r="B2159" s="1">
        <v>8</v>
      </c>
      <c r="C2159" s="1">
        <v>90</v>
      </c>
      <c r="D2159" s="1">
        <v>5.5E-2</v>
      </c>
      <c r="E2159" s="1">
        <v>0.06</v>
      </c>
      <c r="F2159" s="1">
        <v>5</v>
      </c>
      <c r="G2159" s="1">
        <v>1</v>
      </c>
      <c r="H2159" s="1">
        <v>1.3694900459899999</v>
      </c>
      <c r="I2159" s="1">
        <v>1.15716674389</v>
      </c>
      <c r="J2159" s="1">
        <v>0.58054433201800004</v>
      </c>
      <c r="K2159" s="1">
        <v>18803.063998199999</v>
      </c>
      <c r="L2159" s="1">
        <v>4320.3383508400002</v>
      </c>
      <c r="M2159" s="1" t="s">
        <v>198</v>
      </c>
      <c r="N2159" s="1" t="b">
        <v>1</v>
      </c>
    </row>
    <row r="2160" spans="1:14" ht="19" customHeight="1" x14ac:dyDescent="0.3">
      <c r="A2160">
        <v>2155</v>
      </c>
      <c r="B2160" s="1">
        <v>8</v>
      </c>
      <c r="C2160" s="1">
        <v>90</v>
      </c>
      <c r="D2160" s="1">
        <v>5.5E-2</v>
      </c>
      <c r="E2160" s="1">
        <v>8.5000000000000006E-2</v>
      </c>
      <c r="F2160" s="1">
        <v>-5</v>
      </c>
      <c r="G2160" s="1">
        <v>0</v>
      </c>
      <c r="H2160" s="1">
        <v>1.29885550048</v>
      </c>
      <c r="I2160" s="1">
        <v>1.4369371735800001</v>
      </c>
      <c r="J2160" s="1">
        <v>0.70165973196700004</v>
      </c>
      <c r="K2160" s="1">
        <v>20359.427106300001</v>
      </c>
      <c r="L2160" s="1">
        <v>5221.6640178300004</v>
      </c>
      <c r="M2160" s="1" t="s">
        <v>198</v>
      </c>
      <c r="N2160" s="1" t="b">
        <v>1</v>
      </c>
    </row>
    <row r="2161" spans="1:14" ht="19" customHeight="1" x14ac:dyDescent="0.3">
      <c r="A2161">
        <v>2156</v>
      </c>
      <c r="B2161" s="1">
        <v>8</v>
      </c>
      <c r="C2161" s="1">
        <v>90</v>
      </c>
      <c r="D2161" s="1">
        <v>5.5E-2</v>
      </c>
      <c r="E2161" s="1">
        <v>8.5000000000000006E-2</v>
      </c>
      <c r="F2161" s="1">
        <v>-5</v>
      </c>
      <c r="G2161" s="1">
        <v>1</v>
      </c>
      <c r="H2161" s="1">
        <v>1.29885550048</v>
      </c>
      <c r="I2161" s="1">
        <v>1.0777028801899999</v>
      </c>
      <c r="J2161" s="1">
        <v>0.57536098021299997</v>
      </c>
      <c r="K2161" s="1">
        <v>17686.050399100001</v>
      </c>
      <c r="L2161" s="1">
        <v>4281.7644946199998</v>
      </c>
      <c r="M2161" s="1" t="s">
        <v>198</v>
      </c>
      <c r="N2161" s="1" t="b">
        <v>1</v>
      </c>
    </row>
    <row r="2162" spans="1:14" ht="19" customHeight="1" x14ac:dyDescent="0.3">
      <c r="A2162">
        <v>2157</v>
      </c>
      <c r="B2162" s="1">
        <v>8</v>
      </c>
      <c r="C2162" s="1">
        <v>90</v>
      </c>
      <c r="D2162" s="1">
        <v>5.5E-2</v>
      </c>
      <c r="E2162" s="1">
        <v>8.5000000000000006E-2</v>
      </c>
      <c r="F2162" s="1">
        <v>0</v>
      </c>
      <c r="G2162" s="1">
        <v>0</v>
      </c>
      <c r="H2162" s="1">
        <v>1.3284110017699999</v>
      </c>
      <c r="I2162" s="1">
        <v>1.46963472806</v>
      </c>
      <c r="J2162" s="1">
        <v>0.69415973196699998</v>
      </c>
      <c r="K2162" s="1">
        <v>20822.706565600001</v>
      </c>
      <c r="L2162" s="1">
        <v>5165.8499553299998</v>
      </c>
      <c r="M2162" s="1" t="s">
        <v>198</v>
      </c>
      <c r="N2162" s="1" t="b">
        <v>1</v>
      </c>
    </row>
    <row r="2163" spans="1:14" ht="19" customHeight="1" x14ac:dyDescent="0.3">
      <c r="A2163">
        <v>2158</v>
      </c>
      <c r="B2163" s="1">
        <v>8</v>
      </c>
      <c r="C2163" s="1">
        <v>90</v>
      </c>
      <c r="D2163" s="1">
        <v>5.5E-2</v>
      </c>
      <c r="E2163" s="1">
        <v>8.5000000000000006E-2</v>
      </c>
      <c r="F2163" s="1">
        <v>0</v>
      </c>
      <c r="G2163" s="1">
        <v>1</v>
      </c>
      <c r="H2163" s="1">
        <v>1.3284110017699999</v>
      </c>
      <c r="I2163" s="1">
        <v>1.10222604604</v>
      </c>
      <c r="J2163" s="1">
        <v>0.56921098021299998</v>
      </c>
      <c r="K2163" s="1">
        <v>18088.497080199999</v>
      </c>
      <c r="L2163" s="1">
        <v>4235.9969633700002</v>
      </c>
      <c r="M2163" s="1" t="s">
        <v>198</v>
      </c>
      <c r="N2163" s="1" t="b">
        <v>1</v>
      </c>
    </row>
    <row r="2164" spans="1:14" ht="19" customHeight="1" x14ac:dyDescent="0.3">
      <c r="A2164">
        <v>2159</v>
      </c>
      <c r="B2164" s="1">
        <v>8</v>
      </c>
      <c r="C2164" s="1">
        <v>90</v>
      </c>
      <c r="D2164" s="1">
        <v>5.5E-2</v>
      </c>
      <c r="E2164" s="1">
        <v>8.5000000000000006E-2</v>
      </c>
      <c r="F2164" s="1">
        <v>5</v>
      </c>
      <c r="G2164" s="1">
        <v>0</v>
      </c>
      <c r="H2164" s="1">
        <v>1.29885550048</v>
      </c>
      <c r="I2164" s="1">
        <v>1.4369371735800001</v>
      </c>
      <c r="J2164" s="1">
        <v>0.70165973196700004</v>
      </c>
      <c r="K2164" s="1">
        <v>20359.427106300001</v>
      </c>
      <c r="L2164" s="1">
        <v>5221.6640178300004</v>
      </c>
      <c r="M2164" s="1" t="s">
        <v>198</v>
      </c>
      <c r="N2164" s="1" t="b">
        <v>1</v>
      </c>
    </row>
    <row r="2165" spans="1:14" ht="19" customHeight="1" x14ac:dyDescent="0.3">
      <c r="A2165">
        <v>2160</v>
      </c>
      <c r="B2165" s="1">
        <v>8</v>
      </c>
      <c r="C2165" s="1">
        <v>90</v>
      </c>
      <c r="D2165" s="1">
        <v>5.5E-2</v>
      </c>
      <c r="E2165" s="1">
        <v>8.5000000000000006E-2</v>
      </c>
      <c r="F2165" s="1">
        <v>5</v>
      </c>
      <c r="G2165" s="1">
        <v>1</v>
      </c>
      <c r="H2165" s="1">
        <v>1.29885550048</v>
      </c>
      <c r="I2165" s="1">
        <v>1.0777028801899999</v>
      </c>
      <c r="J2165" s="1">
        <v>0.57536098021299997</v>
      </c>
      <c r="K2165" s="1">
        <v>17686.050399100001</v>
      </c>
      <c r="L2165" s="1">
        <v>4281.7644946199998</v>
      </c>
      <c r="M2165" s="1" t="s">
        <v>198</v>
      </c>
      <c r="N2165" s="1" t="b">
        <v>1</v>
      </c>
    </row>
    <row r="2166" spans="1:14" ht="19" customHeight="1" x14ac:dyDescent="0.3">
      <c r="A2166">
        <v>2161</v>
      </c>
      <c r="B2166" s="1">
        <v>9</v>
      </c>
      <c r="C2166" s="1">
        <v>0</v>
      </c>
      <c r="D2166" s="1">
        <v>2.5000000000000001E-2</v>
      </c>
      <c r="E2166" s="1">
        <v>0.04</v>
      </c>
      <c r="F2166" s="1">
        <v>-5</v>
      </c>
      <c r="G2166" s="1">
        <v>0</v>
      </c>
      <c r="H2166" s="1">
        <v>1.29269412924</v>
      </c>
      <c r="I2166" s="1">
        <v>1.9391507111599999</v>
      </c>
      <c r="J2166" s="1">
        <v>0.78063352160099997</v>
      </c>
      <c r="K2166" s="1">
        <v>0</v>
      </c>
      <c r="L2166" s="1">
        <v>0</v>
      </c>
      <c r="M2166" s="1" t="s">
        <v>198</v>
      </c>
      <c r="N2166" s="1" t="b">
        <v>1</v>
      </c>
    </row>
    <row r="2167" spans="1:14" ht="19" customHeight="1" x14ac:dyDescent="0.3">
      <c r="A2167">
        <v>2162</v>
      </c>
      <c r="B2167" s="1">
        <v>9</v>
      </c>
      <c r="C2167" s="1">
        <v>0</v>
      </c>
      <c r="D2167" s="1">
        <v>2.5000000000000001E-2</v>
      </c>
      <c r="E2167" s="1">
        <v>0.04</v>
      </c>
      <c r="F2167" s="1">
        <v>-5</v>
      </c>
      <c r="G2167" s="1">
        <v>1</v>
      </c>
      <c r="H2167" s="1">
        <v>1.29269412924</v>
      </c>
      <c r="I2167" s="1">
        <v>1.4543630333699999</v>
      </c>
      <c r="J2167" s="1">
        <v>0.64011948771299998</v>
      </c>
      <c r="K2167" s="1">
        <v>0</v>
      </c>
      <c r="L2167" s="1">
        <v>0</v>
      </c>
      <c r="M2167" s="1" t="s">
        <v>198</v>
      </c>
      <c r="N2167" s="1" t="b">
        <v>1</v>
      </c>
    </row>
    <row r="2168" spans="1:14" ht="19" customHeight="1" x14ac:dyDescent="0.3">
      <c r="A2168">
        <v>2163</v>
      </c>
      <c r="B2168" s="1">
        <v>9</v>
      </c>
      <c r="C2168" s="1">
        <v>0</v>
      </c>
      <c r="D2168" s="1">
        <v>2.5000000000000001E-2</v>
      </c>
      <c r="E2168" s="1">
        <v>0.04</v>
      </c>
      <c r="F2168" s="1">
        <v>0</v>
      </c>
      <c r="G2168" s="1">
        <v>0</v>
      </c>
      <c r="H2168" s="1">
        <v>1.3221094283099999</v>
      </c>
      <c r="I2168" s="1">
        <v>1.9832761518499999</v>
      </c>
      <c r="J2168" s="1">
        <v>0.77313352160100002</v>
      </c>
      <c r="K2168" s="1">
        <v>0</v>
      </c>
      <c r="L2168" s="1">
        <v>0</v>
      </c>
      <c r="M2168" s="1" t="s">
        <v>198</v>
      </c>
      <c r="N2168" s="1" t="b">
        <v>1</v>
      </c>
    </row>
    <row r="2169" spans="1:14" ht="19" customHeight="1" x14ac:dyDescent="0.3">
      <c r="A2169">
        <v>2164</v>
      </c>
      <c r="B2169" s="1">
        <v>9</v>
      </c>
      <c r="C2169" s="1">
        <v>0</v>
      </c>
      <c r="D2169" s="1">
        <v>2.5000000000000001E-2</v>
      </c>
      <c r="E2169" s="1">
        <v>0.04</v>
      </c>
      <c r="F2169" s="1">
        <v>0</v>
      </c>
      <c r="G2169" s="1">
        <v>1</v>
      </c>
      <c r="H2169" s="1">
        <v>1.3221094283099999</v>
      </c>
      <c r="I2169" s="1">
        <v>1.4874571138899999</v>
      </c>
      <c r="J2169" s="1">
        <v>0.63396948771299999</v>
      </c>
      <c r="K2169" s="1">
        <v>0</v>
      </c>
      <c r="L2169" s="1">
        <v>0</v>
      </c>
      <c r="M2169" s="1" t="s">
        <v>198</v>
      </c>
      <c r="N2169" s="1" t="b">
        <v>1</v>
      </c>
    </row>
    <row r="2170" spans="1:14" ht="19" customHeight="1" x14ac:dyDescent="0.3">
      <c r="A2170">
        <v>2165</v>
      </c>
      <c r="B2170" s="1">
        <v>9</v>
      </c>
      <c r="C2170" s="1">
        <v>0</v>
      </c>
      <c r="D2170" s="1">
        <v>2.5000000000000001E-2</v>
      </c>
      <c r="E2170" s="1">
        <v>0.04</v>
      </c>
      <c r="F2170" s="1">
        <v>5</v>
      </c>
      <c r="G2170" s="1">
        <v>0</v>
      </c>
      <c r="H2170" s="1">
        <v>1.29269412924</v>
      </c>
      <c r="I2170" s="1">
        <v>1.9391507111599999</v>
      </c>
      <c r="J2170" s="1">
        <v>0.78063352160099997</v>
      </c>
      <c r="K2170" s="1">
        <v>0</v>
      </c>
      <c r="L2170" s="1">
        <v>0</v>
      </c>
      <c r="M2170" s="1" t="s">
        <v>198</v>
      </c>
      <c r="N2170" s="1" t="b">
        <v>1</v>
      </c>
    </row>
    <row r="2171" spans="1:14" ht="19" customHeight="1" x14ac:dyDescent="0.3">
      <c r="A2171">
        <v>2166</v>
      </c>
      <c r="B2171" s="1">
        <v>9</v>
      </c>
      <c r="C2171" s="1">
        <v>0</v>
      </c>
      <c r="D2171" s="1">
        <v>2.5000000000000001E-2</v>
      </c>
      <c r="E2171" s="1">
        <v>0.04</v>
      </c>
      <c r="F2171" s="1">
        <v>5</v>
      </c>
      <c r="G2171" s="1">
        <v>1</v>
      </c>
      <c r="H2171" s="1">
        <v>1.29269412924</v>
      </c>
      <c r="I2171" s="1">
        <v>1.4543630333699999</v>
      </c>
      <c r="J2171" s="1">
        <v>0.64011948771299998</v>
      </c>
      <c r="K2171" s="1">
        <v>0</v>
      </c>
      <c r="L2171" s="1">
        <v>0</v>
      </c>
      <c r="M2171" s="1" t="s">
        <v>198</v>
      </c>
      <c r="N2171" s="1" t="b">
        <v>1</v>
      </c>
    </row>
    <row r="2172" spans="1:14" ht="19" customHeight="1" x14ac:dyDescent="0.3">
      <c r="A2172">
        <v>2167</v>
      </c>
      <c r="B2172" s="1">
        <v>9</v>
      </c>
      <c r="C2172" s="1">
        <v>0</v>
      </c>
      <c r="D2172" s="1">
        <v>2.5000000000000001E-2</v>
      </c>
      <c r="E2172" s="1">
        <v>0.06</v>
      </c>
      <c r="F2172" s="1">
        <v>-5</v>
      </c>
      <c r="G2172" s="1">
        <v>0</v>
      </c>
      <c r="H2172" s="1">
        <v>1.3333091428699999</v>
      </c>
      <c r="I2172" s="1">
        <v>2.0000732316200001</v>
      </c>
      <c r="J2172" s="1">
        <v>0.78426820244700002</v>
      </c>
      <c r="K2172" s="1">
        <v>0</v>
      </c>
      <c r="L2172" s="1">
        <v>0</v>
      </c>
      <c r="M2172" s="1" t="s">
        <v>198</v>
      </c>
      <c r="N2172" s="1" t="b">
        <v>1</v>
      </c>
    </row>
    <row r="2173" spans="1:14" ht="19" customHeight="1" x14ac:dyDescent="0.3">
      <c r="A2173">
        <v>2168</v>
      </c>
      <c r="B2173" s="1">
        <v>9</v>
      </c>
      <c r="C2173" s="1">
        <v>0</v>
      </c>
      <c r="D2173" s="1">
        <v>2.5000000000000001E-2</v>
      </c>
      <c r="E2173" s="1">
        <v>0.06</v>
      </c>
      <c r="F2173" s="1">
        <v>-5</v>
      </c>
      <c r="G2173" s="1">
        <v>1</v>
      </c>
      <c r="H2173" s="1">
        <v>1.3333091428699999</v>
      </c>
      <c r="I2173" s="1">
        <v>1.50005492371</v>
      </c>
      <c r="J2173" s="1">
        <v>0.64309992600599997</v>
      </c>
      <c r="K2173" s="1">
        <v>0</v>
      </c>
      <c r="L2173" s="1">
        <v>0</v>
      </c>
      <c r="M2173" s="1" t="s">
        <v>198</v>
      </c>
      <c r="N2173" s="1" t="b">
        <v>1</v>
      </c>
    </row>
    <row r="2174" spans="1:14" ht="19" customHeight="1" x14ac:dyDescent="0.3">
      <c r="A2174">
        <v>2169</v>
      </c>
      <c r="B2174" s="1">
        <v>9</v>
      </c>
      <c r="C2174" s="1">
        <v>0</v>
      </c>
      <c r="D2174" s="1">
        <v>2.5000000000000001E-2</v>
      </c>
      <c r="E2174" s="1">
        <v>0.06</v>
      </c>
      <c r="F2174" s="1">
        <v>0</v>
      </c>
      <c r="G2174" s="1">
        <v>0</v>
      </c>
      <c r="H2174" s="1">
        <v>1.3636486379699999</v>
      </c>
      <c r="I2174" s="1">
        <v>2.0455849663299999</v>
      </c>
      <c r="J2174" s="1">
        <v>0.77676820244699996</v>
      </c>
      <c r="K2174" s="1">
        <v>0</v>
      </c>
      <c r="L2174" s="1">
        <v>0</v>
      </c>
      <c r="M2174" s="1" t="s">
        <v>198</v>
      </c>
      <c r="N2174" s="1" t="b">
        <v>1</v>
      </c>
    </row>
    <row r="2175" spans="1:14" ht="19" customHeight="1" x14ac:dyDescent="0.3">
      <c r="A2175">
        <v>2170</v>
      </c>
      <c r="B2175" s="1">
        <v>9</v>
      </c>
      <c r="C2175" s="1">
        <v>0</v>
      </c>
      <c r="D2175" s="1">
        <v>2.5000000000000001E-2</v>
      </c>
      <c r="E2175" s="1">
        <v>0.06</v>
      </c>
      <c r="F2175" s="1">
        <v>0</v>
      </c>
      <c r="G2175" s="1">
        <v>1</v>
      </c>
      <c r="H2175" s="1">
        <v>1.3636486379699999</v>
      </c>
      <c r="I2175" s="1">
        <v>1.5341887247499999</v>
      </c>
      <c r="J2175" s="1">
        <v>0.63694992600599998</v>
      </c>
      <c r="K2175" s="1">
        <v>0</v>
      </c>
      <c r="L2175" s="1">
        <v>0</v>
      </c>
      <c r="M2175" s="1" t="s">
        <v>198</v>
      </c>
      <c r="N2175" s="1" t="b">
        <v>1</v>
      </c>
    </row>
    <row r="2176" spans="1:14" ht="19" customHeight="1" x14ac:dyDescent="0.3">
      <c r="A2176">
        <v>2171</v>
      </c>
      <c r="B2176" s="1">
        <v>9</v>
      </c>
      <c r="C2176" s="1">
        <v>0</v>
      </c>
      <c r="D2176" s="1">
        <v>2.5000000000000001E-2</v>
      </c>
      <c r="E2176" s="1">
        <v>0.06</v>
      </c>
      <c r="F2176" s="1">
        <v>5</v>
      </c>
      <c r="G2176" s="1">
        <v>0</v>
      </c>
      <c r="H2176" s="1">
        <v>1.3333091428699999</v>
      </c>
      <c r="I2176" s="1">
        <v>2.0000732316200001</v>
      </c>
      <c r="J2176" s="1">
        <v>0.78426820244700002</v>
      </c>
      <c r="K2176" s="1">
        <v>0</v>
      </c>
      <c r="L2176" s="1">
        <v>0</v>
      </c>
      <c r="M2176" s="1" t="s">
        <v>198</v>
      </c>
      <c r="N2176" s="1" t="b">
        <v>1</v>
      </c>
    </row>
    <row r="2177" spans="1:14" ht="19" customHeight="1" x14ac:dyDescent="0.3">
      <c r="A2177">
        <v>2172</v>
      </c>
      <c r="B2177" s="1">
        <v>9</v>
      </c>
      <c r="C2177" s="1">
        <v>0</v>
      </c>
      <c r="D2177" s="1">
        <v>2.5000000000000001E-2</v>
      </c>
      <c r="E2177" s="1">
        <v>0.06</v>
      </c>
      <c r="F2177" s="1">
        <v>5</v>
      </c>
      <c r="G2177" s="1">
        <v>1</v>
      </c>
      <c r="H2177" s="1">
        <v>1.3333091428699999</v>
      </c>
      <c r="I2177" s="1">
        <v>1.50005492371</v>
      </c>
      <c r="J2177" s="1">
        <v>0.64309992600599997</v>
      </c>
      <c r="K2177" s="1">
        <v>0</v>
      </c>
      <c r="L2177" s="1">
        <v>0</v>
      </c>
      <c r="M2177" s="1" t="s">
        <v>198</v>
      </c>
      <c r="N2177" s="1" t="b">
        <v>1</v>
      </c>
    </row>
    <row r="2178" spans="1:14" ht="19" customHeight="1" x14ac:dyDescent="0.3">
      <c r="A2178">
        <v>2173</v>
      </c>
      <c r="B2178" s="1">
        <v>9</v>
      </c>
      <c r="C2178" s="1">
        <v>0</v>
      </c>
      <c r="D2178" s="1">
        <v>2.5000000000000001E-2</v>
      </c>
      <c r="E2178" s="1">
        <v>8.5000000000000006E-2</v>
      </c>
      <c r="F2178" s="1">
        <v>-5</v>
      </c>
      <c r="G2178" s="1">
        <v>0</v>
      </c>
      <c r="H2178" s="1">
        <v>1.22947763393</v>
      </c>
      <c r="I2178" s="1">
        <v>1.8443259681999999</v>
      </c>
      <c r="J2178" s="1">
        <v>0.77497621007999995</v>
      </c>
      <c r="K2178" s="1">
        <v>0</v>
      </c>
      <c r="L2178" s="1">
        <v>0</v>
      </c>
      <c r="M2178" s="1" t="s">
        <v>198</v>
      </c>
      <c r="N2178" s="1" t="b">
        <v>1</v>
      </c>
    </row>
    <row r="2179" spans="1:14" ht="19" customHeight="1" x14ac:dyDescent="0.3">
      <c r="A2179">
        <v>2174</v>
      </c>
      <c r="B2179" s="1">
        <v>9</v>
      </c>
      <c r="C2179" s="1">
        <v>0</v>
      </c>
      <c r="D2179" s="1">
        <v>2.5000000000000001E-2</v>
      </c>
      <c r="E2179" s="1">
        <v>8.5000000000000006E-2</v>
      </c>
      <c r="F2179" s="1">
        <v>-5</v>
      </c>
      <c r="G2179" s="1">
        <v>1</v>
      </c>
      <c r="H2179" s="1">
        <v>1.22947763393</v>
      </c>
      <c r="I2179" s="1">
        <v>1.38324447615</v>
      </c>
      <c r="J2179" s="1">
        <v>0.63548049226500003</v>
      </c>
      <c r="K2179" s="1">
        <v>0</v>
      </c>
      <c r="L2179" s="1">
        <v>0</v>
      </c>
      <c r="M2179" s="1" t="s">
        <v>198</v>
      </c>
      <c r="N2179" s="1" t="b">
        <v>1</v>
      </c>
    </row>
    <row r="2180" spans="1:14" ht="19" customHeight="1" x14ac:dyDescent="0.3">
      <c r="A2180">
        <v>2175</v>
      </c>
      <c r="B2180" s="1">
        <v>9</v>
      </c>
      <c r="C2180" s="1">
        <v>0</v>
      </c>
      <c r="D2180" s="1">
        <v>2.5000000000000001E-2</v>
      </c>
      <c r="E2180" s="1">
        <v>8.5000000000000006E-2</v>
      </c>
      <c r="F2180" s="1">
        <v>0</v>
      </c>
      <c r="G2180" s="1">
        <v>0</v>
      </c>
      <c r="H2180" s="1">
        <v>1.25745443949</v>
      </c>
      <c r="I2180" s="1">
        <v>1.88629366862</v>
      </c>
      <c r="J2180" s="1">
        <v>0.76747621008</v>
      </c>
      <c r="K2180" s="1">
        <v>0</v>
      </c>
      <c r="L2180" s="1">
        <v>0</v>
      </c>
      <c r="M2180" s="1" t="s">
        <v>198</v>
      </c>
      <c r="N2180" s="1" t="b">
        <v>1</v>
      </c>
    </row>
    <row r="2181" spans="1:14" ht="19" customHeight="1" x14ac:dyDescent="0.3">
      <c r="A2181">
        <v>2176</v>
      </c>
      <c r="B2181" s="1">
        <v>9</v>
      </c>
      <c r="C2181" s="1">
        <v>0</v>
      </c>
      <c r="D2181" s="1">
        <v>2.5000000000000001E-2</v>
      </c>
      <c r="E2181" s="1">
        <v>8.5000000000000006E-2</v>
      </c>
      <c r="F2181" s="1">
        <v>0</v>
      </c>
      <c r="G2181" s="1">
        <v>1</v>
      </c>
      <c r="H2181" s="1">
        <v>1.25745443949</v>
      </c>
      <c r="I2181" s="1">
        <v>1.4147202514599999</v>
      </c>
      <c r="J2181" s="1">
        <v>0.62933049226500004</v>
      </c>
      <c r="K2181" s="1">
        <v>0</v>
      </c>
      <c r="L2181" s="1">
        <v>0</v>
      </c>
      <c r="M2181" s="1" t="s">
        <v>198</v>
      </c>
      <c r="N2181" s="1" t="b">
        <v>1</v>
      </c>
    </row>
    <row r="2182" spans="1:14" ht="19" customHeight="1" x14ac:dyDescent="0.3">
      <c r="A2182">
        <v>2177</v>
      </c>
      <c r="B2182" s="1">
        <v>9</v>
      </c>
      <c r="C2182" s="1">
        <v>0</v>
      </c>
      <c r="D2182" s="1">
        <v>2.5000000000000001E-2</v>
      </c>
      <c r="E2182" s="1">
        <v>8.5000000000000006E-2</v>
      </c>
      <c r="F2182" s="1">
        <v>5</v>
      </c>
      <c r="G2182" s="1">
        <v>0</v>
      </c>
      <c r="H2182" s="1">
        <v>1.22947763393</v>
      </c>
      <c r="I2182" s="1">
        <v>1.8443259681999999</v>
      </c>
      <c r="J2182" s="1">
        <v>0.77497621007999995</v>
      </c>
      <c r="K2182" s="1">
        <v>0</v>
      </c>
      <c r="L2182" s="1">
        <v>0</v>
      </c>
      <c r="M2182" s="1" t="s">
        <v>198</v>
      </c>
      <c r="N2182" s="1" t="b">
        <v>1</v>
      </c>
    </row>
    <row r="2183" spans="1:14" ht="19" customHeight="1" x14ac:dyDescent="0.3">
      <c r="A2183">
        <v>2178</v>
      </c>
      <c r="B2183" s="1">
        <v>9</v>
      </c>
      <c r="C2183" s="1">
        <v>0</v>
      </c>
      <c r="D2183" s="1">
        <v>2.5000000000000001E-2</v>
      </c>
      <c r="E2183" s="1">
        <v>8.5000000000000006E-2</v>
      </c>
      <c r="F2183" s="1">
        <v>5</v>
      </c>
      <c r="G2183" s="1">
        <v>1</v>
      </c>
      <c r="H2183" s="1">
        <v>1.22947763393</v>
      </c>
      <c r="I2183" s="1">
        <v>1.38324447615</v>
      </c>
      <c r="J2183" s="1">
        <v>0.63548049226500003</v>
      </c>
      <c r="K2183" s="1">
        <v>0</v>
      </c>
      <c r="L2183" s="1">
        <v>0</v>
      </c>
      <c r="M2183" s="1" t="s">
        <v>198</v>
      </c>
      <c r="N2183" s="1" t="b">
        <v>1</v>
      </c>
    </row>
    <row r="2184" spans="1:14" ht="19" customHeight="1" x14ac:dyDescent="0.3">
      <c r="A2184">
        <v>2179</v>
      </c>
      <c r="B2184" s="1">
        <v>9</v>
      </c>
      <c r="C2184" s="1">
        <v>0</v>
      </c>
      <c r="D2184" s="1">
        <v>0.04</v>
      </c>
      <c r="E2184" s="1">
        <v>0.04</v>
      </c>
      <c r="F2184" s="1">
        <v>-5</v>
      </c>
      <c r="G2184" s="1">
        <v>0</v>
      </c>
      <c r="H2184" s="1">
        <v>1.29868294269</v>
      </c>
      <c r="I2184" s="1">
        <v>1.9481339313399999</v>
      </c>
      <c r="J2184" s="1">
        <v>0.78116946689800004</v>
      </c>
      <c r="K2184" s="1">
        <v>0</v>
      </c>
      <c r="L2184" s="1">
        <v>0</v>
      </c>
      <c r="M2184" s="1" t="s">
        <v>198</v>
      </c>
      <c r="N2184" s="1" t="b">
        <v>1</v>
      </c>
    </row>
    <row r="2185" spans="1:14" ht="19" customHeight="1" x14ac:dyDescent="0.3">
      <c r="A2185">
        <v>2180</v>
      </c>
      <c r="B2185" s="1">
        <v>9</v>
      </c>
      <c r="C2185" s="1">
        <v>0</v>
      </c>
      <c r="D2185" s="1">
        <v>0.04</v>
      </c>
      <c r="E2185" s="1">
        <v>0.04</v>
      </c>
      <c r="F2185" s="1">
        <v>-5</v>
      </c>
      <c r="G2185" s="1">
        <v>1</v>
      </c>
      <c r="H2185" s="1">
        <v>1.29868294269</v>
      </c>
      <c r="I2185" s="1">
        <v>1.4611004485100001</v>
      </c>
      <c r="J2185" s="1">
        <v>0.64055896285699998</v>
      </c>
      <c r="K2185" s="1">
        <v>0</v>
      </c>
      <c r="L2185" s="1">
        <v>0</v>
      </c>
      <c r="M2185" s="1" t="s">
        <v>198</v>
      </c>
      <c r="N2185" s="1" t="b">
        <v>1</v>
      </c>
    </row>
    <row r="2186" spans="1:14" ht="19" customHeight="1" x14ac:dyDescent="0.3">
      <c r="A2186">
        <v>2181</v>
      </c>
      <c r="B2186" s="1">
        <v>9</v>
      </c>
      <c r="C2186" s="1">
        <v>0</v>
      </c>
      <c r="D2186" s="1">
        <v>0.04</v>
      </c>
      <c r="E2186" s="1">
        <v>0.04</v>
      </c>
      <c r="F2186" s="1">
        <v>0</v>
      </c>
      <c r="G2186" s="1">
        <v>0</v>
      </c>
      <c r="H2186" s="1">
        <v>1.3282345174200001</v>
      </c>
      <c r="I2186" s="1">
        <v>1.99246378551</v>
      </c>
      <c r="J2186" s="1">
        <v>0.77366946689799998</v>
      </c>
      <c r="K2186" s="1">
        <v>0</v>
      </c>
      <c r="L2186" s="1">
        <v>0</v>
      </c>
      <c r="M2186" s="1" t="s">
        <v>198</v>
      </c>
      <c r="N2186" s="1" t="b">
        <v>1</v>
      </c>
    </row>
    <row r="2187" spans="1:14" ht="19" customHeight="1" x14ac:dyDescent="0.3">
      <c r="A2187">
        <v>2182</v>
      </c>
      <c r="B2187" s="1">
        <v>9</v>
      </c>
      <c r="C2187" s="1">
        <v>0</v>
      </c>
      <c r="D2187" s="1">
        <v>0.04</v>
      </c>
      <c r="E2187" s="1">
        <v>0.04</v>
      </c>
      <c r="F2187" s="1">
        <v>0</v>
      </c>
      <c r="G2187" s="1">
        <v>1</v>
      </c>
      <c r="H2187" s="1">
        <v>1.3282345174200001</v>
      </c>
      <c r="I2187" s="1">
        <v>1.49434783913</v>
      </c>
      <c r="J2187" s="1">
        <v>0.63440896285699999</v>
      </c>
      <c r="K2187" s="1">
        <v>0</v>
      </c>
      <c r="L2187" s="1">
        <v>0</v>
      </c>
      <c r="M2187" s="1" t="s">
        <v>198</v>
      </c>
      <c r="N2187" s="1" t="b">
        <v>1</v>
      </c>
    </row>
    <row r="2188" spans="1:14" ht="19" customHeight="1" x14ac:dyDescent="0.3">
      <c r="A2188">
        <v>2183</v>
      </c>
      <c r="B2188" s="1">
        <v>9</v>
      </c>
      <c r="C2188" s="1">
        <v>0</v>
      </c>
      <c r="D2188" s="1">
        <v>0.04</v>
      </c>
      <c r="E2188" s="1">
        <v>0.04</v>
      </c>
      <c r="F2188" s="1">
        <v>5</v>
      </c>
      <c r="G2188" s="1">
        <v>0</v>
      </c>
      <c r="H2188" s="1">
        <v>1.29868294269</v>
      </c>
      <c r="I2188" s="1">
        <v>1.9481339313399999</v>
      </c>
      <c r="J2188" s="1">
        <v>0.78116946689800004</v>
      </c>
      <c r="K2188" s="1">
        <v>0</v>
      </c>
      <c r="L2188" s="1">
        <v>0</v>
      </c>
      <c r="M2188" s="1" t="s">
        <v>198</v>
      </c>
      <c r="N2188" s="1" t="b">
        <v>1</v>
      </c>
    </row>
    <row r="2189" spans="1:14" ht="19" customHeight="1" x14ac:dyDescent="0.3">
      <c r="A2189">
        <v>2184</v>
      </c>
      <c r="B2189" s="1">
        <v>9</v>
      </c>
      <c r="C2189" s="1">
        <v>0</v>
      </c>
      <c r="D2189" s="1">
        <v>0.04</v>
      </c>
      <c r="E2189" s="1">
        <v>0.04</v>
      </c>
      <c r="F2189" s="1">
        <v>5</v>
      </c>
      <c r="G2189" s="1">
        <v>1</v>
      </c>
      <c r="H2189" s="1">
        <v>1.29868294269</v>
      </c>
      <c r="I2189" s="1">
        <v>1.4611004485100001</v>
      </c>
      <c r="J2189" s="1">
        <v>0.64055896285699998</v>
      </c>
      <c r="K2189" s="1">
        <v>0</v>
      </c>
      <c r="L2189" s="1">
        <v>0</v>
      </c>
      <c r="M2189" s="1" t="s">
        <v>198</v>
      </c>
      <c r="N2189" s="1" t="b">
        <v>1</v>
      </c>
    </row>
    <row r="2190" spans="1:14" ht="19" customHeight="1" x14ac:dyDescent="0.3">
      <c r="A2190">
        <v>2185</v>
      </c>
      <c r="B2190" s="1">
        <v>9</v>
      </c>
      <c r="C2190" s="1">
        <v>0</v>
      </c>
      <c r="D2190" s="1">
        <v>0.04</v>
      </c>
      <c r="E2190" s="1">
        <v>0.06</v>
      </c>
      <c r="F2190" s="1">
        <v>-5</v>
      </c>
      <c r="G2190" s="1">
        <v>0</v>
      </c>
      <c r="H2190" s="1">
        <v>1.33987875825</v>
      </c>
      <c r="I2190" s="1">
        <v>2.0099276546799998</v>
      </c>
      <c r="J2190" s="1">
        <v>0.78485612432600005</v>
      </c>
      <c r="K2190" s="1">
        <v>0</v>
      </c>
      <c r="L2190" s="1">
        <v>0</v>
      </c>
      <c r="M2190" s="1" t="s">
        <v>198</v>
      </c>
      <c r="N2190" s="1" t="b">
        <v>1</v>
      </c>
    </row>
    <row r="2191" spans="1:14" ht="19" customHeight="1" x14ac:dyDescent="0.3">
      <c r="A2191">
        <v>2186</v>
      </c>
      <c r="B2191" s="1">
        <v>9</v>
      </c>
      <c r="C2191" s="1">
        <v>0</v>
      </c>
      <c r="D2191" s="1">
        <v>0.04</v>
      </c>
      <c r="E2191" s="1">
        <v>0.06</v>
      </c>
      <c r="F2191" s="1">
        <v>-5</v>
      </c>
      <c r="G2191" s="1">
        <v>1</v>
      </c>
      <c r="H2191" s="1">
        <v>1.33987875825</v>
      </c>
      <c r="I2191" s="1">
        <v>1.50744574101</v>
      </c>
      <c r="J2191" s="1">
        <v>0.64358202194699998</v>
      </c>
      <c r="K2191" s="1">
        <v>0</v>
      </c>
      <c r="L2191" s="1">
        <v>0</v>
      </c>
      <c r="M2191" s="1" t="s">
        <v>198</v>
      </c>
      <c r="N2191" s="1" t="b">
        <v>1</v>
      </c>
    </row>
    <row r="2192" spans="1:14" ht="19" customHeight="1" x14ac:dyDescent="0.3">
      <c r="A2192">
        <v>2187</v>
      </c>
      <c r="B2192" s="1">
        <v>9</v>
      </c>
      <c r="C2192" s="1">
        <v>0</v>
      </c>
      <c r="D2192" s="1">
        <v>0.04</v>
      </c>
      <c r="E2192" s="1">
        <v>0.06</v>
      </c>
      <c r="F2192" s="1">
        <v>0</v>
      </c>
      <c r="G2192" s="1">
        <v>0</v>
      </c>
      <c r="H2192" s="1">
        <v>1.37036774517</v>
      </c>
      <c r="I2192" s="1">
        <v>2.0556636271299999</v>
      </c>
      <c r="J2192" s="1">
        <v>0.77735612432599999</v>
      </c>
      <c r="K2192" s="1">
        <v>0</v>
      </c>
      <c r="L2192" s="1">
        <v>0</v>
      </c>
      <c r="M2192" s="1" t="s">
        <v>198</v>
      </c>
      <c r="N2192" s="1" t="b">
        <v>1</v>
      </c>
    </row>
    <row r="2193" spans="1:14" ht="19" customHeight="1" x14ac:dyDescent="0.3">
      <c r="A2193">
        <v>2188</v>
      </c>
      <c r="B2193" s="1">
        <v>9</v>
      </c>
      <c r="C2193" s="1">
        <v>0</v>
      </c>
      <c r="D2193" s="1">
        <v>0.04</v>
      </c>
      <c r="E2193" s="1">
        <v>0.06</v>
      </c>
      <c r="F2193" s="1">
        <v>0</v>
      </c>
      <c r="G2193" s="1">
        <v>1</v>
      </c>
      <c r="H2193" s="1">
        <v>1.37036774517</v>
      </c>
      <c r="I2193" s="1">
        <v>1.5417477203500001</v>
      </c>
      <c r="J2193" s="1">
        <v>0.63743202194699999</v>
      </c>
      <c r="K2193" s="1">
        <v>0</v>
      </c>
      <c r="L2193" s="1">
        <v>0</v>
      </c>
      <c r="M2193" s="1" t="s">
        <v>198</v>
      </c>
      <c r="N2193" s="1" t="b">
        <v>1</v>
      </c>
    </row>
    <row r="2194" spans="1:14" ht="19" customHeight="1" x14ac:dyDescent="0.3">
      <c r="A2194">
        <v>2189</v>
      </c>
      <c r="B2194" s="1">
        <v>9</v>
      </c>
      <c r="C2194" s="1">
        <v>0</v>
      </c>
      <c r="D2194" s="1">
        <v>0.04</v>
      </c>
      <c r="E2194" s="1">
        <v>0.06</v>
      </c>
      <c r="F2194" s="1">
        <v>5</v>
      </c>
      <c r="G2194" s="1">
        <v>0</v>
      </c>
      <c r="H2194" s="1">
        <v>1.33987875825</v>
      </c>
      <c r="I2194" s="1">
        <v>2.0099276546799998</v>
      </c>
      <c r="J2194" s="1">
        <v>0.78485612432600005</v>
      </c>
      <c r="K2194" s="1">
        <v>0</v>
      </c>
      <c r="L2194" s="1">
        <v>0</v>
      </c>
      <c r="M2194" s="1" t="s">
        <v>198</v>
      </c>
      <c r="N2194" s="1" t="b">
        <v>1</v>
      </c>
    </row>
    <row r="2195" spans="1:14" ht="19" customHeight="1" x14ac:dyDescent="0.3">
      <c r="A2195">
        <v>2190</v>
      </c>
      <c r="B2195" s="1">
        <v>9</v>
      </c>
      <c r="C2195" s="1">
        <v>0</v>
      </c>
      <c r="D2195" s="1">
        <v>0.04</v>
      </c>
      <c r="E2195" s="1">
        <v>0.06</v>
      </c>
      <c r="F2195" s="1">
        <v>5</v>
      </c>
      <c r="G2195" s="1">
        <v>1</v>
      </c>
      <c r="H2195" s="1">
        <v>1.33987875825</v>
      </c>
      <c r="I2195" s="1">
        <v>1.50744574101</v>
      </c>
      <c r="J2195" s="1">
        <v>0.64358202194699998</v>
      </c>
      <c r="K2195" s="1">
        <v>0</v>
      </c>
      <c r="L2195" s="1">
        <v>0</v>
      </c>
      <c r="M2195" s="1" t="s">
        <v>198</v>
      </c>
      <c r="N2195" s="1" t="b">
        <v>1</v>
      </c>
    </row>
    <row r="2196" spans="1:14" ht="19" customHeight="1" x14ac:dyDescent="0.3">
      <c r="A2196">
        <v>2191</v>
      </c>
      <c r="B2196" s="1">
        <v>9</v>
      </c>
      <c r="C2196" s="1">
        <v>0</v>
      </c>
      <c r="D2196" s="1">
        <v>0.04</v>
      </c>
      <c r="E2196" s="1">
        <v>8.5000000000000006E-2</v>
      </c>
      <c r="F2196" s="1">
        <v>-5</v>
      </c>
      <c r="G2196" s="1">
        <v>0</v>
      </c>
      <c r="H2196" s="1">
        <v>1.2345624402499999</v>
      </c>
      <c r="I2196" s="1">
        <v>1.85195317769</v>
      </c>
      <c r="J2196" s="1">
        <v>0.77543125481499997</v>
      </c>
      <c r="K2196" s="1">
        <v>0</v>
      </c>
      <c r="L2196" s="1">
        <v>0</v>
      </c>
      <c r="M2196" s="1" t="s">
        <v>198</v>
      </c>
      <c r="N2196" s="1" t="b">
        <v>1</v>
      </c>
    </row>
    <row r="2197" spans="1:14" ht="19" customHeight="1" x14ac:dyDescent="0.3">
      <c r="A2197">
        <v>2192</v>
      </c>
      <c r="B2197" s="1">
        <v>9</v>
      </c>
      <c r="C2197" s="1">
        <v>0</v>
      </c>
      <c r="D2197" s="1">
        <v>0.04</v>
      </c>
      <c r="E2197" s="1">
        <v>8.5000000000000006E-2</v>
      </c>
      <c r="F2197" s="1">
        <v>-5</v>
      </c>
      <c r="G2197" s="1">
        <v>1</v>
      </c>
      <c r="H2197" s="1">
        <v>1.2345624402499999</v>
      </c>
      <c r="I2197" s="1">
        <v>1.3889648832599999</v>
      </c>
      <c r="J2197" s="1">
        <v>0.63585362894899999</v>
      </c>
      <c r="K2197" s="1">
        <v>0</v>
      </c>
      <c r="L2197" s="1">
        <v>0</v>
      </c>
      <c r="M2197" s="1" t="s">
        <v>198</v>
      </c>
      <c r="N2197" s="1" t="b">
        <v>1</v>
      </c>
    </row>
    <row r="2198" spans="1:14" ht="19" customHeight="1" x14ac:dyDescent="0.3">
      <c r="A2198">
        <v>2193</v>
      </c>
      <c r="B2198" s="1">
        <v>9</v>
      </c>
      <c r="C2198" s="1">
        <v>0</v>
      </c>
      <c r="D2198" s="1">
        <v>0.04</v>
      </c>
      <c r="E2198" s="1">
        <v>8.5000000000000006E-2</v>
      </c>
      <c r="F2198" s="1">
        <v>0</v>
      </c>
      <c r="G2198" s="1">
        <v>0</v>
      </c>
      <c r="H2198" s="1">
        <v>1.26265495076</v>
      </c>
      <c r="I2198" s="1">
        <v>1.89409443552</v>
      </c>
      <c r="J2198" s="1">
        <v>0.76793125481500002</v>
      </c>
      <c r="K2198" s="1">
        <v>0</v>
      </c>
      <c r="L2198" s="1">
        <v>0</v>
      </c>
      <c r="M2198" s="1" t="s">
        <v>198</v>
      </c>
      <c r="N2198" s="1" t="b">
        <v>1</v>
      </c>
    </row>
    <row r="2199" spans="1:14" ht="19" customHeight="1" x14ac:dyDescent="0.3">
      <c r="A2199">
        <v>2194</v>
      </c>
      <c r="B2199" s="1">
        <v>9</v>
      </c>
      <c r="C2199" s="1">
        <v>0</v>
      </c>
      <c r="D2199" s="1">
        <v>0.04</v>
      </c>
      <c r="E2199" s="1">
        <v>8.5000000000000006E-2</v>
      </c>
      <c r="F2199" s="1">
        <v>0</v>
      </c>
      <c r="G2199" s="1">
        <v>1</v>
      </c>
      <c r="H2199" s="1">
        <v>1.26265495076</v>
      </c>
      <c r="I2199" s="1">
        <v>1.4205708266399999</v>
      </c>
      <c r="J2199" s="1">
        <v>0.629703628949</v>
      </c>
      <c r="K2199" s="1">
        <v>0</v>
      </c>
      <c r="L2199" s="1">
        <v>0</v>
      </c>
      <c r="M2199" s="1" t="s">
        <v>198</v>
      </c>
      <c r="N2199" s="1" t="b">
        <v>1</v>
      </c>
    </row>
    <row r="2200" spans="1:14" ht="19" customHeight="1" x14ac:dyDescent="0.3">
      <c r="A2200">
        <v>2195</v>
      </c>
      <c r="B2200" s="1">
        <v>9</v>
      </c>
      <c r="C2200" s="1">
        <v>0</v>
      </c>
      <c r="D2200" s="1">
        <v>0.04</v>
      </c>
      <c r="E2200" s="1">
        <v>8.5000000000000006E-2</v>
      </c>
      <c r="F2200" s="1">
        <v>5</v>
      </c>
      <c r="G2200" s="1">
        <v>0</v>
      </c>
      <c r="H2200" s="1">
        <v>1.2345624402499999</v>
      </c>
      <c r="I2200" s="1">
        <v>1.85195317769</v>
      </c>
      <c r="J2200" s="1">
        <v>0.77543125481499997</v>
      </c>
      <c r="K2200" s="1">
        <v>0</v>
      </c>
      <c r="L2200" s="1">
        <v>0</v>
      </c>
      <c r="M2200" s="1" t="s">
        <v>198</v>
      </c>
      <c r="N2200" s="1" t="b">
        <v>1</v>
      </c>
    </row>
    <row r="2201" spans="1:14" ht="19" customHeight="1" x14ac:dyDescent="0.3">
      <c r="A2201">
        <v>2196</v>
      </c>
      <c r="B2201" s="1">
        <v>9</v>
      </c>
      <c r="C2201" s="1">
        <v>0</v>
      </c>
      <c r="D2201" s="1">
        <v>0.04</v>
      </c>
      <c r="E2201" s="1">
        <v>8.5000000000000006E-2</v>
      </c>
      <c r="F2201" s="1">
        <v>5</v>
      </c>
      <c r="G2201" s="1">
        <v>1</v>
      </c>
      <c r="H2201" s="1">
        <v>1.2345624402499999</v>
      </c>
      <c r="I2201" s="1">
        <v>1.3889648832599999</v>
      </c>
      <c r="J2201" s="1">
        <v>0.63585362894899999</v>
      </c>
      <c r="K2201" s="1">
        <v>0</v>
      </c>
      <c r="L2201" s="1">
        <v>0</v>
      </c>
      <c r="M2201" s="1" t="s">
        <v>198</v>
      </c>
      <c r="N2201" s="1" t="b">
        <v>1</v>
      </c>
    </row>
    <row r="2202" spans="1:14" ht="19" customHeight="1" x14ac:dyDescent="0.3">
      <c r="A2202">
        <v>2197</v>
      </c>
      <c r="B2202" s="1">
        <v>9</v>
      </c>
      <c r="C2202" s="1">
        <v>0</v>
      </c>
      <c r="D2202" s="1">
        <v>5.5E-2</v>
      </c>
      <c r="E2202" s="1">
        <v>0.04</v>
      </c>
      <c r="F2202" s="1">
        <v>-5</v>
      </c>
      <c r="G2202" s="1">
        <v>0</v>
      </c>
      <c r="H2202" s="1">
        <v>1.1587978406299999</v>
      </c>
      <c r="I2202" s="1">
        <v>1.7383062782500001</v>
      </c>
      <c r="J2202" s="1">
        <v>0.768651000069</v>
      </c>
      <c r="K2202" s="1">
        <v>0</v>
      </c>
      <c r="L2202" s="1">
        <v>0</v>
      </c>
      <c r="M2202" s="1" t="s">
        <v>198</v>
      </c>
      <c r="N2202" s="1" t="b">
        <v>1</v>
      </c>
    </row>
    <row r="2203" spans="1:14" ht="19" customHeight="1" x14ac:dyDescent="0.3">
      <c r="A2203">
        <v>2198</v>
      </c>
      <c r="B2203" s="1">
        <v>9</v>
      </c>
      <c r="C2203" s="1">
        <v>0</v>
      </c>
      <c r="D2203" s="1">
        <v>5.5E-2</v>
      </c>
      <c r="E2203" s="1">
        <v>0.04</v>
      </c>
      <c r="F2203" s="1">
        <v>-5</v>
      </c>
      <c r="G2203" s="1">
        <v>1</v>
      </c>
      <c r="H2203" s="1">
        <v>1.1587978406299999</v>
      </c>
      <c r="I2203" s="1">
        <v>1.3037297086899999</v>
      </c>
      <c r="J2203" s="1">
        <v>0.63029382005599999</v>
      </c>
      <c r="K2203" s="1">
        <v>0</v>
      </c>
      <c r="L2203" s="1">
        <v>0</v>
      </c>
      <c r="M2203" s="1" t="s">
        <v>198</v>
      </c>
      <c r="N2203" s="1" t="b">
        <v>1</v>
      </c>
    </row>
    <row r="2204" spans="1:14" ht="19" customHeight="1" x14ac:dyDescent="0.3">
      <c r="A2204">
        <v>2199</v>
      </c>
      <c r="B2204" s="1">
        <v>9</v>
      </c>
      <c r="C2204" s="1">
        <v>0</v>
      </c>
      <c r="D2204" s="1">
        <v>5.5E-2</v>
      </c>
      <c r="E2204" s="1">
        <v>0.04</v>
      </c>
      <c r="F2204" s="1">
        <v>0</v>
      </c>
      <c r="G2204" s="1">
        <v>0</v>
      </c>
      <c r="H2204" s="1">
        <v>1.18516632508</v>
      </c>
      <c r="I2204" s="1">
        <v>1.777861497</v>
      </c>
      <c r="J2204" s="1">
        <v>0.76115100006900005</v>
      </c>
      <c r="K2204" s="1">
        <v>0</v>
      </c>
      <c r="L2204" s="1">
        <v>0</v>
      </c>
      <c r="M2204" s="1" t="s">
        <v>198</v>
      </c>
      <c r="N2204" s="1" t="b">
        <v>1</v>
      </c>
    </row>
    <row r="2205" spans="1:14" ht="19" customHeight="1" x14ac:dyDescent="0.3">
      <c r="A2205">
        <v>2200</v>
      </c>
      <c r="B2205" s="1">
        <v>9</v>
      </c>
      <c r="C2205" s="1">
        <v>0</v>
      </c>
      <c r="D2205" s="1">
        <v>5.5E-2</v>
      </c>
      <c r="E2205" s="1">
        <v>0.04</v>
      </c>
      <c r="F2205" s="1">
        <v>0</v>
      </c>
      <c r="G2205" s="1">
        <v>1</v>
      </c>
      <c r="H2205" s="1">
        <v>1.18516632508</v>
      </c>
      <c r="I2205" s="1">
        <v>1.33339612275</v>
      </c>
      <c r="J2205" s="1">
        <v>0.624143820056</v>
      </c>
      <c r="K2205" s="1">
        <v>0</v>
      </c>
      <c r="L2205" s="1">
        <v>0</v>
      </c>
      <c r="M2205" s="1" t="s">
        <v>198</v>
      </c>
      <c r="N2205" s="1" t="b">
        <v>1</v>
      </c>
    </row>
    <row r="2206" spans="1:14" ht="19" customHeight="1" x14ac:dyDescent="0.3">
      <c r="A2206">
        <v>2201</v>
      </c>
      <c r="B2206" s="1">
        <v>9</v>
      </c>
      <c r="C2206" s="1">
        <v>0</v>
      </c>
      <c r="D2206" s="1">
        <v>5.5E-2</v>
      </c>
      <c r="E2206" s="1">
        <v>0.04</v>
      </c>
      <c r="F2206" s="1">
        <v>5</v>
      </c>
      <c r="G2206" s="1">
        <v>0</v>
      </c>
      <c r="H2206" s="1">
        <v>1.1587978406299999</v>
      </c>
      <c r="I2206" s="1">
        <v>1.7383062782500001</v>
      </c>
      <c r="J2206" s="1">
        <v>0.768651000069</v>
      </c>
      <c r="K2206" s="1">
        <v>0</v>
      </c>
      <c r="L2206" s="1">
        <v>0</v>
      </c>
      <c r="M2206" s="1" t="s">
        <v>198</v>
      </c>
      <c r="N2206" s="1" t="b">
        <v>1</v>
      </c>
    </row>
    <row r="2207" spans="1:14" ht="19" customHeight="1" x14ac:dyDescent="0.3">
      <c r="A2207">
        <v>2202</v>
      </c>
      <c r="B2207" s="1">
        <v>9</v>
      </c>
      <c r="C2207" s="1">
        <v>0</v>
      </c>
      <c r="D2207" s="1">
        <v>5.5E-2</v>
      </c>
      <c r="E2207" s="1">
        <v>0.04</v>
      </c>
      <c r="F2207" s="1">
        <v>5</v>
      </c>
      <c r="G2207" s="1">
        <v>1</v>
      </c>
      <c r="H2207" s="1">
        <v>1.1587978406299999</v>
      </c>
      <c r="I2207" s="1">
        <v>1.3037297086899999</v>
      </c>
      <c r="J2207" s="1">
        <v>0.63029382005599999</v>
      </c>
      <c r="K2207" s="1">
        <v>0</v>
      </c>
      <c r="L2207" s="1">
        <v>0</v>
      </c>
      <c r="M2207" s="1" t="s">
        <v>198</v>
      </c>
      <c r="N2207" s="1" t="b">
        <v>1</v>
      </c>
    </row>
    <row r="2208" spans="1:14" ht="19" customHeight="1" x14ac:dyDescent="0.3">
      <c r="A2208">
        <v>2203</v>
      </c>
      <c r="B2208" s="1">
        <v>9</v>
      </c>
      <c r="C2208" s="1">
        <v>0</v>
      </c>
      <c r="D2208" s="1">
        <v>5.5E-2</v>
      </c>
      <c r="E2208" s="1">
        <v>0.06</v>
      </c>
      <c r="F2208" s="1">
        <v>-5</v>
      </c>
      <c r="G2208" s="1">
        <v>0</v>
      </c>
      <c r="H2208" s="1">
        <v>1.1864274403299999</v>
      </c>
      <c r="I2208" s="1">
        <v>1.7797506778100001</v>
      </c>
      <c r="J2208" s="1">
        <v>0.771123602385</v>
      </c>
      <c r="K2208" s="1">
        <v>0</v>
      </c>
      <c r="L2208" s="1">
        <v>0</v>
      </c>
      <c r="M2208" s="1" t="s">
        <v>198</v>
      </c>
      <c r="N2208" s="1" t="b">
        <v>1</v>
      </c>
    </row>
    <row r="2209" spans="1:14" ht="19" customHeight="1" x14ac:dyDescent="0.3">
      <c r="A2209">
        <v>2204</v>
      </c>
      <c r="B2209" s="1">
        <v>9</v>
      </c>
      <c r="C2209" s="1">
        <v>0</v>
      </c>
      <c r="D2209" s="1">
        <v>5.5E-2</v>
      </c>
      <c r="E2209" s="1">
        <v>0.06</v>
      </c>
      <c r="F2209" s="1">
        <v>-5</v>
      </c>
      <c r="G2209" s="1">
        <v>1</v>
      </c>
      <c r="H2209" s="1">
        <v>1.1864274403299999</v>
      </c>
      <c r="I2209" s="1">
        <v>1.3348130083600001</v>
      </c>
      <c r="J2209" s="1">
        <v>0.63232135395599998</v>
      </c>
      <c r="K2209" s="1">
        <v>0</v>
      </c>
      <c r="L2209" s="1">
        <v>0</v>
      </c>
      <c r="M2209" s="1" t="s">
        <v>198</v>
      </c>
      <c r="N2209" s="1" t="b">
        <v>1</v>
      </c>
    </row>
    <row r="2210" spans="1:14" ht="19" customHeight="1" x14ac:dyDescent="0.3">
      <c r="A2210">
        <v>2205</v>
      </c>
      <c r="B2210" s="1">
        <v>9</v>
      </c>
      <c r="C2210" s="1">
        <v>0</v>
      </c>
      <c r="D2210" s="1">
        <v>5.5E-2</v>
      </c>
      <c r="E2210" s="1">
        <v>0.06</v>
      </c>
      <c r="F2210" s="1">
        <v>0</v>
      </c>
      <c r="G2210" s="1">
        <v>0</v>
      </c>
      <c r="H2210" s="1">
        <v>1.2134246372699999</v>
      </c>
      <c r="I2210" s="1">
        <v>1.82024896529</v>
      </c>
      <c r="J2210" s="1">
        <v>0.76362360238500004</v>
      </c>
      <c r="K2210" s="1">
        <v>0</v>
      </c>
      <c r="L2210" s="1">
        <v>0</v>
      </c>
      <c r="M2210" s="1" t="s">
        <v>198</v>
      </c>
      <c r="N2210" s="1" t="b">
        <v>1</v>
      </c>
    </row>
    <row r="2211" spans="1:14" ht="19" customHeight="1" x14ac:dyDescent="0.3">
      <c r="A2211">
        <v>2206</v>
      </c>
      <c r="B2211" s="1">
        <v>9</v>
      </c>
      <c r="C2211" s="1">
        <v>0</v>
      </c>
      <c r="D2211" s="1">
        <v>5.5E-2</v>
      </c>
      <c r="E2211" s="1">
        <v>0.06</v>
      </c>
      <c r="F2211" s="1">
        <v>0</v>
      </c>
      <c r="G2211" s="1">
        <v>1</v>
      </c>
      <c r="H2211" s="1">
        <v>1.2134246372699999</v>
      </c>
      <c r="I2211" s="1">
        <v>1.36518672396</v>
      </c>
      <c r="J2211" s="1">
        <v>0.62617135395599999</v>
      </c>
      <c r="K2211" s="1">
        <v>0</v>
      </c>
      <c r="L2211" s="1">
        <v>0</v>
      </c>
      <c r="M2211" s="1" t="s">
        <v>198</v>
      </c>
      <c r="N2211" s="1" t="b">
        <v>1</v>
      </c>
    </row>
    <row r="2212" spans="1:14" ht="19" customHeight="1" x14ac:dyDescent="0.3">
      <c r="A2212">
        <v>2207</v>
      </c>
      <c r="B2212" s="1">
        <v>9</v>
      </c>
      <c r="C2212" s="1">
        <v>0</v>
      </c>
      <c r="D2212" s="1">
        <v>5.5E-2</v>
      </c>
      <c r="E2212" s="1">
        <v>0.06</v>
      </c>
      <c r="F2212" s="1">
        <v>5</v>
      </c>
      <c r="G2212" s="1">
        <v>0</v>
      </c>
      <c r="H2212" s="1">
        <v>1.1864274403299999</v>
      </c>
      <c r="I2212" s="1">
        <v>1.7797506778100001</v>
      </c>
      <c r="J2212" s="1">
        <v>0.771123602385</v>
      </c>
      <c r="K2212" s="1">
        <v>0</v>
      </c>
      <c r="L2212" s="1">
        <v>0</v>
      </c>
      <c r="M2212" s="1" t="s">
        <v>198</v>
      </c>
      <c r="N2212" s="1" t="b">
        <v>1</v>
      </c>
    </row>
    <row r="2213" spans="1:14" ht="19" customHeight="1" x14ac:dyDescent="0.3">
      <c r="A2213">
        <v>2208</v>
      </c>
      <c r="B2213" s="1">
        <v>9</v>
      </c>
      <c r="C2213" s="1">
        <v>0</v>
      </c>
      <c r="D2213" s="1">
        <v>5.5E-2</v>
      </c>
      <c r="E2213" s="1">
        <v>0.06</v>
      </c>
      <c r="F2213" s="1">
        <v>5</v>
      </c>
      <c r="G2213" s="1">
        <v>1</v>
      </c>
      <c r="H2213" s="1">
        <v>1.1864274403299999</v>
      </c>
      <c r="I2213" s="1">
        <v>1.3348130083600001</v>
      </c>
      <c r="J2213" s="1">
        <v>0.63232135395599998</v>
      </c>
      <c r="K2213" s="1">
        <v>0</v>
      </c>
      <c r="L2213" s="1">
        <v>0</v>
      </c>
      <c r="M2213" s="1" t="s">
        <v>198</v>
      </c>
      <c r="N2213" s="1" t="b">
        <v>1</v>
      </c>
    </row>
    <row r="2214" spans="1:14" ht="19" customHeight="1" x14ac:dyDescent="0.3">
      <c r="A2214">
        <v>2209</v>
      </c>
      <c r="B2214" s="1">
        <v>9</v>
      </c>
      <c r="C2214" s="1">
        <v>0</v>
      </c>
      <c r="D2214" s="1">
        <v>5.5E-2</v>
      </c>
      <c r="E2214" s="1">
        <v>8.5000000000000006E-2</v>
      </c>
      <c r="F2214" s="1">
        <v>-5</v>
      </c>
      <c r="G2214" s="1">
        <v>0</v>
      </c>
      <c r="H2214" s="1">
        <v>1.11579289482</v>
      </c>
      <c r="I2214" s="1">
        <v>1.67379885954</v>
      </c>
      <c r="J2214" s="1">
        <v>0.76480244164699995</v>
      </c>
      <c r="K2214" s="1">
        <v>0</v>
      </c>
      <c r="L2214" s="1">
        <v>0</v>
      </c>
      <c r="M2214" s="1" t="s">
        <v>198</v>
      </c>
      <c r="N2214" s="1" t="b">
        <v>1</v>
      </c>
    </row>
    <row r="2215" spans="1:14" ht="19" customHeight="1" x14ac:dyDescent="0.3">
      <c r="A2215">
        <v>2210</v>
      </c>
      <c r="B2215" s="1">
        <v>9</v>
      </c>
      <c r="C2215" s="1">
        <v>0</v>
      </c>
      <c r="D2215" s="1">
        <v>5.5E-2</v>
      </c>
      <c r="E2215" s="1">
        <v>8.5000000000000006E-2</v>
      </c>
      <c r="F2215" s="1">
        <v>-5</v>
      </c>
      <c r="G2215" s="1">
        <v>1</v>
      </c>
      <c r="H2215" s="1">
        <v>1.11579289482</v>
      </c>
      <c r="I2215" s="1">
        <v>1.25534914466</v>
      </c>
      <c r="J2215" s="1">
        <v>0.62713800215100002</v>
      </c>
      <c r="K2215" s="1">
        <v>0</v>
      </c>
      <c r="L2215" s="1">
        <v>0</v>
      </c>
      <c r="M2215" s="1" t="s">
        <v>198</v>
      </c>
      <c r="N2215" s="1" t="b">
        <v>1</v>
      </c>
    </row>
    <row r="2216" spans="1:14" ht="19" customHeight="1" x14ac:dyDescent="0.3">
      <c r="A2216">
        <v>2211</v>
      </c>
      <c r="B2216" s="1">
        <v>9</v>
      </c>
      <c r="C2216" s="1">
        <v>0</v>
      </c>
      <c r="D2216" s="1">
        <v>5.5E-2</v>
      </c>
      <c r="E2216" s="1">
        <v>8.5000000000000006E-2</v>
      </c>
      <c r="F2216" s="1">
        <v>0</v>
      </c>
      <c r="G2216" s="1">
        <v>0</v>
      </c>
      <c r="H2216" s="1">
        <v>1.14118280026</v>
      </c>
      <c r="I2216" s="1">
        <v>1.7118862097700001</v>
      </c>
      <c r="J2216" s="1">
        <v>0.757302441647</v>
      </c>
      <c r="K2216" s="1">
        <v>0</v>
      </c>
      <c r="L2216" s="1">
        <v>0</v>
      </c>
      <c r="M2216" s="1" t="s">
        <v>198</v>
      </c>
      <c r="N2216" s="1" t="b">
        <v>1</v>
      </c>
    </row>
    <row r="2217" spans="1:14" ht="19" customHeight="1" x14ac:dyDescent="0.3">
      <c r="A2217">
        <v>2212</v>
      </c>
      <c r="B2217" s="1">
        <v>9</v>
      </c>
      <c r="C2217" s="1">
        <v>0</v>
      </c>
      <c r="D2217" s="1">
        <v>5.5E-2</v>
      </c>
      <c r="E2217" s="1">
        <v>8.5000000000000006E-2</v>
      </c>
      <c r="F2217" s="1">
        <v>0</v>
      </c>
      <c r="G2217" s="1">
        <v>1</v>
      </c>
      <c r="H2217" s="1">
        <v>1.14118280026</v>
      </c>
      <c r="I2217" s="1">
        <v>1.28391465733</v>
      </c>
      <c r="J2217" s="1">
        <v>0.62098800215100003</v>
      </c>
      <c r="K2217" s="1">
        <v>0</v>
      </c>
      <c r="L2217" s="1">
        <v>0</v>
      </c>
      <c r="M2217" s="1" t="s">
        <v>198</v>
      </c>
      <c r="N2217" s="1" t="b">
        <v>1</v>
      </c>
    </row>
    <row r="2218" spans="1:14" ht="19" customHeight="1" x14ac:dyDescent="0.3">
      <c r="A2218">
        <v>2213</v>
      </c>
      <c r="B2218" s="1">
        <v>9</v>
      </c>
      <c r="C2218" s="1">
        <v>0</v>
      </c>
      <c r="D2218" s="1">
        <v>5.5E-2</v>
      </c>
      <c r="E2218" s="1">
        <v>8.5000000000000006E-2</v>
      </c>
      <c r="F2218" s="1">
        <v>5</v>
      </c>
      <c r="G2218" s="1">
        <v>0</v>
      </c>
      <c r="H2218" s="1">
        <v>1.11579289482</v>
      </c>
      <c r="I2218" s="1">
        <v>1.67379885954</v>
      </c>
      <c r="J2218" s="1">
        <v>0.76480244164699995</v>
      </c>
      <c r="K2218" s="1">
        <v>0</v>
      </c>
      <c r="L2218" s="1">
        <v>0</v>
      </c>
      <c r="M2218" s="1" t="s">
        <v>198</v>
      </c>
      <c r="N2218" s="1" t="b">
        <v>1</v>
      </c>
    </row>
    <row r="2219" spans="1:14" ht="19" customHeight="1" x14ac:dyDescent="0.3">
      <c r="A2219">
        <v>2214</v>
      </c>
      <c r="B2219" s="1">
        <v>9</v>
      </c>
      <c r="C2219" s="1">
        <v>0</v>
      </c>
      <c r="D2219" s="1">
        <v>5.5E-2</v>
      </c>
      <c r="E2219" s="1">
        <v>8.5000000000000006E-2</v>
      </c>
      <c r="F2219" s="1">
        <v>5</v>
      </c>
      <c r="G2219" s="1">
        <v>1</v>
      </c>
      <c r="H2219" s="1">
        <v>1.11579289482</v>
      </c>
      <c r="I2219" s="1">
        <v>1.25534914466</v>
      </c>
      <c r="J2219" s="1">
        <v>0.62713800215100002</v>
      </c>
      <c r="K2219" s="1">
        <v>0</v>
      </c>
      <c r="L2219" s="1">
        <v>0</v>
      </c>
      <c r="M2219" s="1" t="s">
        <v>198</v>
      </c>
      <c r="N2219" s="1" t="b">
        <v>1</v>
      </c>
    </row>
    <row r="2220" spans="1:14" ht="19" customHeight="1" x14ac:dyDescent="0.3">
      <c r="A2220">
        <v>2215</v>
      </c>
      <c r="B2220" s="1">
        <v>9</v>
      </c>
      <c r="C2220" s="1">
        <v>30</v>
      </c>
      <c r="D2220" s="1">
        <v>2.5000000000000001E-2</v>
      </c>
      <c r="E2220" s="1">
        <v>0.04</v>
      </c>
      <c r="F2220" s="1">
        <v>-5</v>
      </c>
      <c r="G2220" s="1">
        <v>0</v>
      </c>
      <c r="H2220" s="1">
        <v>1.29269412924</v>
      </c>
      <c r="I2220" s="1">
        <v>1.9391507111599999</v>
      </c>
      <c r="J2220" s="1">
        <v>0.78063352160099997</v>
      </c>
      <c r="K2220" s="1">
        <v>2672.3317024100002</v>
      </c>
      <c r="L2220" s="1">
        <v>645.48634317400001</v>
      </c>
      <c r="M2220" s="1" t="s">
        <v>198</v>
      </c>
      <c r="N2220" s="1" t="b">
        <v>1</v>
      </c>
    </row>
    <row r="2221" spans="1:14" ht="19" customHeight="1" x14ac:dyDescent="0.3">
      <c r="A2221">
        <v>2216</v>
      </c>
      <c r="B2221" s="1">
        <v>9</v>
      </c>
      <c r="C2221" s="1">
        <v>30</v>
      </c>
      <c r="D2221" s="1">
        <v>2.5000000000000001E-2</v>
      </c>
      <c r="E2221" s="1">
        <v>0.04</v>
      </c>
      <c r="F2221" s="1">
        <v>-5</v>
      </c>
      <c r="G2221" s="1">
        <v>1</v>
      </c>
      <c r="H2221" s="1">
        <v>1.29269412924</v>
      </c>
      <c r="I2221" s="1">
        <v>1.4543630333699999</v>
      </c>
      <c r="J2221" s="1">
        <v>0.64011948771299998</v>
      </c>
      <c r="K2221" s="1">
        <v>2271.47289133</v>
      </c>
      <c r="L2221" s="1">
        <v>529.29880140299997</v>
      </c>
      <c r="M2221" s="1" t="s">
        <v>198</v>
      </c>
      <c r="N2221" s="1" t="b">
        <v>1</v>
      </c>
    </row>
    <row r="2222" spans="1:14" ht="19" customHeight="1" x14ac:dyDescent="0.3">
      <c r="A2222">
        <v>2217</v>
      </c>
      <c r="B2222" s="1">
        <v>9</v>
      </c>
      <c r="C2222" s="1">
        <v>30</v>
      </c>
      <c r="D2222" s="1">
        <v>2.5000000000000001E-2</v>
      </c>
      <c r="E2222" s="1">
        <v>0.04</v>
      </c>
      <c r="F2222" s="1">
        <v>0</v>
      </c>
      <c r="G2222" s="1">
        <v>0</v>
      </c>
      <c r="H2222" s="1">
        <v>1.3221094283099999</v>
      </c>
      <c r="I2222" s="1">
        <v>1.9832761518499999</v>
      </c>
      <c r="J2222" s="1">
        <v>0.77313352160100002</v>
      </c>
      <c r="K2222" s="1">
        <v>2733.1407015899999</v>
      </c>
      <c r="L2222" s="1">
        <v>639.28478067399999</v>
      </c>
      <c r="M2222" s="1" t="s">
        <v>198</v>
      </c>
      <c r="N2222" s="1" t="b">
        <v>1</v>
      </c>
    </row>
    <row r="2223" spans="1:14" ht="19" customHeight="1" x14ac:dyDescent="0.3">
      <c r="A2223">
        <v>2218</v>
      </c>
      <c r="B2223" s="1">
        <v>9</v>
      </c>
      <c r="C2223" s="1">
        <v>30</v>
      </c>
      <c r="D2223" s="1">
        <v>2.5000000000000001E-2</v>
      </c>
      <c r="E2223" s="1">
        <v>0.04</v>
      </c>
      <c r="F2223" s="1">
        <v>0</v>
      </c>
      <c r="G2223" s="1">
        <v>1</v>
      </c>
      <c r="H2223" s="1">
        <v>1.3221094283099999</v>
      </c>
      <c r="I2223" s="1">
        <v>1.4874571138899999</v>
      </c>
      <c r="J2223" s="1">
        <v>0.63396948771299999</v>
      </c>
      <c r="K2223" s="1">
        <v>2323.1603345799999</v>
      </c>
      <c r="L2223" s="1">
        <v>524.21352015299999</v>
      </c>
      <c r="M2223" s="1" t="s">
        <v>198</v>
      </c>
      <c r="N2223" s="1" t="b">
        <v>1</v>
      </c>
    </row>
    <row r="2224" spans="1:14" ht="19" customHeight="1" x14ac:dyDescent="0.3">
      <c r="A2224">
        <v>2219</v>
      </c>
      <c r="B2224" s="1">
        <v>9</v>
      </c>
      <c r="C2224" s="1">
        <v>30</v>
      </c>
      <c r="D2224" s="1">
        <v>2.5000000000000001E-2</v>
      </c>
      <c r="E2224" s="1">
        <v>0.04</v>
      </c>
      <c r="F2224" s="1">
        <v>5</v>
      </c>
      <c r="G2224" s="1">
        <v>0</v>
      </c>
      <c r="H2224" s="1">
        <v>1.29269412924</v>
      </c>
      <c r="I2224" s="1">
        <v>1.9391507111599999</v>
      </c>
      <c r="J2224" s="1">
        <v>0.78063352160099997</v>
      </c>
      <c r="K2224" s="1">
        <v>2672.3317024100002</v>
      </c>
      <c r="L2224" s="1">
        <v>645.48634317400001</v>
      </c>
      <c r="M2224" s="1" t="s">
        <v>198</v>
      </c>
      <c r="N2224" s="1" t="b">
        <v>1</v>
      </c>
    </row>
    <row r="2225" spans="1:14" ht="19" customHeight="1" x14ac:dyDescent="0.3">
      <c r="A2225">
        <v>2220</v>
      </c>
      <c r="B2225" s="1">
        <v>9</v>
      </c>
      <c r="C2225" s="1">
        <v>30</v>
      </c>
      <c r="D2225" s="1">
        <v>2.5000000000000001E-2</v>
      </c>
      <c r="E2225" s="1">
        <v>0.04</v>
      </c>
      <c r="F2225" s="1">
        <v>5</v>
      </c>
      <c r="G2225" s="1">
        <v>1</v>
      </c>
      <c r="H2225" s="1">
        <v>1.29269412924</v>
      </c>
      <c r="I2225" s="1">
        <v>1.4543630333699999</v>
      </c>
      <c r="J2225" s="1">
        <v>0.64011948771299998</v>
      </c>
      <c r="K2225" s="1">
        <v>2271.47289133</v>
      </c>
      <c r="L2225" s="1">
        <v>529.29880140299997</v>
      </c>
      <c r="M2225" s="1" t="s">
        <v>198</v>
      </c>
      <c r="N2225" s="1" t="b">
        <v>1</v>
      </c>
    </row>
    <row r="2226" spans="1:14" ht="19" customHeight="1" x14ac:dyDescent="0.3">
      <c r="A2226">
        <v>2221</v>
      </c>
      <c r="B2226" s="1">
        <v>9</v>
      </c>
      <c r="C2226" s="1">
        <v>30</v>
      </c>
      <c r="D2226" s="1">
        <v>2.5000000000000001E-2</v>
      </c>
      <c r="E2226" s="1">
        <v>0.06</v>
      </c>
      <c r="F2226" s="1">
        <v>-5</v>
      </c>
      <c r="G2226" s="1">
        <v>0</v>
      </c>
      <c r="H2226" s="1">
        <v>1.3333091428699999</v>
      </c>
      <c r="I2226" s="1">
        <v>2.0000732316200001</v>
      </c>
      <c r="J2226" s="1">
        <v>0.78426820244700002</v>
      </c>
      <c r="K2226" s="1">
        <v>2756.2905509100001</v>
      </c>
      <c r="L2226" s="1">
        <v>648.49176989800003</v>
      </c>
      <c r="M2226" s="1" t="s">
        <v>198</v>
      </c>
      <c r="N2226" s="1" t="b">
        <v>1</v>
      </c>
    </row>
    <row r="2227" spans="1:14" ht="19" customHeight="1" x14ac:dyDescent="0.3">
      <c r="A2227">
        <v>2222</v>
      </c>
      <c r="B2227" s="1">
        <v>9</v>
      </c>
      <c r="C2227" s="1">
        <v>30</v>
      </c>
      <c r="D2227" s="1">
        <v>2.5000000000000001E-2</v>
      </c>
      <c r="E2227" s="1">
        <v>0.06</v>
      </c>
      <c r="F2227" s="1">
        <v>-5</v>
      </c>
      <c r="G2227" s="1">
        <v>1</v>
      </c>
      <c r="H2227" s="1">
        <v>1.3333091428699999</v>
      </c>
      <c r="I2227" s="1">
        <v>1.50005492371</v>
      </c>
      <c r="J2227" s="1">
        <v>0.64309992600599997</v>
      </c>
      <c r="K2227" s="1">
        <v>2342.8379125599999</v>
      </c>
      <c r="L2227" s="1">
        <v>531.76325131600004</v>
      </c>
      <c r="M2227" s="1" t="s">
        <v>198</v>
      </c>
      <c r="N2227" s="1" t="b">
        <v>1</v>
      </c>
    </row>
    <row r="2228" spans="1:14" ht="19" customHeight="1" x14ac:dyDescent="0.3">
      <c r="A2228">
        <v>2223</v>
      </c>
      <c r="B2228" s="1">
        <v>9</v>
      </c>
      <c r="C2228" s="1">
        <v>30</v>
      </c>
      <c r="D2228" s="1">
        <v>2.5000000000000001E-2</v>
      </c>
      <c r="E2228" s="1">
        <v>0.06</v>
      </c>
      <c r="F2228" s="1">
        <v>0</v>
      </c>
      <c r="G2228" s="1">
        <v>0</v>
      </c>
      <c r="H2228" s="1">
        <v>1.3636486379699999</v>
      </c>
      <c r="I2228" s="1">
        <v>2.0455849663299999</v>
      </c>
      <c r="J2228" s="1">
        <v>0.77676820244699996</v>
      </c>
      <c r="K2228" s="1">
        <v>2819.0100365600001</v>
      </c>
      <c r="L2228" s="1">
        <v>642.29020739800001</v>
      </c>
      <c r="M2228" s="1" t="s">
        <v>198</v>
      </c>
      <c r="N2228" s="1" t="b">
        <v>1</v>
      </c>
    </row>
    <row r="2229" spans="1:14" ht="19" customHeight="1" x14ac:dyDescent="0.3">
      <c r="A2229">
        <v>2224</v>
      </c>
      <c r="B2229" s="1">
        <v>9</v>
      </c>
      <c r="C2229" s="1">
        <v>30</v>
      </c>
      <c r="D2229" s="1">
        <v>2.5000000000000001E-2</v>
      </c>
      <c r="E2229" s="1">
        <v>0.06</v>
      </c>
      <c r="F2229" s="1">
        <v>0</v>
      </c>
      <c r="G2229" s="1">
        <v>1</v>
      </c>
      <c r="H2229" s="1">
        <v>1.3636486379699999</v>
      </c>
      <c r="I2229" s="1">
        <v>1.5341887247499999</v>
      </c>
      <c r="J2229" s="1">
        <v>0.63694992600599998</v>
      </c>
      <c r="K2229" s="1">
        <v>2396.1492693</v>
      </c>
      <c r="L2229" s="1">
        <v>526.67797006599994</v>
      </c>
      <c r="M2229" s="1" t="s">
        <v>198</v>
      </c>
      <c r="N2229" s="1" t="b">
        <v>1</v>
      </c>
    </row>
    <row r="2230" spans="1:14" ht="19" customHeight="1" x14ac:dyDescent="0.3">
      <c r="A2230">
        <v>2225</v>
      </c>
      <c r="B2230" s="1">
        <v>9</v>
      </c>
      <c r="C2230" s="1">
        <v>30</v>
      </c>
      <c r="D2230" s="1">
        <v>2.5000000000000001E-2</v>
      </c>
      <c r="E2230" s="1">
        <v>0.06</v>
      </c>
      <c r="F2230" s="1">
        <v>5</v>
      </c>
      <c r="G2230" s="1">
        <v>0</v>
      </c>
      <c r="H2230" s="1">
        <v>1.3333091428699999</v>
      </c>
      <c r="I2230" s="1">
        <v>2.0000732316200001</v>
      </c>
      <c r="J2230" s="1">
        <v>0.78426820244700002</v>
      </c>
      <c r="K2230" s="1">
        <v>2756.2905509100001</v>
      </c>
      <c r="L2230" s="1">
        <v>648.49176989800003</v>
      </c>
      <c r="M2230" s="1" t="s">
        <v>198</v>
      </c>
      <c r="N2230" s="1" t="b">
        <v>1</v>
      </c>
    </row>
    <row r="2231" spans="1:14" ht="19" customHeight="1" x14ac:dyDescent="0.3">
      <c r="A2231">
        <v>2226</v>
      </c>
      <c r="B2231" s="1">
        <v>9</v>
      </c>
      <c r="C2231" s="1">
        <v>30</v>
      </c>
      <c r="D2231" s="1">
        <v>2.5000000000000001E-2</v>
      </c>
      <c r="E2231" s="1">
        <v>0.06</v>
      </c>
      <c r="F2231" s="1">
        <v>5</v>
      </c>
      <c r="G2231" s="1">
        <v>1</v>
      </c>
      <c r="H2231" s="1">
        <v>1.3333091428699999</v>
      </c>
      <c r="I2231" s="1">
        <v>1.50005492371</v>
      </c>
      <c r="J2231" s="1">
        <v>0.64309992600599997</v>
      </c>
      <c r="K2231" s="1">
        <v>2342.8379125599999</v>
      </c>
      <c r="L2231" s="1">
        <v>531.76325131600004</v>
      </c>
      <c r="M2231" s="1" t="s">
        <v>198</v>
      </c>
      <c r="N2231" s="1" t="b">
        <v>1</v>
      </c>
    </row>
    <row r="2232" spans="1:14" ht="19" customHeight="1" x14ac:dyDescent="0.3">
      <c r="A2232">
        <v>2227</v>
      </c>
      <c r="B2232" s="1">
        <v>9</v>
      </c>
      <c r="C2232" s="1">
        <v>30</v>
      </c>
      <c r="D2232" s="1">
        <v>2.5000000000000001E-2</v>
      </c>
      <c r="E2232" s="1">
        <v>8.5000000000000006E-2</v>
      </c>
      <c r="F2232" s="1">
        <v>-5</v>
      </c>
      <c r="G2232" s="1">
        <v>0</v>
      </c>
      <c r="H2232" s="1">
        <v>1.22947763393</v>
      </c>
      <c r="I2232" s="1">
        <v>1.8443259681999999</v>
      </c>
      <c r="J2232" s="1">
        <v>0.77497621007999995</v>
      </c>
      <c r="K2232" s="1">
        <v>2541.6513535099998</v>
      </c>
      <c r="L2232" s="1">
        <v>640.80845370999998</v>
      </c>
      <c r="M2232" s="1" t="s">
        <v>198</v>
      </c>
      <c r="N2232" s="1" t="b">
        <v>1</v>
      </c>
    </row>
    <row r="2233" spans="1:14" ht="19" customHeight="1" x14ac:dyDescent="0.3">
      <c r="A2233">
        <v>2228</v>
      </c>
      <c r="B2233" s="1">
        <v>9</v>
      </c>
      <c r="C2233" s="1">
        <v>30</v>
      </c>
      <c r="D2233" s="1">
        <v>2.5000000000000001E-2</v>
      </c>
      <c r="E2233" s="1">
        <v>8.5000000000000006E-2</v>
      </c>
      <c r="F2233" s="1">
        <v>-5</v>
      </c>
      <c r="G2233" s="1">
        <v>1</v>
      </c>
      <c r="H2233" s="1">
        <v>1.22947763393</v>
      </c>
      <c r="I2233" s="1">
        <v>1.38324447615</v>
      </c>
      <c r="J2233" s="1">
        <v>0.63548049226500003</v>
      </c>
      <c r="K2233" s="1">
        <v>2160.3945947699999</v>
      </c>
      <c r="L2233" s="1">
        <v>525.46293204200003</v>
      </c>
      <c r="M2233" s="1" t="s">
        <v>198</v>
      </c>
      <c r="N2233" s="1" t="b">
        <v>1</v>
      </c>
    </row>
    <row r="2234" spans="1:14" ht="19" customHeight="1" x14ac:dyDescent="0.3">
      <c r="A2234">
        <v>2229</v>
      </c>
      <c r="B2234" s="1">
        <v>9</v>
      </c>
      <c r="C2234" s="1">
        <v>30</v>
      </c>
      <c r="D2234" s="1">
        <v>2.5000000000000001E-2</v>
      </c>
      <c r="E2234" s="1">
        <v>8.5000000000000006E-2</v>
      </c>
      <c r="F2234" s="1">
        <v>0</v>
      </c>
      <c r="G2234" s="1">
        <v>0</v>
      </c>
      <c r="H2234" s="1">
        <v>1.25745443949</v>
      </c>
      <c r="I2234" s="1">
        <v>1.88629366862</v>
      </c>
      <c r="J2234" s="1">
        <v>0.76747621008</v>
      </c>
      <c r="K2234" s="1">
        <v>2599.48671689</v>
      </c>
      <c r="L2234" s="1">
        <v>634.60689120999996</v>
      </c>
      <c r="M2234" s="1" t="s">
        <v>198</v>
      </c>
      <c r="N2234" s="1" t="b">
        <v>1</v>
      </c>
    </row>
    <row r="2235" spans="1:14" ht="19" customHeight="1" x14ac:dyDescent="0.3">
      <c r="A2235">
        <v>2230</v>
      </c>
      <c r="B2235" s="1">
        <v>9</v>
      </c>
      <c r="C2235" s="1">
        <v>30</v>
      </c>
      <c r="D2235" s="1">
        <v>2.5000000000000001E-2</v>
      </c>
      <c r="E2235" s="1">
        <v>8.5000000000000006E-2</v>
      </c>
      <c r="F2235" s="1">
        <v>0</v>
      </c>
      <c r="G2235" s="1">
        <v>1</v>
      </c>
      <c r="H2235" s="1">
        <v>1.25745443949</v>
      </c>
      <c r="I2235" s="1">
        <v>1.4147202514599999</v>
      </c>
      <c r="J2235" s="1">
        <v>0.62933049226500004</v>
      </c>
      <c r="K2235" s="1">
        <v>2209.5544475900001</v>
      </c>
      <c r="L2235" s="1">
        <v>520.37765079200005</v>
      </c>
      <c r="M2235" s="1" t="s">
        <v>198</v>
      </c>
      <c r="N2235" s="1" t="b">
        <v>1</v>
      </c>
    </row>
    <row r="2236" spans="1:14" ht="19" customHeight="1" x14ac:dyDescent="0.3">
      <c r="A2236">
        <v>2231</v>
      </c>
      <c r="B2236" s="1">
        <v>9</v>
      </c>
      <c r="C2236" s="1">
        <v>30</v>
      </c>
      <c r="D2236" s="1">
        <v>2.5000000000000001E-2</v>
      </c>
      <c r="E2236" s="1">
        <v>8.5000000000000006E-2</v>
      </c>
      <c r="F2236" s="1">
        <v>5</v>
      </c>
      <c r="G2236" s="1">
        <v>0</v>
      </c>
      <c r="H2236" s="1">
        <v>1.22947763393</v>
      </c>
      <c r="I2236" s="1">
        <v>1.8443259681999999</v>
      </c>
      <c r="J2236" s="1">
        <v>0.77497621007999995</v>
      </c>
      <c r="K2236" s="1">
        <v>2541.6513535099998</v>
      </c>
      <c r="L2236" s="1">
        <v>640.80845370999998</v>
      </c>
      <c r="M2236" s="1" t="s">
        <v>198</v>
      </c>
      <c r="N2236" s="1" t="b">
        <v>1</v>
      </c>
    </row>
    <row r="2237" spans="1:14" ht="19" customHeight="1" x14ac:dyDescent="0.3">
      <c r="A2237">
        <v>2232</v>
      </c>
      <c r="B2237" s="1">
        <v>9</v>
      </c>
      <c r="C2237" s="1">
        <v>30</v>
      </c>
      <c r="D2237" s="1">
        <v>2.5000000000000001E-2</v>
      </c>
      <c r="E2237" s="1">
        <v>8.5000000000000006E-2</v>
      </c>
      <c r="F2237" s="1">
        <v>5</v>
      </c>
      <c r="G2237" s="1">
        <v>1</v>
      </c>
      <c r="H2237" s="1">
        <v>1.22947763393</v>
      </c>
      <c r="I2237" s="1">
        <v>1.38324447615</v>
      </c>
      <c r="J2237" s="1">
        <v>0.63548049226500003</v>
      </c>
      <c r="K2237" s="1">
        <v>2160.3945947699999</v>
      </c>
      <c r="L2237" s="1">
        <v>525.46293204200003</v>
      </c>
      <c r="M2237" s="1" t="s">
        <v>198</v>
      </c>
      <c r="N2237" s="1" t="b">
        <v>1</v>
      </c>
    </row>
    <row r="2238" spans="1:14" ht="19" customHeight="1" x14ac:dyDescent="0.3">
      <c r="A2238">
        <v>2233</v>
      </c>
      <c r="B2238" s="1">
        <v>9</v>
      </c>
      <c r="C2238" s="1">
        <v>30</v>
      </c>
      <c r="D2238" s="1">
        <v>0.04</v>
      </c>
      <c r="E2238" s="1">
        <v>0.04</v>
      </c>
      <c r="F2238" s="1">
        <v>-5</v>
      </c>
      <c r="G2238" s="1">
        <v>0</v>
      </c>
      <c r="H2238" s="1">
        <v>1.29868294269</v>
      </c>
      <c r="I2238" s="1">
        <v>1.9481339313399999</v>
      </c>
      <c r="J2238" s="1">
        <v>0.78116946689800004</v>
      </c>
      <c r="K2238" s="1">
        <v>2684.7117027200002</v>
      </c>
      <c r="L2238" s="1">
        <v>645.929502942</v>
      </c>
      <c r="M2238" s="1" t="s">
        <v>198</v>
      </c>
      <c r="N2238" s="1" t="b">
        <v>1</v>
      </c>
    </row>
    <row r="2239" spans="1:14" ht="19" customHeight="1" x14ac:dyDescent="0.3">
      <c r="A2239">
        <v>2234</v>
      </c>
      <c r="B2239" s="1">
        <v>9</v>
      </c>
      <c r="C2239" s="1">
        <v>30</v>
      </c>
      <c r="D2239" s="1">
        <v>0.04</v>
      </c>
      <c r="E2239" s="1">
        <v>0.04</v>
      </c>
      <c r="F2239" s="1">
        <v>-5</v>
      </c>
      <c r="G2239" s="1">
        <v>1</v>
      </c>
      <c r="H2239" s="1">
        <v>1.29868294269</v>
      </c>
      <c r="I2239" s="1">
        <v>1.4611004485100001</v>
      </c>
      <c r="J2239" s="1">
        <v>0.64055896285699998</v>
      </c>
      <c r="K2239" s="1">
        <v>2281.9958916</v>
      </c>
      <c r="L2239" s="1">
        <v>529.66219241199997</v>
      </c>
      <c r="M2239" s="1" t="s">
        <v>198</v>
      </c>
      <c r="N2239" s="1" t="b">
        <v>1</v>
      </c>
    </row>
    <row r="2240" spans="1:14" ht="19" customHeight="1" x14ac:dyDescent="0.3">
      <c r="A2240">
        <v>2235</v>
      </c>
      <c r="B2240" s="1">
        <v>9</v>
      </c>
      <c r="C2240" s="1">
        <v>30</v>
      </c>
      <c r="D2240" s="1">
        <v>0.04</v>
      </c>
      <c r="E2240" s="1">
        <v>0.04</v>
      </c>
      <c r="F2240" s="1">
        <v>0</v>
      </c>
      <c r="G2240" s="1">
        <v>0</v>
      </c>
      <c r="H2240" s="1">
        <v>1.3282345174200001</v>
      </c>
      <c r="I2240" s="1">
        <v>1.99246378551</v>
      </c>
      <c r="J2240" s="1">
        <v>0.77366946689799998</v>
      </c>
      <c r="K2240" s="1">
        <v>2745.8024092300002</v>
      </c>
      <c r="L2240" s="1">
        <v>639.72794044199998</v>
      </c>
      <c r="M2240" s="1" t="s">
        <v>198</v>
      </c>
      <c r="N2240" s="1" t="b">
        <v>1</v>
      </c>
    </row>
    <row r="2241" spans="1:14" ht="19" customHeight="1" x14ac:dyDescent="0.3">
      <c r="A2241">
        <v>2236</v>
      </c>
      <c r="B2241" s="1">
        <v>9</v>
      </c>
      <c r="C2241" s="1">
        <v>30</v>
      </c>
      <c r="D2241" s="1">
        <v>0.04</v>
      </c>
      <c r="E2241" s="1">
        <v>0.04</v>
      </c>
      <c r="F2241" s="1">
        <v>0</v>
      </c>
      <c r="G2241" s="1">
        <v>1</v>
      </c>
      <c r="H2241" s="1">
        <v>1.3282345174200001</v>
      </c>
      <c r="I2241" s="1">
        <v>1.49434783913</v>
      </c>
      <c r="J2241" s="1">
        <v>0.63440896285699999</v>
      </c>
      <c r="K2241" s="1">
        <v>2333.9227860699998</v>
      </c>
      <c r="L2241" s="1">
        <v>524.57691116199999</v>
      </c>
      <c r="M2241" s="1" t="s">
        <v>198</v>
      </c>
      <c r="N2241" s="1" t="b">
        <v>1</v>
      </c>
    </row>
    <row r="2242" spans="1:14" ht="19" customHeight="1" x14ac:dyDescent="0.3">
      <c r="A2242">
        <v>2237</v>
      </c>
      <c r="B2242" s="1">
        <v>9</v>
      </c>
      <c r="C2242" s="1">
        <v>30</v>
      </c>
      <c r="D2242" s="1">
        <v>0.04</v>
      </c>
      <c r="E2242" s="1">
        <v>0.04</v>
      </c>
      <c r="F2242" s="1">
        <v>5</v>
      </c>
      <c r="G2242" s="1">
        <v>0</v>
      </c>
      <c r="H2242" s="1">
        <v>1.29868294269</v>
      </c>
      <c r="I2242" s="1">
        <v>1.9481339313399999</v>
      </c>
      <c r="J2242" s="1">
        <v>0.78116946689800004</v>
      </c>
      <c r="K2242" s="1">
        <v>2684.7117027200002</v>
      </c>
      <c r="L2242" s="1">
        <v>645.929502942</v>
      </c>
      <c r="M2242" s="1" t="s">
        <v>198</v>
      </c>
      <c r="N2242" s="1" t="b">
        <v>1</v>
      </c>
    </row>
    <row r="2243" spans="1:14" ht="19" customHeight="1" x14ac:dyDescent="0.3">
      <c r="A2243">
        <v>2238</v>
      </c>
      <c r="B2243" s="1">
        <v>9</v>
      </c>
      <c r="C2243" s="1">
        <v>30</v>
      </c>
      <c r="D2243" s="1">
        <v>0.04</v>
      </c>
      <c r="E2243" s="1">
        <v>0.04</v>
      </c>
      <c r="F2243" s="1">
        <v>5</v>
      </c>
      <c r="G2243" s="1">
        <v>1</v>
      </c>
      <c r="H2243" s="1">
        <v>1.29868294269</v>
      </c>
      <c r="I2243" s="1">
        <v>1.4611004485100001</v>
      </c>
      <c r="J2243" s="1">
        <v>0.64055896285699998</v>
      </c>
      <c r="K2243" s="1">
        <v>2281.9958916</v>
      </c>
      <c r="L2243" s="1">
        <v>529.66219241199997</v>
      </c>
      <c r="M2243" s="1" t="s">
        <v>198</v>
      </c>
      <c r="N2243" s="1" t="b">
        <v>1</v>
      </c>
    </row>
    <row r="2244" spans="1:14" ht="19" customHeight="1" x14ac:dyDescent="0.3">
      <c r="A2244">
        <v>2239</v>
      </c>
      <c r="B2244" s="1">
        <v>9</v>
      </c>
      <c r="C2244" s="1">
        <v>30</v>
      </c>
      <c r="D2244" s="1">
        <v>0.04</v>
      </c>
      <c r="E2244" s="1">
        <v>0.06</v>
      </c>
      <c r="F2244" s="1">
        <v>-5</v>
      </c>
      <c r="G2244" s="1">
        <v>0</v>
      </c>
      <c r="H2244" s="1">
        <v>1.33987875825</v>
      </c>
      <c r="I2244" s="1">
        <v>2.0099276546799998</v>
      </c>
      <c r="J2244" s="1">
        <v>0.78485612432600005</v>
      </c>
      <c r="K2244" s="1">
        <v>2769.87117769</v>
      </c>
      <c r="L2244" s="1">
        <v>648.977907802</v>
      </c>
      <c r="M2244" s="1" t="s">
        <v>198</v>
      </c>
      <c r="N2244" s="1" t="b">
        <v>1</v>
      </c>
    </row>
    <row r="2245" spans="1:14" ht="19" customHeight="1" x14ac:dyDescent="0.3">
      <c r="A2245">
        <v>2240</v>
      </c>
      <c r="B2245" s="1">
        <v>9</v>
      </c>
      <c r="C2245" s="1">
        <v>30</v>
      </c>
      <c r="D2245" s="1">
        <v>0.04</v>
      </c>
      <c r="E2245" s="1">
        <v>0.06</v>
      </c>
      <c r="F2245" s="1">
        <v>-5</v>
      </c>
      <c r="G2245" s="1">
        <v>1</v>
      </c>
      <c r="H2245" s="1">
        <v>1.33987875825</v>
      </c>
      <c r="I2245" s="1">
        <v>1.50744574101</v>
      </c>
      <c r="J2245" s="1">
        <v>0.64358202194699998</v>
      </c>
      <c r="K2245" s="1">
        <v>2354.3814453199998</v>
      </c>
      <c r="L2245" s="1">
        <v>532.16188439799998</v>
      </c>
      <c r="M2245" s="1" t="s">
        <v>198</v>
      </c>
      <c r="N2245" s="1" t="b">
        <v>1</v>
      </c>
    </row>
    <row r="2246" spans="1:14" ht="19" customHeight="1" x14ac:dyDescent="0.3">
      <c r="A2246">
        <v>2241</v>
      </c>
      <c r="B2246" s="1">
        <v>9</v>
      </c>
      <c r="C2246" s="1">
        <v>30</v>
      </c>
      <c r="D2246" s="1">
        <v>0.04</v>
      </c>
      <c r="E2246" s="1">
        <v>0.06</v>
      </c>
      <c r="F2246" s="1">
        <v>0</v>
      </c>
      <c r="G2246" s="1">
        <v>0</v>
      </c>
      <c r="H2246" s="1">
        <v>1.37036774517</v>
      </c>
      <c r="I2246" s="1">
        <v>2.0556636271299999</v>
      </c>
      <c r="J2246" s="1">
        <v>0.77735612432599999</v>
      </c>
      <c r="K2246" s="1">
        <v>2832.8996909699999</v>
      </c>
      <c r="L2246" s="1">
        <v>642.77634530199998</v>
      </c>
      <c r="M2246" s="1" t="s">
        <v>198</v>
      </c>
      <c r="N2246" s="1" t="b">
        <v>1</v>
      </c>
    </row>
    <row r="2247" spans="1:14" ht="19" customHeight="1" x14ac:dyDescent="0.3">
      <c r="A2247">
        <v>2242</v>
      </c>
      <c r="B2247" s="1">
        <v>9</v>
      </c>
      <c r="C2247" s="1">
        <v>30</v>
      </c>
      <c r="D2247" s="1">
        <v>0.04</v>
      </c>
      <c r="E2247" s="1">
        <v>0.06</v>
      </c>
      <c r="F2247" s="1">
        <v>0</v>
      </c>
      <c r="G2247" s="1">
        <v>1</v>
      </c>
      <c r="H2247" s="1">
        <v>1.37036774517</v>
      </c>
      <c r="I2247" s="1">
        <v>1.5417477203500001</v>
      </c>
      <c r="J2247" s="1">
        <v>0.63743202194699999</v>
      </c>
      <c r="K2247" s="1">
        <v>2407.9554755499998</v>
      </c>
      <c r="L2247" s="1">
        <v>527.076603148</v>
      </c>
      <c r="M2247" s="1" t="s">
        <v>198</v>
      </c>
      <c r="N2247" s="1" t="b">
        <v>1</v>
      </c>
    </row>
    <row r="2248" spans="1:14" ht="19" customHeight="1" x14ac:dyDescent="0.3">
      <c r="A2248">
        <v>2243</v>
      </c>
      <c r="B2248" s="1">
        <v>9</v>
      </c>
      <c r="C2248" s="1">
        <v>30</v>
      </c>
      <c r="D2248" s="1">
        <v>0.04</v>
      </c>
      <c r="E2248" s="1">
        <v>0.06</v>
      </c>
      <c r="F2248" s="1">
        <v>5</v>
      </c>
      <c r="G2248" s="1">
        <v>0</v>
      </c>
      <c r="H2248" s="1">
        <v>1.33987875825</v>
      </c>
      <c r="I2248" s="1">
        <v>2.0099276546799998</v>
      </c>
      <c r="J2248" s="1">
        <v>0.78485612432600005</v>
      </c>
      <c r="K2248" s="1">
        <v>2769.87117769</v>
      </c>
      <c r="L2248" s="1">
        <v>648.977907802</v>
      </c>
      <c r="M2248" s="1" t="s">
        <v>198</v>
      </c>
      <c r="N2248" s="1" t="b">
        <v>1</v>
      </c>
    </row>
    <row r="2249" spans="1:14" ht="19" customHeight="1" x14ac:dyDescent="0.3">
      <c r="A2249">
        <v>2244</v>
      </c>
      <c r="B2249" s="1">
        <v>9</v>
      </c>
      <c r="C2249" s="1">
        <v>30</v>
      </c>
      <c r="D2249" s="1">
        <v>0.04</v>
      </c>
      <c r="E2249" s="1">
        <v>0.06</v>
      </c>
      <c r="F2249" s="1">
        <v>5</v>
      </c>
      <c r="G2249" s="1">
        <v>1</v>
      </c>
      <c r="H2249" s="1">
        <v>1.33987875825</v>
      </c>
      <c r="I2249" s="1">
        <v>1.50744574101</v>
      </c>
      <c r="J2249" s="1">
        <v>0.64358202194699998</v>
      </c>
      <c r="K2249" s="1">
        <v>2354.3814453199998</v>
      </c>
      <c r="L2249" s="1">
        <v>532.16188439799998</v>
      </c>
      <c r="M2249" s="1" t="s">
        <v>198</v>
      </c>
      <c r="N2249" s="1" t="b">
        <v>1</v>
      </c>
    </row>
    <row r="2250" spans="1:14" ht="19" customHeight="1" x14ac:dyDescent="0.3">
      <c r="A2250">
        <v>2245</v>
      </c>
      <c r="B2250" s="1">
        <v>9</v>
      </c>
      <c r="C2250" s="1">
        <v>30</v>
      </c>
      <c r="D2250" s="1">
        <v>0.04</v>
      </c>
      <c r="E2250" s="1">
        <v>8.5000000000000006E-2</v>
      </c>
      <c r="F2250" s="1">
        <v>-5</v>
      </c>
      <c r="G2250" s="1">
        <v>0</v>
      </c>
      <c r="H2250" s="1">
        <v>1.2345624402499999</v>
      </c>
      <c r="I2250" s="1">
        <v>1.85195317769</v>
      </c>
      <c r="J2250" s="1">
        <v>0.77543125481499997</v>
      </c>
      <c r="K2250" s="1">
        <v>2552.1626015799998</v>
      </c>
      <c r="L2250" s="1">
        <v>641.18471882599999</v>
      </c>
      <c r="M2250" s="1" t="s">
        <v>198</v>
      </c>
      <c r="N2250" s="1" t="b">
        <v>1</v>
      </c>
    </row>
    <row r="2251" spans="1:14" ht="19" customHeight="1" x14ac:dyDescent="0.3">
      <c r="A2251">
        <v>2246</v>
      </c>
      <c r="B2251" s="1">
        <v>9</v>
      </c>
      <c r="C2251" s="1">
        <v>30</v>
      </c>
      <c r="D2251" s="1">
        <v>0.04</v>
      </c>
      <c r="E2251" s="1">
        <v>8.5000000000000006E-2</v>
      </c>
      <c r="F2251" s="1">
        <v>-5</v>
      </c>
      <c r="G2251" s="1">
        <v>1</v>
      </c>
      <c r="H2251" s="1">
        <v>1.2345624402499999</v>
      </c>
      <c r="I2251" s="1">
        <v>1.3889648832599999</v>
      </c>
      <c r="J2251" s="1">
        <v>0.63585362894899999</v>
      </c>
      <c r="K2251" s="1">
        <v>2169.3291556300001</v>
      </c>
      <c r="L2251" s="1">
        <v>525.77146943699995</v>
      </c>
      <c r="M2251" s="1" t="s">
        <v>198</v>
      </c>
      <c r="N2251" s="1" t="b">
        <v>1</v>
      </c>
    </row>
    <row r="2252" spans="1:14" ht="19" customHeight="1" x14ac:dyDescent="0.3">
      <c r="A2252">
        <v>2247</v>
      </c>
      <c r="B2252" s="1">
        <v>9</v>
      </c>
      <c r="C2252" s="1">
        <v>30</v>
      </c>
      <c r="D2252" s="1">
        <v>0.04</v>
      </c>
      <c r="E2252" s="1">
        <v>8.5000000000000006E-2</v>
      </c>
      <c r="F2252" s="1">
        <v>0</v>
      </c>
      <c r="G2252" s="1">
        <v>0</v>
      </c>
      <c r="H2252" s="1">
        <v>1.26265495076</v>
      </c>
      <c r="I2252" s="1">
        <v>1.89409443552</v>
      </c>
      <c r="J2252" s="1">
        <v>0.76793125481500002</v>
      </c>
      <c r="K2252" s="1">
        <v>2610.2371487700002</v>
      </c>
      <c r="L2252" s="1">
        <v>634.98315632599997</v>
      </c>
      <c r="M2252" s="1" t="s">
        <v>198</v>
      </c>
      <c r="N2252" s="1" t="b">
        <v>1</v>
      </c>
    </row>
    <row r="2253" spans="1:14" ht="19" customHeight="1" x14ac:dyDescent="0.3">
      <c r="A2253">
        <v>2248</v>
      </c>
      <c r="B2253" s="1">
        <v>9</v>
      </c>
      <c r="C2253" s="1">
        <v>30</v>
      </c>
      <c r="D2253" s="1">
        <v>0.04</v>
      </c>
      <c r="E2253" s="1">
        <v>8.5000000000000006E-2</v>
      </c>
      <c r="F2253" s="1">
        <v>0</v>
      </c>
      <c r="G2253" s="1">
        <v>1</v>
      </c>
      <c r="H2253" s="1">
        <v>1.26265495076</v>
      </c>
      <c r="I2253" s="1">
        <v>1.4205708266399999</v>
      </c>
      <c r="J2253" s="1">
        <v>0.629703628949</v>
      </c>
      <c r="K2253" s="1">
        <v>2218.69231468</v>
      </c>
      <c r="L2253" s="1">
        <v>520.68618818699997</v>
      </c>
      <c r="M2253" s="1" t="s">
        <v>198</v>
      </c>
      <c r="N2253" s="1" t="b">
        <v>1</v>
      </c>
    </row>
    <row r="2254" spans="1:14" ht="19" customHeight="1" x14ac:dyDescent="0.3">
      <c r="A2254">
        <v>2249</v>
      </c>
      <c r="B2254" s="1">
        <v>9</v>
      </c>
      <c r="C2254" s="1">
        <v>30</v>
      </c>
      <c r="D2254" s="1">
        <v>0.04</v>
      </c>
      <c r="E2254" s="1">
        <v>8.5000000000000006E-2</v>
      </c>
      <c r="F2254" s="1">
        <v>5</v>
      </c>
      <c r="G2254" s="1">
        <v>0</v>
      </c>
      <c r="H2254" s="1">
        <v>1.2345624402499999</v>
      </c>
      <c r="I2254" s="1">
        <v>1.85195317769</v>
      </c>
      <c r="J2254" s="1">
        <v>0.77543125481499997</v>
      </c>
      <c r="K2254" s="1">
        <v>2552.1626015799998</v>
      </c>
      <c r="L2254" s="1">
        <v>641.18471882599999</v>
      </c>
      <c r="M2254" s="1" t="s">
        <v>198</v>
      </c>
      <c r="N2254" s="1" t="b">
        <v>1</v>
      </c>
    </row>
    <row r="2255" spans="1:14" ht="19" customHeight="1" x14ac:dyDescent="0.3">
      <c r="A2255">
        <v>2250</v>
      </c>
      <c r="B2255" s="1">
        <v>9</v>
      </c>
      <c r="C2255" s="1">
        <v>30</v>
      </c>
      <c r="D2255" s="1">
        <v>0.04</v>
      </c>
      <c r="E2255" s="1">
        <v>8.5000000000000006E-2</v>
      </c>
      <c r="F2255" s="1">
        <v>5</v>
      </c>
      <c r="G2255" s="1">
        <v>1</v>
      </c>
      <c r="H2255" s="1">
        <v>1.2345624402499999</v>
      </c>
      <c r="I2255" s="1">
        <v>1.3889648832599999</v>
      </c>
      <c r="J2255" s="1">
        <v>0.63585362894899999</v>
      </c>
      <c r="K2255" s="1">
        <v>2169.3291556300001</v>
      </c>
      <c r="L2255" s="1">
        <v>525.77146943699995</v>
      </c>
      <c r="M2255" s="1" t="s">
        <v>198</v>
      </c>
      <c r="N2255" s="1" t="b">
        <v>1</v>
      </c>
    </row>
    <row r="2256" spans="1:14" ht="19" customHeight="1" x14ac:dyDescent="0.3">
      <c r="A2256">
        <v>2251</v>
      </c>
      <c r="B2256" s="1">
        <v>9</v>
      </c>
      <c r="C2256" s="1">
        <v>30</v>
      </c>
      <c r="D2256" s="1">
        <v>5.5E-2</v>
      </c>
      <c r="E2256" s="1">
        <v>0.04</v>
      </c>
      <c r="F2256" s="1">
        <v>-5</v>
      </c>
      <c r="G2256" s="1">
        <v>0</v>
      </c>
      <c r="H2256" s="1">
        <v>1.1587978406299999</v>
      </c>
      <c r="I2256" s="1">
        <v>1.7383062782500001</v>
      </c>
      <c r="J2256" s="1">
        <v>0.768651000069</v>
      </c>
      <c r="K2256" s="1">
        <v>2395.5429682899999</v>
      </c>
      <c r="L2256" s="1">
        <v>635.57829568199998</v>
      </c>
      <c r="M2256" s="1" t="s">
        <v>198</v>
      </c>
      <c r="N2256" s="1" t="b">
        <v>1</v>
      </c>
    </row>
    <row r="2257" spans="1:14" ht="19" customHeight="1" x14ac:dyDescent="0.3">
      <c r="A2257">
        <v>2252</v>
      </c>
      <c r="B2257" s="1">
        <v>9</v>
      </c>
      <c r="C2257" s="1">
        <v>30</v>
      </c>
      <c r="D2257" s="1">
        <v>5.5E-2</v>
      </c>
      <c r="E2257" s="1">
        <v>0.04</v>
      </c>
      <c r="F2257" s="1">
        <v>-5</v>
      </c>
      <c r="G2257" s="1">
        <v>1</v>
      </c>
      <c r="H2257" s="1">
        <v>1.1587978406299999</v>
      </c>
      <c r="I2257" s="1">
        <v>1.3037297086899999</v>
      </c>
      <c r="J2257" s="1">
        <v>0.63029382005599999</v>
      </c>
      <c r="K2257" s="1">
        <v>2036.2024673400001</v>
      </c>
      <c r="L2257" s="1">
        <v>521.17420245899996</v>
      </c>
      <c r="M2257" s="1" t="s">
        <v>198</v>
      </c>
      <c r="N2257" s="1" t="b">
        <v>1</v>
      </c>
    </row>
    <row r="2258" spans="1:14" ht="19" customHeight="1" x14ac:dyDescent="0.3">
      <c r="A2258">
        <v>2253</v>
      </c>
      <c r="B2258" s="1">
        <v>9</v>
      </c>
      <c r="C2258" s="1">
        <v>30</v>
      </c>
      <c r="D2258" s="1">
        <v>5.5E-2</v>
      </c>
      <c r="E2258" s="1">
        <v>0.04</v>
      </c>
      <c r="F2258" s="1">
        <v>0</v>
      </c>
      <c r="G2258" s="1">
        <v>0</v>
      </c>
      <c r="H2258" s="1">
        <v>1.18516632508</v>
      </c>
      <c r="I2258" s="1">
        <v>1.777861497</v>
      </c>
      <c r="J2258" s="1">
        <v>0.76115100006900005</v>
      </c>
      <c r="K2258" s="1">
        <v>2450.05363038</v>
      </c>
      <c r="L2258" s="1">
        <v>629.37673318199995</v>
      </c>
      <c r="M2258" s="1" t="s">
        <v>198</v>
      </c>
      <c r="N2258" s="1" t="b">
        <v>1</v>
      </c>
    </row>
    <row r="2259" spans="1:14" ht="19" customHeight="1" x14ac:dyDescent="0.3">
      <c r="A2259">
        <v>2254</v>
      </c>
      <c r="B2259" s="1">
        <v>9</v>
      </c>
      <c r="C2259" s="1">
        <v>30</v>
      </c>
      <c r="D2259" s="1">
        <v>5.5E-2</v>
      </c>
      <c r="E2259" s="1">
        <v>0.04</v>
      </c>
      <c r="F2259" s="1">
        <v>0</v>
      </c>
      <c r="G2259" s="1">
        <v>1</v>
      </c>
      <c r="H2259" s="1">
        <v>1.18516632508</v>
      </c>
      <c r="I2259" s="1">
        <v>1.33339612275</v>
      </c>
      <c r="J2259" s="1">
        <v>0.624143820056</v>
      </c>
      <c r="K2259" s="1">
        <v>2082.5363240500001</v>
      </c>
      <c r="L2259" s="1">
        <v>516.08892120899998</v>
      </c>
      <c r="M2259" s="1" t="s">
        <v>198</v>
      </c>
      <c r="N2259" s="1" t="b">
        <v>1</v>
      </c>
    </row>
    <row r="2260" spans="1:14" ht="19" customHeight="1" x14ac:dyDescent="0.3">
      <c r="A2260">
        <v>2255</v>
      </c>
      <c r="B2260" s="1">
        <v>9</v>
      </c>
      <c r="C2260" s="1">
        <v>30</v>
      </c>
      <c r="D2260" s="1">
        <v>5.5E-2</v>
      </c>
      <c r="E2260" s="1">
        <v>0.04</v>
      </c>
      <c r="F2260" s="1">
        <v>5</v>
      </c>
      <c r="G2260" s="1">
        <v>0</v>
      </c>
      <c r="H2260" s="1">
        <v>1.1587978406299999</v>
      </c>
      <c r="I2260" s="1">
        <v>1.7383062782500001</v>
      </c>
      <c r="J2260" s="1">
        <v>0.768651000069</v>
      </c>
      <c r="K2260" s="1">
        <v>2395.5429682899999</v>
      </c>
      <c r="L2260" s="1">
        <v>635.57829568199998</v>
      </c>
      <c r="M2260" s="1" t="s">
        <v>198</v>
      </c>
      <c r="N2260" s="1" t="b">
        <v>1</v>
      </c>
    </row>
    <row r="2261" spans="1:14" ht="19" customHeight="1" x14ac:dyDescent="0.3">
      <c r="A2261">
        <v>2256</v>
      </c>
      <c r="B2261" s="1">
        <v>9</v>
      </c>
      <c r="C2261" s="1">
        <v>30</v>
      </c>
      <c r="D2261" s="1">
        <v>5.5E-2</v>
      </c>
      <c r="E2261" s="1">
        <v>0.04</v>
      </c>
      <c r="F2261" s="1">
        <v>5</v>
      </c>
      <c r="G2261" s="1">
        <v>1</v>
      </c>
      <c r="H2261" s="1">
        <v>1.1587978406299999</v>
      </c>
      <c r="I2261" s="1">
        <v>1.3037297086899999</v>
      </c>
      <c r="J2261" s="1">
        <v>0.63029382005599999</v>
      </c>
      <c r="K2261" s="1">
        <v>2036.2024673400001</v>
      </c>
      <c r="L2261" s="1">
        <v>521.17420245899996</v>
      </c>
      <c r="M2261" s="1" t="s">
        <v>198</v>
      </c>
      <c r="N2261" s="1" t="b">
        <v>1</v>
      </c>
    </row>
    <row r="2262" spans="1:14" ht="19" customHeight="1" x14ac:dyDescent="0.3">
      <c r="A2262">
        <v>2257</v>
      </c>
      <c r="B2262" s="1">
        <v>9</v>
      </c>
      <c r="C2262" s="1">
        <v>30</v>
      </c>
      <c r="D2262" s="1">
        <v>5.5E-2</v>
      </c>
      <c r="E2262" s="1">
        <v>0.06</v>
      </c>
      <c r="F2262" s="1">
        <v>-5</v>
      </c>
      <c r="G2262" s="1">
        <v>0</v>
      </c>
      <c r="H2262" s="1">
        <v>1.1864274403299999</v>
      </c>
      <c r="I2262" s="1">
        <v>1.7797506778100001</v>
      </c>
      <c r="J2262" s="1">
        <v>0.771123602385</v>
      </c>
      <c r="K2262" s="1">
        <v>2452.6585314399999</v>
      </c>
      <c r="L2262" s="1">
        <v>637.62282872200001</v>
      </c>
      <c r="M2262" s="1" t="s">
        <v>198</v>
      </c>
      <c r="N2262" s="1" t="b">
        <v>1</v>
      </c>
    </row>
    <row r="2263" spans="1:14" ht="19" customHeight="1" x14ac:dyDescent="0.3">
      <c r="A2263">
        <v>2258</v>
      </c>
      <c r="B2263" s="1">
        <v>9</v>
      </c>
      <c r="C2263" s="1">
        <v>30</v>
      </c>
      <c r="D2263" s="1">
        <v>5.5E-2</v>
      </c>
      <c r="E2263" s="1">
        <v>0.06</v>
      </c>
      <c r="F2263" s="1">
        <v>-5</v>
      </c>
      <c r="G2263" s="1">
        <v>1</v>
      </c>
      <c r="H2263" s="1">
        <v>1.1864274403299999</v>
      </c>
      <c r="I2263" s="1">
        <v>1.3348130083600001</v>
      </c>
      <c r="J2263" s="1">
        <v>0.63232135395599998</v>
      </c>
      <c r="K2263" s="1">
        <v>2084.75069601</v>
      </c>
      <c r="L2263" s="1">
        <v>522.85071955199999</v>
      </c>
      <c r="M2263" s="1" t="s">
        <v>198</v>
      </c>
      <c r="N2263" s="1" t="b">
        <v>1</v>
      </c>
    </row>
    <row r="2264" spans="1:14" ht="19" customHeight="1" x14ac:dyDescent="0.3">
      <c r="A2264">
        <v>2259</v>
      </c>
      <c r="B2264" s="1">
        <v>9</v>
      </c>
      <c r="C2264" s="1">
        <v>30</v>
      </c>
      <c r="D2264" s="1">
        <v>5.5E-2</v>
      </c>
      <c r="E2264" s="1">
        <v>0.06</v>
      </c>
      <c r="F2264" s="1">
        <v>0</v>
      </c>
      <c r="G2264" s="1">
        <v>0</v>
      </c>
      <c r="H2264" s="1">
        <v>1.2134246372699999</v>
      </c>
      <c r="I2264" s="1">
        <v>1.82024896529</v>
      </c>
      <c r="J2264" s="1">
        <v>0.76362360238500004</v>
      </c>
      <c r="K2264" s="1">
        <v>2508.46886012</v>
      </c>
      <c r="L2264" s="1">
        <v>631.42126622199999</v>
      </c>
      <c r="M2264" s="1" t="s">
        <v>198</v>
      </c>
      <c r="N2264" s="1" t="b">
        <v>1</v>
      </c>
    </row>
    <row r="2265" spans="1:14" ht="19" customHeight="1" x14ac:dyDescent="0.3">
      <c r="A2265">
        <v>2260</v>
      </c>
      <c r="B2265" s="1">
        <v>9</v>
      </c>
      <c r="C2265" s="1">
        <v>30</v>
      </c>
      <c r="D2265" s="1">
        <v>5.5E-2</v>
      </c>
      <c r="E2265" s="1">
        <v>0.06</v>
      </c>
      <c r="F2265" s="1">
        <v>0</v>
      </c>
      <c r="G2265" s="1">
        <v>1</v>
      </c>
      <c r="H2265" s="1">
        <v>1.2134246372699999</v>
      </c>
      <c r="I2265" s="1">
        <v>1.36518672396</v>
      </c>
      <c r="J2265" s="1">
        <v>0.62617135395599999</v>
      </c>
      <c r="K2265" s="1">
        <v>2132.1892693200002</v>
      </c>
      <c r="L2265" s="1">
        <v>517.76543830200001</v>
      </c>
      <c r="M2265" s="1" t="s">
        <v>198</v>
      </c>
      <c r="N2265" s="1" t="b">
        <v>1</v>
      </c>
    </row>
    <row r="2266" spans="1:14" ht="19" customHeight="1" x14ac:dyDescent="0.3">
      <c r="A2266">
        <v>2261</v>
      </c>
      <c r="B2266" s="1">
        <v>9</v>
      </c>
      <c r="C2266" s="1">
        <v>30</v>
      </c>
      <c r="D2266" s="1">
        <v>5.5E-2</v>
      </c>
      <c r="E2266" s="1">
        <v>0.06</v>
      </c>
      <c r="F2266" s="1">
        <v>5</v>
      </c>
      <c r="G2266" s="1">
        <v>0</v>
      </c>
      <c r="H2266" s="1">
        <v>1.1864274403299999</v>
      </c>
      <c r="I2266" s="1">
        <v>1.7797506778100001</v>
      </c>
      <c r="J2266" s="1">
        <v>0.771123602385</v>
      </c>
      <c r="K2266" s="1">
        <v>2452.6585314399999</v>
      </c>
      <c r="L2266" s="1">
        <v>637.62282872200001</v>
      </c>
      <c r="M2266" s="1" t="s">
        <v>198</v>
      </c>
      <c r="N2266" s="1" t="b">
        <v>1</v>
      </c>
    </row>
    <row r="2267" spans="1:14" ht="19" customHeight="1" x14ac:dyDescent="0.3">
      <c r="A2267">
        <v>2262</v>
      </c>
      <c r="B2267" s="1">
        <v>9</v>
      </c>
      <c r="C2267" s="1">
        <v>30</v>
      </c>
      <c r="D2267" s="1">
        <v>5.5E-2</v>
      </c>
      <c r="E2267" s="1">
        <v>0.06</v>
      </c>
      <c r="F2267" s="1">
        <v>5</v>
      </c>
      <c r="G2267" s="1">
        <v>1</v>
      </c>
      <c r="H2267" s="1">
        <v>1.1864274403299999</v>
      </c>
      <c r="I2267" s="1">
        <v>1.3348130083600001</v>
      </c>
      <c r="J2267" s="1">
        <v>0.63232135395599998</v>
      </c>
      <c r="K2267" s="1">
        <v>2084.75069601</v>
      </c>
      <c r="L2267" s="1">
        <v>522.85071955199999</v>
      </c>
      <c r="M2267" s="1" t="s">
        <v>198</v>
      </c>
      <c r="N2267" s="1" t="b">
        <v>1</v>
      </c>
    </row>
    <row r="2268" spans="1:14" ht="19" customHeight="1" x14ac:dyDescent="0.3">
      <c r="A2268">
        <v>2263</v>
      </c>
      <c r="B2268" s="1">
        <v>9</v>
      </c>
      <c r="C2268" s="1">
        <v>30</v>
      </c>
      <c r="D2268" s="1">
        <v>5.5E-2</v>
      </c>
      <c r="E2268" s="1">
        <v>8.5000000000000006E-2</v>
      </c>
      <c r="F2268" s="1">
        <v>-5</v>
      </c>
      <c r="G2268" s="1">
        <v>0</v>
      </c>
      <c r="H2268" s="1">
        <v>1.11579289482</v>
      </c>
      <c r="I2268" s="1">
        <v>1.67379885954</v>
      </c>
      <c r="J2268" s="1">
        <v>0.76480244164699995</v>
      </c>
      <c r="K2268" s="1">
        <v>2306.6436818900002</v>
      </c>
      <c r="L2268" s="1">
        <v>632.39601893700001</v>
      </c>
      <c r="M2268" s="1" t="s">
        <v>198</v>
      </c>
      <c r="N2268" s="1" t="b">
        <v>1</v>
      </c>
    </row>
    <row r="2269" spans="1:14" ht="19" customHeight="1" x14ac:dyDescent="0.3">
      <c r="A2269">
        <v>2264</v>
      </c>
      <c r="B2269" s="1">
        <v>9</v>
      </c>
      <c r="C2269" s="1">
        <v>30</v>
      </c>
      <c r="D2269" s="1">
        <v>5.5E-2</v>
      </c>
      <c r="E2269" s="1">
        <v>8.5000000000000006E-2</v>
      </c>
      <c r="F2269" s="1">
        <v>-5</v>
      </c>
      <c r="G2269" s="1">
        <v>1</v>
      </c>
      <c r="H2269" s="1">
        <v>1.11579289482</v>
      </c>
      <c r="I2269" s="1">
        <v>1.25534914466</v>
      </c>
      <c r="J2269" s="1">
        <v>0.62713800215100002</v>
      </c>
      <c r="K2269" s="1">
        <v>1960.63807389</v>
      </c>
      <c r="L2269" s="1">
        <v>518.56473552800003</v>
      </c>
      <c r="M2269" s="1" t="s">
        <v>198</v>
      </c>
      <c r="N2269" s="1" t="b">
        <v>1</v>
      </c>
    </row>
    <row r="2270" spans="1:14" ht="19" customHeight="1" x14ac:dyDescent="0.3">
      <c r="A2270">
        <v>2265</v>
      </c>
      <c r="B2270" s="1">
        <v>9</v>
      </c>
      <c r="C2270" s="1">
        <v>30</v>
      </c>
      <c r="D2270" s="1">
        <v>5.5E-2</v>
      </c>
      <c r="E2270" s="1">
        <v>8.5000000000000006E-2</v>
      </c>
      <c r="F2270" s="1">
        <v>0</v>
      </c>
      <c r="G2270" s="1">
        <v>0</v>
      </c>
      <c r="H2270" s="1">
        <v>1.14118280026</v>
      </c>
      <c r="I2270" s="1">
        <v>1.7118862097700001</v>
      </c>
      <c r="J2270" s="1">
        <v>0.757302441647</v>
      </c>
      <c r="K2270" s="1">
        <v>2359.1314376700002</v>
      </c>
      <c r="L2270" s="1">
        <v>626.19445643699999</v>
      </c>
      <c r="M2270" s="1" t="s">
        <v>198</v>
      </c>
      <c r="N2270" s="1" t="b">
        <v>1</v>
      </c>
    </row>
    <row r="2271" spans="1:14" ht="19" customHeight="1" x14ac:dyDescent="0.3">
      <c r="A2271">
        <v>2266</v>
      </c>
      <c r="B2271" s="1">
        <v>9</v>
      </c>
      <c r="C2271" s="1">
        <v>30</v>
      </c>
      <c r="D2271" s="1">
        <v>5.5E-2</v>
      </c>
      <c r="E2271" s="1">
        <v>8.5000000000000006E-2</v>
      </c>
      <c r="F2271" s="1">
        <v>0</v>
      </c>
      <c r="G2271" s="1">
        <v>1</v>
      </c>
      <c r="H2271" s="1">
        <v>1.14118280026</v>
      </c>
      <c r="I2271" s="1">
        <v>1.28391465733</v>
      </c>
      <c r="J2271" s="1">
        <v>0.62098800215100003</v>
      </c>
      <c r="K2271" s="1">
        <v>2005.25246025</v>
      </c>
      <c r="L2271" s="1">
        <v>513.47945427800005</v>
      </c>
      <c r="M2271" s="1" t="s">
        <v>198</v>
      </c>
      <c r="N2271" s="1" t="b">
        <v>1</v>
      </c>
    </row>
    <row r="2272" spans="1:14" ht="19" customHeight="1" x14ac:dyDescent="0.3">
      <c r="A2272">
        <v>2267</v>
      </c>
      <c r="B2272" s="1">
        <v>9</v>
      </c>
      <c r="C2272" s="1">
        <v>30</v>
      </c>
      <c r="D2272" s="1">
        <v>5.5E-2</v>
      </c>
      <c r="E2272" s="1">
        <v>8.5000000000000006E-2</v>
      </c>
      <c r="F2272" s="1">
        <v>5</v>
      </c>
      <c r="G2272" s="1">
        <v>0</v>
      </c>
      <c r="H2272" s="1">
        <v>1.11579289482</v>
      </c>
      <c r="I2272" s="1">
        <v>1.67379885954</v>
      </c>
      <c r="J2272" s="1">
        <v>0.76480244164699995</v>
      </c>
      <c r="K2272" s="1">
        <v>2306.6436818900002</v>
      </c>
      <c r="L2272" s="1">
        <v>632.39601893700001</v>
      </c>
      <c r="M2272" s="1" t="s">
        <v>198</v>
      </c>
      <c r="N2272" s="1" t="b">
        <v>1</v>
      </c>
    </row>
    <row r="2273" spans="1:14" ht="19" customHeight="1" x14ac:dyDescent="0.3">
      <c r="A2273">
        <v>2268</v>
      </c>
      <c r="B2273" s="1">
        <v>9</v>
      </c>
      <c r="C2273" s="1">
        <v>30</v>
      </c>
      <c r="D2273" s="1">
        <v>5.5E-2</v>
      </c>
      <c r="E2273" s="1">
        <v>8.5000000000000006E-2</v>
      </c>
      <c r="F2273" s="1">
        <v>5</v>
      </c>
      <c r="G2273" s="1">
        <v>1</v>
      </c>
      <c r="H2273" s="1">
        <v>1.11579289482</v>
      </c>
      <c r="I2273" s="1">
        <v>1.25534914466</v>
      </c>
      <c r="J2273" s="1">
        <v>0.62713800215100002</v>
      </c>
      <c r="K2273" s="1">
        <v>1960.63807389</v>
      </c>
      <c r="L2273" s="1">
        <v>518.56473552800003</v>
      </c>
      <c r="M2273" s="1" t="s">
        <v>198</v>
      </c>
      <c r="N2273" s="1" t="b">
        <v>1</v>
      </c>
    </row>
    <row r="2274" spans="1:14" ht="19" customHeight="1" x14ac:dyDescent="0.3">
      <c r="A2274">
        <v>2269</v>
      </c>
      <c r="B2274" s="1">
        <v>9</v>
      </c>
      <c r="C2274" s="1">
        <v>50</v>
      </c>
      <c r="D2274" s="1">
        <v>2.5000000000000001E-2</v>
      </c>
      <c r="E2274" s="1">
        <v>0.04</v>
      </c>
      <c r="F2274" s="1">
        <v>-5</v>
      </c>
      <c r="G2274" s="1">
        <v>0</v>
      </c>
      <c r="H2274" s="1">
        <v>1.29269412924</v>
      </c>
      <c r="I2274" s="1">
        <v>1.9391507111599999</v>
      </c>
      <c r="J2274" s="1">
        <v>0.78063352160099997</v>
      </c>
      <c r="K2274" s="1">
        <v>7423.1436178000004</v>
      </c>
      <c r="L2274" s="1">
        <v>1793.0176199299999</v>
      </c>
      <c r="M2274" s="1" t="s">
        <v>198</v>
      </c>
      <c r="N2274" s="1" t="b">
        <v>1</v>
      </c>
    </row>
    <row r="2275" spans="1:14" ht="19" customHeight="1" x14ac:dyDescent="0.3">
      <c r="A2275">
        <v>2270</v>
      </c>
      <c r="B2275" s="1">
        <v>9</v>
      </c>
      <c r="C2275" s="1">
        <v>50</v>
      </c>
      <c r="D2275" s="1">
        <v>2.5000000000000001E-2</v>
      </c>
      <c r="E2275" s="1">
        <v>0.04</v>
      </c>
      <c r="F2275" s="1">
        <v>-5</v>
      </c>
      <c r="G2275" s="1">
        <v>1</v>
      </c>
      <c r="H2275" s="1">
        <v>1.29269412924</v>
      </c>
      <c r="I2275" s="1">
        <v>1.4543630333699999</v>
      </c>
      <c r="J2275" s="1">
        <v>0.64011948771299998</v>
      </c>
      <c r="K2275" s="1">
        <v>6309.6469203699999</v>
      </c>
      <c r="L2275" s="1">
        <v>1470.2744483399999</v>
      </c>
      <c r="M2275" s="1" t="s">
        <v>198</v>
      </c>
      <c r="N2275" s="1" t="b">
        <v>1</v>
      </c>
    </row>
    <row r="2276" spans="1:14" ht="19" customHeight="1" x14ac:dyDescent="0.3">
      <c r="A2276">
        <v>2271</v>
      </c>
      <c r="B2276" s="1">
        <v>9</v>
      </c>
      <c r="C2276" s="1">
        <v>50</v>
      </c>
      <c r="D2276" s="1">
        <v>2.5000000000000001E-2</v>
      </c>
      <c r="E2276" s="1">
        <v>0.04</v>
      </c>
      <c r="F2276" s="1">
        <v>0</v>
      </c>
      <c r="G2276" s="1">
        <v>0</v>
      </c>
      <c r="H2276" s="1">
        <v>1.3221094283099999</v>
      </c>
      <c r="I2276" s="1">
        <v>1.9832761518499999</v>
      </c>
      <c r="J2276" s="1">
        <v>0.77313352160100002</v>
      </c>
      <c r="K2276" s="1">
        <v>7592.0575044300003</v>
      </c>
      <c r="L2276" s="1">
        <v>1775.7910574299999</v>
      </c>
      <c r="M2276" s="1" t="s">
        <v>198</v>
      </c>
      <c r="N2276" s="1" t="b">
        <v>1</v>
      </c>
    </row>
    <row r="2277" spans="1:14" ht="19" customHeight="1" x14ac:dyDescent="0.3">
      <c r="A2277">
        <v>2272</v>
      </c>
      <c r="B2277" s="1">
        <v>9</v>
      </c>
      <c r="C2277" s="1">
        <v>50</v>
      </c>
      <c r="D2277" s="1">
        <v>2.5000000000000001E-2</v>
      </c>
      <c r="E2277" s="1">
        <v>0.04</v>
      </c>
      <c r="F2277" s="1">
        <v>0</v>
      </c>
      <c r="G2277" s="1">
        <v>1</v>
      </c>
      <c r="H2277" s="1">
        <v>1.3221094283099999</v>
      </c>
      <c r="I2277" s="1">
        <v>1.4874571138899999</v>
      </c>
      <c r="J2277" s="1">
        <v>0.63396948771299999</v>
      </c>
      <c r="K2277" s="1">
        <v>6453.2231516100001</v>
      </c>
      <c r="L2277" s="1">
        <v>1456.1486670899999</v>
      </c>
      <c r="M2277" s="1" t="s">
        <v>198</v>
      </c>
      <c r="N2277" s="1" t="b">
        <v>1</v>
      </c>
    </row>
    <row r="2278" spans="1:14" ht="19" customHeight="1" x14ac:dyDescent="0.3">
      <c r="A2278">
        <v>2273</v>
      </c>
      <c r="B2278" s="1">
        <v>9</v>
      </c>
      <c r="C2278" s="1">
        <v>50</v>
      </c>
      <c r="D2278" s="1">
        <v>2.5000000000000001E-2</v>
      </c>
      <c r="E2278" s="1">
        <v>0.04</v>
      </c>
      <c r="F2278" s="1">
        <v>5</v>
      </c>
      <c r="G2278" s="1">
        <v>0</v>
      </c>
      <c r="H2278" s="1">
        <v>1.29269412924</v>
      </c>
      <c r="I2278" s="1">
        <v>1.9391507111599999</v>
      </c>
      <c r="J2278" s="1">
        <v>0.78063352160099997</v>
      </c>
      <c r="K2278" s="1">
        <v>7423.1436178000004</v>
      </c>
      <c r="L2278" s="1">
        <v>1793.0176199299999</v>
      </c>
      <c r="M2278" s="1" t="s">
        <v>198</v>
      </c>
      <c r="N2278" s="1" t="b">
        <v>1</v>
      </c>
    </row>
    <row r="2279" spans="1:14" ht="19" customHeight="1" x14ac:dyDescent="0.3">
      <c r="A2279">
        <v>2274</v>
      </c>
      <c r="B2279" s="1">
        <v>9</v>
      </c>
      <c r="C2279" s="1">
        <v>50</v>
      </c>
      <c r="D2279" s="1">
        <v>2.5000000000000001E-2</v>
      </c>
      <c r="E2279" s="1">
        <v>0.04</v>
      </c>
      <c r="F2279" s="1">
        <v>5</v>
      </c>
      <c r="G2279" s="1">
        <v>1</v>
      </c>
      <c r="H2279" s="1">
        <v>1.29269412924</v>
      </c>
      <c r="I2279" s="1">
        <v>1.4543630333699999</v>
      </c>
      <c r="J2279" s="1">
        <v>0.64011948771299998</v>
      </c>
      <c r="K2279" s="1">
        <v>6309.6469203699999</v>
      </c>
      <c r="L2279" s="1">
        <v>1470.2744483399999</v>
      </c>
      <c r="M2279" s="1" t="s">
        <v>198</v>
      </c>
      <c r="N2279" s="1" t="b">
        <v>1</v>
      </c>
    </row>
    <row r="2280" spans="1:14" ht="19" customHeight="1" x14ac:dyDescent="0.3">
      <c r="A2280">
        <v>2275</v>
      </c>
      <c r="B2280" s="1">
        <v>9</v>
      </c>
      <c r="C2280" s="1">
        <v>50</v>
      </c>
      <c r="D2280" s="1">
        <v>2.5000000000000001E-2</v>
      </c>
      <c r="E2280" s="1">
        <v>0.06</v>
      </c>
      <c r="F2280" s="1">
        <v>-5</v>
      </c>
      <c r="G2280" s="1">
        <v>0</v>
      </c>
      <c r="H2280" s="1">
        <v>1.3333091428699999</v>
      </c>
      <c r="I2280" s="1">
        <v>2.0000732316200001</v>
      </c>
      <c r="J2280" s="1">
        <v>0.78426820244700002</v>
      </c>
      <c r="K2280" s="1">
        <v>7656.3626414099999</v>
      </c>
      <c r="L2280" s="1">
        <v>1801.3660274900001</v>
      </c>
      <c r="M2280" s="1" t="s">
        <v>198</v>
      </c>
      <c r="N2280" s="1" t="b">
        <v>1</v>
      </c>
    </row>
    <row r="2281" spans="1:14" ht="19" customHeight="1" x14ac:dyDescent="0.3">
      <c r="A2281">
        <v>2276</v>
      </c>
      <c r="B2281" s="1">
        <v>9</v>
      </c>
      <c r="C2281" s="1">
        <v>50</v>
      </c>
      <c r="D2281" s="1">
        <v>2.5000000000000001E-2</v>
      </c>
      <c r="E2281" s="1">
        <v>0.06</v>
      </c>
      <c r="F2281" s="1">
        <v>-5</v>
      </c>
      <c r="G2281" s="1">
        <v>1</v>
      </c>
      <c r="H2281" s="1">
        <v>1.3333091428699999</v>
      </c>
      <c r="I2281" s="1">
        <v>1.50005492371</v>
      </c>
      <c r="J2281" s="1">
        <v>0.64309992600599997</v>
      </c>
      <c r="K2281" s="1">
        <v>6507.8830904400002</v>
      </c>
      <c r="L2281" s="1">
        <v>1477.1201425500001</v>
      </c>
      <c r="M2281" s="1" t="s">
        <v>198</v>
      </c>
      <c r="N2281" s="1" t="b">
        <v>1</v>
      </c>
    </row>
    <row r="2282" spans="1:14" ht="19" customHeight="1" x14ac:dyDescent="0.3">
      <c r="A2282">
        <v>2277</v>
      </c>
      <c r="B2282" s="1">
        <v>9</v>
      </c>
      <c r="C2282" s="1">
        <v>50</v>
      </c>
      <c r="D2282" s="1">
        <v>2.5000000000000001E-2</v>
      </c>
      <c r="E2282" s="1">
        <v>0.06</v>
      </c>
      <c r="F2282" s="1">
        <v>0</v>
      </c>
      <c r="G2282" s="1">
        <v>0</v>
      </c>
      <c r="H2282" s="1">
        <v>1.3636486379699999</v>
      </c>
      <c r="I2282" s="1">
        <v>2.0455849663299999</v>
      </c>
      <c r="J2282" s="1">
        <v>0.77676820244699996</v>
      </c>
      <c r="K2282" s="1">
        <v>7830.5834348899998</v>
      </c>
      <c r="L2282" s="1">
        <v>1784.1394649900001</v>
      </c>
      <c r="M2282" s="1" t="s">
        <v>198</v>
      </c>
      <c r="N2282" s="1" t="b">
        <v>1</v>
      </c>
    </row>
    <row r="2283" spans="1:14" ht="19" customHeight="1" x14ac:dyDescent="0.3">
      <c r="A2283">
        <v>2278</v>
      </c>
      <c r="B2283" s="1">
        <v>9</v>
      </c>
      <c r="C2283" s="1">
        <v>50</v>
      </c>
      <c r="D2283" s="1">
        <v>2.5000000000000001E-2</v>
      </c>
      <c r="E2283" s="1">
        <v>0.06</v>
      </c>
      <c r="F2283" s="1">
        <v>0</v>
      </c>
      <c r="G2283" s="1">
        <v>1</v>
      </c>
      <c r="H2283" s="1">
        <v>1.3636486379699999</v>
      </c>
      <c r="I2283" s="1">
        <v>1.5341887247499999</v>
      </c>
      <c r="J2283" s="1">
        <v>0.63694992600599998</v>
      </c>
      <c r="K2283" s="1">
        <v>6655.9701924999999</v>
      </c>
      <c r="L2283" s="1">
        <v>1462.9943613</v>
      </c>
      <c r="M2283" s="1" t="s">
        <v>198</v>
      </c>
      <c r="N2283" s="1" t="b">
        <v>1</v>
      </c>
    </row>
    <row r="2284" spans="1:14" ht="19" customHeight="1" x14ac:dyDescent="0.3">
      <c r="A2284">
        <v>2279</v>
      </c>
      <c r="B2284" s="1">
        <v>9</v>
      </c>
      <c r="C2284" s="1">
        <v>50</v>
      </c>
      <c r="D2284" s="1">
        <v>2.5000000000000001E-2</v>
      </c>
      <c r="E2284" s="1">
        <v>0.06</v>
      </c>
      <c r="F2284" s="1">
        <v>5</v>
      </c>
      <c r="G2284" s="1">
        <v>0</v>
      </c>
      <c r="H2284" s="1">
        <v>1.3333091428699999</v>
      </c>
      <c r="I2284" s="1">
        <v>2.0000732316200001</v>
      </c>
      <c r="J2284" s="1">
        <v>0.78426820244700002</v>
      </c>
      <c r="K2284" s="1">
        <v>7656.3626414099999</v>
      </c>
      <c r="L2284" s="1">
        <v>1801.3660274900001</v>
      </c>
      <c r="M2284" s="1" t="s">
        <v>198</v>
      </c>
      <c r="N2284" s="1" t="b">
        <v>1</v>
      </c>
    </row>
    <row r="2285" spans="1:14" ht="19" customHeight="1" x14ac:dyDescent="0.3">
      <c r="A2285">
        <v>2280</v>
      </c>
      <c r="B2285" s="1">
        <v>9</v>
      </c>
      <c r="C2285" s="1">
        <v>50</v>
      </c>
      <c r="D2285" s="1">
        <v>2.5000000000000001E-2</v>
      </c>
      <c r="E2285" s="1">
        <v>0.06</v>
      </c>
      <c r="F2285" s="1">
        <v>5</v>
      </c>
      <c r="G2285" s="1">
        <v>1</v>
      </c>
      <c r="H2285" s="1">
        <v>1.3333091428699999</v>
      </c>
      <c r="I2285" s="1">
        <v>1.50005492371</v>
      </c>
      <c r="J2285" s="1">
        <v>0.64309992600599997</v>
      </c>
      <c r="K2285" s="1">
        <v>6507.8830904400002</v>
      </c>
      <c r="L2285" s="1">
        <v>1477.1201425500001</v>
      </c>
      <c r="M2285" s="1" t="s">
        <v>198</v>
      </c>
      <c r="N2285" s="1" t="b">
        <v>1</v>
      </c>
    </row>
    <row r="2286" spans="1:14" ht="19" customHeight="1" x14ac:dyDescent="0.3">
      <c r="A2286">
        <v>2281</v>
      </c>
      <c r="B2286" s="1">
        <v>9</v>
      </c>
      <c r="C2286" s="1">
        <v>50</v>
      </c>
      <c r="D2286" s="1">
        <v>2.5000000000000001E-2</v>
      </c>
      <c r="E2286" s="1">
        <v>8.5000000000000006E-2</v>
      </c>
      <c r="F2286" s="1">
        <v>-5</v>
      </c>
      <c r="G2286" s="1">
        <v>0</v>
      </c>
      <c r="H2286" s="1">
        <v>1.22947763393</v>
      </c>
      <c r="I2286" s="1">
        <v>1.8443259681999999</v>
      </c>
      <c r="J2286" s="1">
        <v>0.77497621007999995</v>
      </c>
      <c r="K2286" s="1">
        <v>7060.1426486399996</v>
      </c>
      <c r="L2286" s="1">
        <v>1780.0234825299999</v>
      </c>
      <c r="M2286" s="1" t="s">
        <v>198</v>
      </c>
      <c r="N2286" s="1" t="b">
        <v>1</v>
      </c>
    </row>
    <row r="2287" spans="1:14" ht="19" customHeight="1" x14ac:dyDescent="0.3">
      <c r="A2287">
        <v>2282</v>
      </c>
      <c r="B2287" s="1">
        <v>9</v>
      </c>
      <c r="C2287" s="1">
        <v>50</v>
      </c>
      <c r="D2287" s="1">
        <v>2.5000000000000001E-2</v>
      </c>
      <c r="E2287" s="1">
        <v>8.5000000000000006E-2</v>
      </c>
      <c r="F2287" s="1">
        <v>-5</v>
      </c>
      <c r="G2287" s="1">
        <v>1</v>
      </c>
      <c r="H2287" s="1">
        <v>1.22947763393</v>
      </c>
      <c r="I2287" s="1">
        <v>1.38324447615</v>
      </c>
      <c r="J2287" s="1">
        <v>0.63548049226500003</v>
      </c>
      <c r="K2287" s="1">
        <v>6001.0960965900003</v>
      </c>
      <c r="L2287" s="1">
        <v>1459.61925567</v>
      </c>
      <c r="M2287" s="1" t="s">
        <v>198</v>
      </c>
      <c r="N2287" s="1" t="b">
        <v>1</v>
      </c>
    </row>
    <row r="2288" spans="1:14" ht="19" customHeight="1" x14ac:dyDescent="0.3">
      <c r="A2288">
        <v>2283</v>
      </c>
      <c r="B2288" s="1">
        <v>9</v>
      </c>
      <c r="C2288" s="1">
        <v>50</v>
      </c>
      <c r="D2288" s="1">
        <v>2.5000000000000001E-2</v>
      </c>
      <c r="E2288" s="1">
        <v>8.5000000000000006E-2</v>
      </c>
      <c r="F2288" s="1">
        <v>0</v>
      </c>
      <c r="G2288" s="1">
        <v>0</v>
      </c>
      <c r="H2288" s="1">
        <v>1.25745443949</v>
      </c>
      <c r="I2288" s="1">
        <v>1.88629366862</v>
      </c>
      <c r="J2288" s="1">
        <v>0.76747621008</v>
      </c>
      <c r="K2288" s="1">
        <v>7220.7964358199997</v>
      </c>
      <c r="L2288" s="1">
        <v>1762.7969200299999</v>
      </c>
      <c r="M2288" s="1" t="s">
        <v>198</v>
      </c>
      <c r="N2288" s="1" t="b">
        <v>1</v>
      </c>
    </row>
    <row r="2289" spans="1:14" ht="19" customHeight="1" x14ac:dyDescent="0.3">
      <c r="A2289">
        <v>2284</v>
      </c>
      <c r="B2289" s="1">
        <v>9</v>
      </c>
      <c r="C2289" s="1">
        <v>50</v>
      </c>
      <c r="D2289" s="1">
        <v>2.5000000000000001E-2</v>
      </c>
      <c r="E2289" s="1">
        <v>8.5000000000000006E-2</v>
      </c>
      <c r="F2289" s="1">
        <v>0</v>
      </c>
      <c r="G2289" s="1">
        <v>1</v>
      </c>
      <c r="H2289" s="1">
        <v>1.25745443949</v>
      </c>
      <c r="I2289" s="1">
        <v>1.4147202514599999</v>
      </c>
      <c r="J2289" s="1">
        <v>0.62933049226500004</v>
      </c>
      <c r="K2289" s="1">
        <v>6137.6512432899999</v>
      </c>
      <c r="L2289" s="1">
        <v>1445.49347442</v>
      </c>
      <c r="M2289" s="1" t="s">
        <v>198</v>
      </c>
      <c r="N2289" s="1" t="b">
        <v>1</v>
      </c>
    </row>
    <row r="2290" spans="1:14" ht="19" customHeight="1" x14ac:dyDescent="0.3">
      <c r="A2290">
        <v>2285</v>
      </c>
      <c r="B2290" s="1">
        <v>9</v>
      </c>
      <c r="C2290" s="1">
        <v>50</v>
      </c>
      <c r="D2290" s="1">
        <v>2.5000000000000001E-2</v>
      </c>
      <c r="E2290" s="1">
        <v>8.5000000000000006E-2</v>
      </c>
      <c r="F2290" s="1">
        <v>5</v>
      </c>
      <c r="G2290" s="1">
        <v>0</v>
      </c>
      <c r="H2290" s="1">
        <v>1.22947763393</v>
      </c>
      <c r="I2290" s="1">
        <v>1.8443259681999999</v>
      </c>
      <c r="J2290" s="1">
        <v>0.77497621007999995</v>
      </c>
      <c r="K2290" s="1">
        <v>7060.1426486399996</v>
      </c>
      <c r="L2290" s="1">
        <v>1780.0234825299999</v>
      </c>
      <c r="M2290" s="1" t="s">
        <v>198</v>
      </c>
      <c r="N2290" s="1" t="b">
        <v>1</v>
      </c>
    </row>
    <row r="2291" spans="1:14" ht="19" customHeight="1" x14ac:dyDescent="0.3">
      <c r="A2291">
        <v>2286</v>
      </c>
      <c r="B2291" s="1">
        <v>9</v>
      </c>
      <c r="C2291" s="1">
        <v>50</v>
      </c>
      <c r="D2291" s="1">
        <v>2.5000000000000001E-2</v>
      </c>
      <c r="E2291" s="1">
        <v>8.5000000000000006E-2</v>
      </c>
      <c r="F2291" s="1">
        <v>5</v>
      </c>
      <c r="G2291" s="1">
        <v>1</v>
      </c>
      <c r="H2291" s="1">
        <v>1.22947763393</v>
      </c>
      <c r="I2291" s="1">
        <v>1.38324447615</v>
      </c>
      <c r="J2291" s="1">
        <v>0.63548049226500003</v>
      </c>
      <c r="K2291" s="1">
        <v>6001.0960965900003</v>
      </c>
      <c r="L2291" s="1">
        <v>1459.61925567</v>
      </c>
      <c r="M2291" s="1" t="s">
        <v>198</v>
      </c>
      <c r="N2291" s="1" t="b">
        <v>1</v>
      </c>
    </row>
    <row r="2292" spans="1:14" ht="19" customHeight="1" x14ac:dyDescent="0.3">
      <c r="A2292">
        <v>2287</v>
      </c>
      <c r="B2292" s="1">
        <v>9</v>
      </c>
      <c r="C2292" s="1">
        <v>50</v>
      </c>
      <c r="D2292" s="1">
        <v>0.04</v>
      </c>
      <c r="E2292" s="1">
        <v>0.04</v>
      </c>
      <c r="F2292" s="1">
        <v>-5</v>
      </c>
      <c r="G2292" s="1">
        <v>0</v>
      </c>
      <c r="H2292" s="1">
        <v>1.29868294269</v>
      </c>
      <c r="I2292" s="1">
        <v>1.9481339313399999</v>
      </c>
      <c r="J2292" s="1">
        <v>0.78116946689800004</v>
      </c>
      <c r="K2292" s="1">
        <v>7457.5325075500004</v>
      </c>
      <c r="L2292" s="1">
        <v>1794.24861928</v>
      </c>
      <c r="M2292" s="1" t="s">
        <v>198</v>
      </c>
      <c r="N2292" s="1" t="b">
        <v>1</v>
      </c>
    </row>
    <row r="2293" spans="1:14" ht="19" customHeight="1" x14ac:dyDescent="0.3">
      <c r="A2293">
        <v>2288</v>
      </c>
      <c r="B2293" s="1">
        <v>9</v>
      </c>
      <c r="C2293" s="1">
        <v>50</v>
      </c>
      <c r="D2293" s="1">
        <v>0.04</v>
      </c>
      <c r="E2293" s="1">
        <v>0.04</v>
      </c>
      <c r="F2293" s="1">
        <v>-5</v>
      </c>
      <c r="G2293" s="1">
        <v>1</v>
      </c>
      <c r="H2293" s="1">
        <v>1.29868294269</v>
      </c>
      <c r="I2293" s="1">
        <v>1.4611004485100001</v>
      </c>
      <c r="J2293" s="1">
        <v>0.64055896285699998</v>
      </c>
      <c r="K2293" s="1">
        <v>6338.87747666</v>
      </c>
      <c r="L2293" s="1">
        <v>1471.2838678099999</v>
      </c>
      <c r="M2293" s="1" t="s">
        <v>198</v>
      </c>
      <c r="N2293" s="1" t="b">
        <v>1</v>
      </c>
    </row>
    <row r="2294" spans="1:14" ht="19" customHeight="1" x14ac:dyDescent="0.3">
      <c r="A2294">
        <v>2289</v>
      </c>
      <c r="B2294" s="1">
        <v>9</v>
      </c>
      <c r="C2294" s="1">
        <v>50</v>
      </c>
      <c r="D2294" s="1">
        <v>0.04</v>
      </c>
      <c r="E2294" s="1">
        <v>0.04</v>
      </c>
      <c r="F2294" s="1">
        <v>0</v>
      </c>
      <c r="G2294" s="1">
        <v>0</v>
      </c>
      <c r="H2294" s="1">
        <v>1.3282345174200001</v>
      </c>
      <c r="I2294" s="1">
        <v>1.99246378551</v>
      </c>
      <c r="J2294" s="1">
        <v>0.77366946689799998</v>
      </c>
      <c r="K2294" s="1">
        <v>7627.22891454</v>
      </c>
      <c r="L2294" s="1">
        <v>1777.02205678</v>
      </c>
      <c r="M2294" s="1" t="s">
        <v>198</v>
      </c>
      <c r="N2294" s="1" t="b">
        <v>1</v>
      </c>
    </row>
    <row r="2295" spans="1:14" ht="19" customHeight="1" x14ac:dyDescent="0.3">
      <c r="A2295">
        <v>2290</v>
      </c>
      <c r="B2295" s="1">
        <v>9</v>
      </c>
      <c r="C2295" s="1">
        <v>50</v>
      </c>
      <c r="D2295" s="1">
        <v>0.04</v>
      </c>
      <c r="E2295" s="1">
        <v>0.04</v>
      </c>
      <c r="F2295" s="1">
        <v>0</v>
      </c>
      <c r="G2295" s="1">
        <v>1</v>
      </c>
      <c r="H2295" s="1">
        <v>1.3282345174200001</v>
      </c>
      <c r="I2295" s="1">
        <v>1.49434783913</v>
      </c>
      <c r="J2295" s="1">
        <v>0.63440896285699999</v>
      </c>
      <c r="K2295" s="1">
        <v>6483.1188502000005</v>
      </c>
      <c r="L2295" s="1">
        <v>1457.1580865599999</v>
      </c>
      <c r="M2295" s="1" t="s">
        <v>198</v>
      </c>
      <c r="N2295" s="1" t="b">
        <v>1</v>
      </c>
    </row>
    <row r="2296" spans="1:14" ht="19" customHeight="1" x14ac:dyDescent="0.3">
      <c r="A2296">
        <v>2291</v>
      </c>
      <c r="B2296" s="1">
        <v>9</v>
      </c>
      <c r="C2296" s="1">
        <v>50</v>
      </c>
      <c r="D2296" s="1">
        <v>0.04</v>
      </c>
      <c r="E2296" s="1">
        <v>0.04</v>
      </c>
      <c r="F2296" s="1">
        <v>5</v>
      </c>
      <c r="G2296" s="1">
        <v>0</v>
      </c>
      <c r="H2296" s="1">
        <v>1.29868294269</v>
      </c>
      <c r="I2296" s="1">
        <v>1.9481339313399999</v>
      </c>
      <c r="J2296" s="1">
        <v>0.78116946689800004</v>
      </c>
      <c r="K2296" s="1">
        <v>7457.5325075500004</v>
      </c>
      <c r="L2296" s="1">
        <v>1794.24861928</v>
      </c>
      <c r="M2296" s="1" t="s">
        <v>198</v>
      </c>
      <c r="N2296" s="1" t="b">
        <v>1</v>
      </c>
    </row>
    <row r="2297" spans="1:14" ht="19" customHeight="1" x14ac:dyDescent="0.3">
      <c r="A2297">
        <v>2292</v>
      </c>
      <c r="B2297" s="1">
        <v>9</v>
      </c>
      <c r="C2297" s="1">
        <v>50</v>
      </c>
      <c r="D2297" s="1">
        <v>0.04</v>
      </c>
      <c r="E2297" s="1">
        <v>0.04</v>
      </c>
      <c r="F2297" s="1">
        <v>5</v>
      </c>
      <c r="G2297" s="1">
        <v>1</v>
      </c>
      <c r="H2297" s="1">
        <v>1.29868294269</v>
      </c>
      <c r="I2297" s="1">
        <v>1.4611004485100001</v>
      </c>
      <c r="J2297" s="1">
        <v>0.64055896285699998</v>
      </c>
      <c r="K2297" s="1">
        <v>6338.87747666</v>
      </c>
      <c r="L2297" s="1">
        <v>1471.2838678099999</v>
      </c>
      <c r="M2297" s="1" t="s">
        <v>198</v>
      </c>
      <c r="N2297" s="1" t="b">
        <v>1</v>
      </c>
    </row>
    <row r="2298" spans="1:14" ht="19" customHeight="1" x14ac:dyDescent="0.3">
      <c r="A2298">
        <v>2293</v>
      </c>
      <c r="B2298" s="1">
        <v>9</v>
      </c>
      <c r="C2298" s="1">
        <v>50</v>
      </c>
      <c r="D2298" s="1">
        <v>0.04</v>
      </c>
      <c r="E2298" s="1">
        <v>0.06</v>
      </c>
      <c r="F2298" s="1">
        <v>-5</v>
      </c>
      <c r="G2298" s="1">
        <v>0</v>
      </c>
      <c r="H2298" s="1">
        <v>1.33987875825</v>
      </c>
      <c r="I2298" s="1">
        <v>2.0099276546799998</v>
      </c>
      <c r="J2298" s="1">
        <v>0.78485612432600005</v>
      </c>
      <c r="K2298" s="1">
        <v>7694.0866046900001</v>
      </c>
      <c r="L2298" s="1">
        <v>1802.71641056</v>
      </c>
      <c r="M2298" s="1" t="s">
        <v>198</v>
      </c>
      <c r="N2298" s="1" t="b">
        <v>1</v>
      </c>
    </row>
    <row r="2299" spans="1:14" ht="19" customHeight="1" x14ac:dyDescent="0.3">
      <c r="A2299">
        <v>2294</v>
      </c>
      <c r="B2299" s="1">
        <v>9</v>
      </c>
      <c r="C2299" s="1">
        <v>50</v>
      </c>
      <c r="D2299" s="1">
        <v>0.04</v>
      </c>
      <c r="E2299" s="1">
        <v>0.06</v>
      </c>
      <c r="F2299" s="1">
        <v>-5</v>
      </c>
      <c r="G2299" s="1">
        <v>1</v>
      </c>
      <c r="H2299" s="1">
        <v>1.33987875825</v>
      </c>
      <c r="I2299" s="1">
        <v>1.50744574101</v>
      </c>
      <c r="J2299" s="1">
        <v>0.64358202194699998</v>
      </c>
      <c r="K2299" s="1">
        <v>6539.9484592299996</v>
      </c>
      <c r="L2299" s="1">
        <v>1478.2274566599999</v>
      </c>
      <c r="M2299" s="1" t="s">
        <v>198</v>
      </c>
      <c r="N2299" s="1" t="b">
        <v>1</v>
      </c>
    </row>
    <row r="2300" spans="1:14" ht="19" customHeight="1" x14ac:dyDescent="0.3">
      <c r="A2300">
        <v>2295</v>
      </c>
      <c r="B2300" s="1">
        <v>9</v>
      </c>
      <c r="C2300" s="1">
        <v>50</v>
      </c>
      <c r="D2300" s="1">
        <v>0.04</v>
      </c>
      <c r="E2300" s="1">
        <v>0.06</v>
      </c>
      <c r="F2300" s="1">
        <v>0</v>
      </c>
      <c r="G2300" s="1">
        <v>0</v>
      </c>
      <c r="H2300" s="1">
        <v>1.37036774517</v>
      </c>
      <c r="I2300" s="1">
        <v>2.0556636271299999</v>
      </c>
      <c r="J2300" s="1">
        <v>0.77735612432599999</v>
      </c>
      <c r="K2300" s="1">
        <v>7869.1658082399999</v>
      </c>
      <c r="L2300" s="1">
        <v>1785.48984806</v>
      </c>
      <c r="M2300" s="1" t="s">
        <v>198</v>
      </c>
      <c r="N2300" s="1" t="b">
        <v>1</v>
      </c>
    </row>
    <row r="2301" spans="1:14" ht="19" customHeight="1" x14ac:dyDescent="0.3">
      <c r="A2301">
        <v>2296</v>
      </c>
      <c r="B2301" s="1">
        <v>9</v>
      </c>
      <c r="C2301" s="1">
        <v>50</v>
      </c>
      <c r="D2301" s="1">
        <v>0.04</v>
      </c>
      <c r="E2301" s="1">
        <v>0.06</v>
      </c>
      <c r="F2301" s="1">
        <v>0</v>
      </c>
      <c r="G2301" s="1">
        <v>1</v>
      </c>
      <c r="H2301" s="1">
        <v>1.37036774517</v>
      </c>
      <c r="I2301" s="1">
        <v>1.5417477203500001</v>
      </c>
      <c r="J2301" s="1">
        <v>0.63743202194699999</v>
      </c>
      <c r="K2301" s="1">
        <v>6688.7652098500002</v>
      </c>
      <c r="L2301" s="1">
        <v>1464.1016754100001</v>
      </c>
      <c r="M2301" s="1" t="s">
        <v>198</v>
      </c>
      <c r="N2301" s="1" t="b">
        <v>1</v>
      </c>
    </row>
    <row r="2302" spans="1:14" ht="19" customHeight="1" x14ac:dyDescent="0.3">
      <c r="A2302">
        <v>2297</v>
      </c>
      <c r="B2302" s="1">
        <v>9</v>
      </c>
      <c r="C2302" s="1">
        <v>50</v>
      </c>
      <c r="D2302" s="1">
        <v>0.04</v>
      </c>
      <c r="E2302" s="1">
        <v>0.06</v>
      </c>
      <c r="F2302" s="1">
        <v>5</v>
      </c>
      <c r="G2302" s="1">
        <v>0</v>
      </c>
      <c r="H2302" s="1">
        <v>1.33987875825</v>
      </c>
      <c r="I2302" s="1">
        <v>2.0099276546799998</v>
      </c>
      <c r="J2302" s="1">
        <v>0.78485612432600005</v>
      </c>
      <c r="K2302" s="1">
        <v>7694.0866046900001</v>
      </c>
      <c r="L2302" s="1">
        <v>1802.71641056</v>
      </c>
      <c r="M2302" s="1" t="s">
        <v>198</v>
      </c>
      <c r="N2302" s="1" t="b">
        <v>1</v>
      </c>
    </row>
    <row r="2303" spans="1:14" ht="19" customHeight="1" x14ac:dyDescent="0.3">
      <c r="A2303">
        <v>2298</v>
      </c>
      <c r="B2303" s="1">
        <v>9</v>
      </c>
      <c r="C2303" s="1">
        <v>50</v>
      </c>
      <c r="D2303" s="1">
        <v>0.04</v>
      </c>
      <c r="E2303" s="1">
        <v>0.06</v>
      </c>
      <c r="F2303" s="1">
        <v>5</v>
      </c>
      <c r="G2303" s="1">
        <v>1</v>
      </c>
      <c r="H2303" s="1">
        <v>1.33987875825</v>
      </c>
      <c r="I2303" s="1">
        <v>1.50744574101</v>
      </c>
      <c r="J2303" s="1">
        <v>0.64358202194699998</v>
      </c>
      <c r="K2303" s="1">
        <v>6539.9484592299996</v>
      </c>
      <c r="L2303" s="1">
        <v>1478.2274566599999</v>
      </c>
      <c r="M2303" s="1" t="s">
        <v>198</v>
      </c>
      <c r="N2303" s="1" t="b">
        <v>1</v>
      </c>
    </row>
    <row r="2304" spans="1:14" ht="19" customHeight="1" x14ac:dyDescent="0.3">
      <c r="A2304">
        <v>2299</v>
      </c>
      <c r="B2304" s="1">
        <v>9</v>
      </c>
      <c r="C2304" s="1">
        <v>50</v>
      </c>
      <c r="D2304" s="1">
        <v>0.04</v>
      </c>
      <c r="E2304" s="1">
        <v>8.5000000000000006E-2</v>
      </c>
      <c r="F2304" s="1">
        <v>-5</v>
      </c>
      <c r="G2304" s="1">
        <v>0</v>
      </c>
      <c r="H2304" s="1">
        <v>1.2345624402499999</v>
      </c>
      <c r="I2304" s="1">
        <v>1.85195317769</v>
      </c>
      <c r="J2304" s="1">
        <v>0.77543125481499997</v>
      </c>
      <c r="K2304" s="1">
        <v>7089.3405599500002</v>
      </c>
      <c r="L2304" s="1">
        <v>1781.0686634000001</v>
      </c>
      <c r="M2304" s="1" t="s">
        <v>198</v>
      </c>
      <c r="N2304" s="1" t="b">
        <v>1</v>
      </c>
    </row>
    <row r="2305" spans="1:14" ht="19" customHeight="1" x14ac:dyDescent="0.3">
      <c r="A2305">
        <v>2300</v>
      </c>
      <c r="B2305" s="1">
        <v>9</v>
      </c>
      <c r="C2305" s="1">
        <v>50</v>
      </c>
      <c r="D2305" s="1">
        <v>0.04</v>
      </c>
      <c r="E2305" s="1">
        <v>8.5000000000000006E-2</v>
      </c>
      <c r="F2305" s="1">
        <v>-5</v>
      </c>
      <c r="G2305" s="1">
        <v>1</v>
      </c>
      <c r="H2305" s="1">
        <v>1.2345624402499999</v>
      </c>
      <c r="I2305" s="1">
        <v>1.3889648832599999</v>
      </c>
      <c r="J2305" s="1">
        <v>0.63585362894899999</v>
      </c>
      <c r="K2305" s="1">
        <v>6025.9143211999999</v>
      </c>
      <c r="L2305" s="1">
        <v>1460.4763039899999</v>
      </c>
      <c r="M2305" s="1" t="s">
        <v>198</v>
      </c>
      <c r="N2305" s="1" t="b">
        <v>1</v>
      </c>
    </row>
    <row r="2306" spans="1:14" ht="19" customHeight="1" x14ac:dyDescent="0.3">
      <c r="A2306">
        <v>2301</v>
      </c>
      <c r="B2306" s="1">
        <v>9</v>
      </c>
      <c r="C2306" s="1">
        <v>50</v>
      </c>
      <c r="D2306" s="1">
        <v>0.04</v>
      </c>
      <c r="E2306" s="1">
        <v>8.5000000000000006E-2</v>
      </c>
      <c r="F2306" s="1">
        <v>0</v>
      </c>
      <c r="G2306" s="1">
        <v>0</v>
      </c>
      <c r="H2306" s="1">
        <v>1.26265495076</v>
      </c>
      <c r="I2306" s="1">
        <v>1.89409443552</v>
      </c>
      <c r="J2306" s="1">
        <v>0.76793125481500002</v>
      </c>
      <c r="K2306" s="1">
        <v>7250.6587466000001</v>
      </c>
      <c r="L2306" s="1">
        <v>1763.8421009000001</v>
      </c>
      <c r="M2306" s="1" t="s">
        <v>198</v>
      </c>
      <c r="N2306" s="1" t="b">
        <v>1</v>
      </c>
    </row>
    <row r="2307" spans="1:14" ht="19" customHeight="1" x14ac:dyDescent="0.3">
      <c r="A2307">
        <v>2302</v>
      </c>
      <c r="B2307" s="1">
        <v>9</v>
      </c>
      <c r="C2307" s="1">
        <v>50</v>
      </c>
      <c r="D2307" s="1">
        <v>0.04</v>
      </c>
      <c r="E2307" s="1">
        <v>8.5000000000000006E-2</v>
      </c>
      <c r="F2307" s="1">
        <v>0</v>
      </c>
      <c r="G2307" s="1">
        <v>1</v>
      </c>
      <c r="H2307" s="1">
        <v>1.26265495076</v>
      </c>
      <c r="I2307" s="1">
        <v>1.4205708266399999</v>
      </c>
      <c r="J2307" s="1">
        <v>0.629703628949</v>
      </c>
      <c r="K2307" s="1">
        <v>6163.0342074500004</v>
      </c>
      <c r="L2307" s="1">
        <v>1446.3505227400001</v>
      </c>
      <c r="M2307" s="1" t="s">
        <v>198</v>
      </c>
      <c r="N2307" s="1" t="b">
        <v>1</v>
      </c>
    </row>
    <row r="2308" spans="1:14" ht="19" customHeight="1" x14ac:dyDescent="0.3">
      <c r="A2308">
        <v>2303</v>
      </c>
      <c r="B2308" s="1">
        <v>9</v>
      </c>
      <c r="C2308" s="1">
        <v>50</v>
      </c>
      <c r="D2308" s="1">
        <v>0.04</v>
      </c>
      <c r="E2308" s="1">
        <v>8.5000000000000006E-2</v>
      </c>
      <c r="F2308" s="1">
        <v>5</v>
      </c>
      <c r="G2308" s="1">
        <v>0</v>
      </c>
      <c r="H2308" s="1">
        <v>1.2345624402499999</v>
      </c>
      <c r="I2308" s="1">
        <v>1.85195317769</v>
      </c>
      <c r="J2308" s="1">
        <v>0.77543125481499997</v>
      </c>
      <c r="K2308" s="1">
        <v>7089.3405599500002</v>
      </c>
      <c r="L2308" s="1">
        <v>1781.0686634000001</v>
      </c>
      <c r="M2308" s="1" t="s">
        <v>198</v>
      </c>
      <c r="N2308" s="1" t="b">
        <v>1</v>
      </c>
    </row>
    <row r="2309" spans="1:14" ht="19" customHeight="1" x14ac:dyDescent="0.3">
      <c r="A2309">
        <v>2304</v>
      </c>
      <c r="B2309" s="1">
        <v>9</v>
      </c>
      <c r="C2309" s="1">
        <v>50</v>
      </c>
      <c r="D2309" s="1">
        <v>0.04</v>
      </c>
      <c r="E2309" s="1">
        <v>8.5000000000000006E-2</v>
      </c>
      <c r="F2309" s="1">
        <v>5</v>
      </c>
      <c r="G2309" s="1">
        <v>1</v>
      </c>
      <c r="H2309" s="1">
        <v>1.2345624402499999</v>
      </c>
      <c r="I2309" s="1">
        <v>1.3889648832599999</v>
      </c>
      <c r="J2309" s="1">
        <v>0.63585362894899999</v>
      </c>
      <c r="K2309" s="1">
        <v>6025.9143211999999</v>
      </c>
      <c r="L2309" s="1">
        <v>1460.4763039899999</v>
      </c>
      <c r="M2309" s="1" t="s">
        <v>198</v>
      </c>
      <c r="N2309" s="1" t="b">
        <v>1</v>
      </c>
    </row>
    <row r="2310" spans="1:14" ht="19" customHeight="1" x14ac:dyDescent="0.3">
      <c r="A2310">
        <v>2305</v>
      </c>
      <c r="B2310" s="1">
        <v>9</v>
      </c>
      <c r="C2310" s="1">
        <v>50</v>
      </c>
      <c r="D2310" s="1">
        <v>5.5E-2</v>
      </c>
      <c r="E2310" s="1">
        <v>0.04</v>
      </c>
      <c r="F2310" s="1">
        <v>-5</v>
      </c>
      <c r="G2310" s="1">
        <v>0</v>
      </c>
      <c r="H2310" s="1">
        <v>1.1587978406299999</v>
      </c>
      <c r="I2310" s="1">
        <v>1.7383062782500001</v>
      </c>
      <c r="J2310" s="1">
        <v>0.768651000069</v>
      </c>
      <c r="K2310" s="1">
        <v>6654.2860230400001</v>
      </c>
      <c r="L2310" s="1">
        <v>1765.49526578</v>
      </c>
      <c r="M2310" s="1" t="s">
        <v>198</v>
      </c>
      <c r="N2310" s="1" t="b">
        <v>1</v>
      </c>
    </row>
    <row r="2311" spans="1:14" ht="19" customHeight="1" x14ac:dyDescent="0.3">
      <c r="A2311">
        <v>2306</v>
      </c>
      <c r="B2311" s="1">
        <v>9</v>
      </c>
      <c r="C2311" s="1">
        <v>50</v>
      </c>
      <c r="D2311" s="1">
        <v>5.5E-2</v>
      </c>
      <c r="E2311" s="1">
        <v>0.04</v>
      </c>
      <c r="F2311" s="1">
        <v>-5</v>
      </c>
      <c r="G2311" s="1">
        <v>1</v>
      </c>
      <c r="H2311" s="1">
        <v>1.1587978406299999</v>
      </c>
      <c r="I2311" s="1">
        <v>1.3037297086899999</v>
      </c>
      <c r="J2311" s="1">
        <v>0.63029382005599999</v>
      </c>
      <c r="K2311" s="1">
        <v>5656.1179648300003</v>
      </c>
      <c r="L2311" s="1">
        <v>1447.70611794</v>
      </c>
      <c r="M2311" s="1" t="s">
        <v>198</v>
      </c>
      <c r="N2311" s="1" t="b">
        <v>1</v>
      </c>
    </row>
    <row r="2312" spans="1:14" ht="19" customHeight="1" x14ac:dyDescent="0.3">
      <c r="A2312">
        <v>2307</v>
      </c>
      <c r="B2312" s="1">
        <v>9</v>
      </c>
      <c r="C2312" s="1">
        <v>50</v>
      </c>
      <c r="D2312" s="1">
        <v>5.5E-2</v>
      </c>
      <c r="E2312" s="1">
        <v>0.04</v>
      </c>
      <c r="F2312" s="1">
        <v>0</v>
      </c>
      <c r="G2312" s="1">
        <v>0</v>
      </c>
      <c r="H2312" s="1">
        <v>1.18516632508</v>
      </c>
      <c r="I2312" s="1">
        <v>1.777861497</v>
      </c>
      <c r="J2312" s="1">
        <v>0.76115100006900005</v>
      </c>
      <c r="K2312" s="1">
        <v>6805.7045288400004</v>
      </c>
      <c r="L2312" s="1">
        <v>1748.26870328</v>
      </c>
      <c r="M2312" s="1" t="s">
        <v>198</v>
      </c>
      <c r="N2312" s="1" t="b">
        <v>1</v>
      </c>
    </row>
    <row r="2313" spans="1:14" ht="19" customHeight="1" x14ac:dyDescent="0.3">
      <c r="A2313">
        <v>2308</v>
      </c>
      <c r="B2313" s="1">
        <v>9</v>
      </c>
      <c r="C2313" s="1">
        <v>50</v>
      </c>
      <c r="D2313" s="1">
        <v>5.5E-2</v>
      </c>
      <c r="E2313" s="1">
        <v>0.04</v>
      </c>
      <c r="F2313" s="1">
        <v>0</v>
      </c>
      <c r="G2313" s="1">
        <v>1</v>
      </c>
      <c r="H2313" s="1">
        <v>1.18516632508</v>
      </c>
      <c r="I2313" s="1">
        <v>1.33339612275</v>
      </c>
      <c r="J2313" s="1">
        <v>0.624143820056</v>
      </c>
      <c r="K2313" s="1">
        <v>5784.8231223599996</v>
      </c>
      <c r="L2313" s="1">
        <v>1433.58033669</v>
      </c>
      <c r="M2313" s="1" t="s">
        <v>198</v>
      </c>
      <c r="N2313" s="1" t="b">
        <v>1</v>
      </c>
    </row>
    <row r="2314" spans="1:14" ht="19" customHeight="1" x14ac:dyDescent="0.3">
      <c r="A2314">
        <v>2309</v>
      </c>
      <c r="B2314" s="1">
        <v>9</v>
      </c>
      <c r="C2314" s="1">
        <v>50</v>
      </c>
      <c r="D2314" s="1">
        <v>5.5E-2</v>
      </c>
      <c r="E2314" s="1">
        <v>0.04</v>
      </c>
      <c r="F2314" s="1">
        <v>5</v>
      </c>
      <c r="G2314" s="1">
        <v>0</v>
      </c>
      <c r="H2314" s="1">
        <v>1.1587978406299999</v>
      </c>
      <c r="I2314" s="1">
        <v>1.7383062782500001</v>
      </c>
      <c r="J2314" s="1">
        <v>0.768651000069</v>
      </c>
      <c r="K2314" s="1">
        <v>6654.2860230400001</v>
      </c>
      <c r="L2314" s="1">
        <v>1765.49526578</v>
      </c>
      <c r="M2314" s="1" t="s">
        <v>198</v>
      </c>
      <c r="N2314" s="1" t="b">
        <v>1</v>
      </c>
    </row>
    <row r="2315" spans="1:14" ht="19" customHeight="1" x14ac:dyDescent="0.3">
      <c r="A2315">
        <v>2310</v>
      </c>
      <c r="B2315" s="1">
        <v>9</v>
      </c>
      <c r="C2315" s="1">
        <v>50</v>
      </c>
      <c r="D2315" s="1">
        <v>5.5E-2</v>
      </c>
      <c r="E2315" s="1">
        <v>0.04</v>
      </c>
      <c r="F2315" s="1">
        <v>5</v>
      </c>
      <c r="G2315" s="1">
        <v>1</v>
      </c>
      <c r="H2315" s="1">
        <v>1.1587978406299999</v>
      </c>
      <c r="I2315" s="1">
        <v>1.3037297086899999</v>
      </c>
      <c r="J2315" s="1">
        <v>0.63029382005599999</v>
      </c>
      <c r="K2315" s="1">
        <v>5656.1179648300003</v>
      </c>
      <c r="L2315" s="1">
        <v>1447.70611794</v>
      </c>
      <c r="M2315" s="1" t="s">
        <v>198</v>
      </c>
      <c r="N2315" s="1" t="b">
        <v>1</v>
      </c>
    </row>
    <row r="2316" spans="1:14" ht="19" customHeight="1" x14ac:dyDescent="0.3">
      <c r="A2316">
        <v>2311</v>
      </c>
      <c r="B2316" s="1">
        <v>9</v>
      </c>
      <c r="C2316" s="1">
        <v>50</v>
      </c>
      <c r="D2316" s="1">
        <v>5.5E-2</v>
      </c>
      <c r="E2316" s="1">
        <v>0.06</v>
      </c>
      <c r="F2316" s="1">
        <v>-5</v>
      </c>
      <c r="G2316" s="1">
        <v>0</v>
      </c>
      <c r="H2316" s="1">
        <v>1.1864274403299999</v>
      </c>
      <c r="I2316" s="1">
        <v>1.7797506778100001</v>
      </c>
      <c r="J2316" s="1">
        <v>0.771123602385</v>
      </c>
      <c r="K2316" s="1">
        <v>6812.9403651100001</v>
      </c>
      <c r="L2316" s="1">
        <v>1771.1745242300001</v>
      </c>
      <c r="M2316" s="1" t="s">
        <v>198</v>
      </c>
      <c r="N2316" s="1" t="b">
        <v>1</v>
      </c>
    </row>
    <row r="2317" spans="1:14" ht="19" customHeight="1" x14ac:dyDescent="0.3">
      <c r="A2317">
        <v>2312</v>
      </c>
      <c r="B2317" s="1">
        <v>9</v>
      </c>
      <c r="C2317" s="1">
        <v>50</v>
      </c>
      <c r="D2317" s="1">
        <v>5.5E-2</v>
      </c>
      <c r="E2317" s="1">
        <v>0.06</v>
      </c>
      <c r="F2317" s="1">
        <v>-5</v>
      </c>
      <c r="G2317" s="1">
        <v>1</v>
      </c>
      <c r="H2317" s="1">
        <v>1.1864274403299999</v>
      </c>
      <c r="I2317" s="1">
        <v>1.3348130083600001</v>
      </c>
      <c r="J2317" s="1">
        <v>0.63232135395599998</v>
      </c>
      <c r="K2317" s="1">
        <v>5790.97415559</v>
      </c>
      <c r="L2317" s="1">
        <v>1452.36310987</v>
      </c>
      <c r="M2317" s="1" t="s">
        <v>198</v>
      </c>
      <c r="N2317" s="1" t="b">
        <v>1</v>
      </c>
    </row>
    <row r="2318" spans="1:14" ht="19" customHeight="1" x14ac:dyDescent="0.3">
      <c r="A2318">
        <v>2313</v>
      </c>
      <c r="B2318" s="1">
        <v>9</v>
      </c>
      <c r="C2318" s="1">
        <v>50</v>
      </c>
      <c r="D2318" s="1">
        <v>5.5E-2</v>
      </c>
      <c r="E2318" s="1">
        <v>0.06</v>
      </c>
      <c r="F2318" s="1">
        <v>0</v>
      </c>
      <c r="G2318" s="1">
        <v>0</v>
      </c>
      <c r="H2318" s="1">
        <v>1.2134246372699999</v>
      </c>
      <c r="I2318" s="1">
        <v>1.82024896529</v>
      </c>
      <c r="J2318" s="1">
        <v>0.76362360238500004</v>
      </c>
      <c r="K2318" s="1">
        <v>6967.9690558800003</v>
      </c>
      <c r="L2318" s="1">
        <v>1753.9479617300001</v>
      </c>
      <c r="M2318" s="1" t="s">
        <v>198</v>
      </c>
      <c r="N2318" s="1" t="b">
        <v>1</v>
      </c>
    </row>
    <row r="2319" spans="1:14" ht="19" customHeight="1" x14ac:dyDescent="0.3">
      <c r="A2319">
        <v>2314</v>
      </c>
      <c r="B2319" s="1">
        <v>9</v>
      </c>
      <c r="C2319" s="1">
        <v>50</v>
      </c>
      <c r="D2319" s="1">
        <v>5.5E-2</v>
      </c>
      <c r="E2319" s="1">
        <v>0.06</v>
      </c>
      <c r="F2319" s="1">
        <v>0</v>
      </c>
      <c r="G2319" s="1">
        <v>1</v>
      </c>
      <c r="H2319" s="1">
        <v>1.2134246372699999</v>
      </c>
      <c r="I2319" s="1">
        <v>1.36518672396</v>
      </c>
      <c r="J2319" s="1">
        <v>0.62617135395599999</v>
      </c>
      <c r="K2319" s="1">
        <v>5922.7479703400004</v>
      </c>
      <c r="L2319" s="1">
        <v>1438.23732862</v>
      </c>
      <c r="M2319" s="1" t="s">
        <v>198</v>
      </c>
      <c r="N2319" s="1" t="b">
        <v>1</v>
      </c>
    </row>
    <row r="2320" spans="1:14" ht="19" customHeight="1" x14ac:dyDescent="0.3">
      <c r="A2320">
        <v>2315</v>
      </c>
      <c r="B2320" s="1">
        <v>9</v>
      </c>
      <c r="C2320" s="1">
        <v>50</v>
      </c>
      <c r="D2320" s="1">
        <v>5.5E-2</v>
      </c>
      <c r="E2320" s="1">
        <v>0.06</v>
      </c>
      <c r="F2320" s="1">
        <v>5</v>
      </c>
      <c r="G2320" s="1">
        <v>0</v>
      </c>
      <c r="H2320" s="1">
        <v>1.1864274403299999</v>
      </c>
      <c r="I2320" s="1">
        <v>1.7797506778100001</v>
      </c>
      <c r="J2320" s="1">
        <v>0.771123602385</v>
      </c>
      <c r="K2320" s="1">
        <v>6812.9403651100001</v>
      </c>
      <c r="L2320" s="1">
        <v>1771.1745242300001</v>
      </c>
      <c r="M2320" s="1" t="s">
        <v>198</v>
      </c>
      <c r="N2320" s="1" t="b">
        <v>1</v>
      </c>
    </row>
    <row r="2321" spans="1:14" ht="19" customHeight="1" x14ac:dyDescent="0.3">
      <c r="A2321">
        <v>2316</v>
      </c>
      <c r="B2321" s="1">
        <v>9</v>
      </c>
      <c r="C2321" s="1">
        <v>50</v>
      </c>
      <c r="D2321" s="1">
        <v>5.5E-2</v>
      </c>
      <c r="E2321" s="1">
        <v>0.06</v>
      </c>
      <c r="F2321" s="1">
        <v>5</v>
      </c>
      <c r="G2321" s="1">
        <v>1</v>
      </c>
      <c r="H2321" s="1">
        <v>1.1864274403299999</v>
      </c>
      <c r="I2321" s="1">
        <v>1.3348130083600001</v>
      </c>
      <c r="J2321" s="1">
        <v>0.63232135395599998</v>
      </c>
      <c r="K2321" s="1">
        <v>5790.97415559</v>
      </c>
      <c r="L2321" s="1">
        <v>1452.36310987</v>
      </c>
      <c r="M2321" s="1" t="s">
        <v>198</v>
      </c>
      <c r="N2321" s="1" t="b">
        <v>1</v>
      </c>
    </row>
    <row r="2322" spans="1:14" ht="19" customHeight="1" x14ac:dyDescent="0.3">
      <c r="A2322">
        <v>2317</v>
      </c>
      <c r="B2322" s="1">
        <v>9</v>
      </c>
      <c r="C2322" s="1">
        <v>50</v>
      </c>
      <c r="D2322" s="1">
        <v>5.5E-2</v>
      </c>
      <c r="E2322" s="1">
        <v>8.5000000000000006E-2</v>
      </c>
      <c r="F2322" s="1">
        <v>-5</v>
      </c>
      <c r="G2322" s="1">
        <v>0</v>
      </c>
      <c r="H2322" s="1">
        <v>1.11579289482</v>
      </c>
      <c r="I2322" s="1">
        <v>1.67379885954</v>
      </c>
      <c r="J2322" s="1">
        <v>0.76480244164699995</v>
      </c>
      <c r="K2322" s="1">
        <v>6407.3435608</v>
      </c>
      <c r="L2322" s="1">
        <v>1756.6556081599999</v>
      </c>
      <c r="M2322" s="1" t="s">
        <v>198</v>
      </c>
      <c r="N2322" s="1" t="b">
        <v>1</v>
      </c>
    </row>
    <row r="2323" spans="1:14" ht="19" customHeight="1" x14ac:dyDescent="0.3">
      <c r="A2323">
        <v>2318</v>
      </c>
      <c r="B2323" s="1">
        <v>9</v>
      </c>
      <c r="C2323" s="1">
        <v>50</v>
      </c>
      <c r="D2323" s="1">
        <v>5.5E-2</v>
      </c>
      <c r="E2323" s="1">
        <v>8.5000000000000006E-2</v>
      </c>
      <c r="F2323" s="1">
        <v>-5</v>
      </c>
      <c r="G2323" s="1">
        <v>1</v>
      </c>
      <c r="H2323" s="1">
        <v>1.11579289482</v>
      </c>
      <c r="I2323" s="1">
        <v>1.25534914466</v>
      </c>
      <c r="J2323" s="1">
        <v>0.62713800215100002</v>
      </c>
      <c r="K2323" s="1">
        <v>5446.2168719199999</v>
      </c>
      <c r="L2323" s="1">
        <v>1440.4575986899999</v>
      </c>
      <c r="M2323" s="1" t="s">
        <v>198</v>
      </c>
      <c r="N2323" s="1" t="b">
        <v>1</v>
      </c>
    </row>
    <row r="2324" spans="1:14" ht="19" customHeight="1" x14ac:dyDescent="0.3">
      <c r="A2324">
        <v>2319</v>
      </c>
      <c r="B2324" s="1">
        <v>9</v>
      </c>
      <c r="C2324" s="1">
        <v>50</v>
      </c>
      <c r="D2324" s="1">
        <v>5.5E-2</v>
      </c>
      <c r="E2324" s="1">
        <v>8.5000000000000006E-2</v>
      </c>
      <c r="F2324" s="1">
        <v>0</v>
      </c>
      <c r="G2324" s="1">
        <v>0</v>
      </c>
      <c r="H2324" s="1">
        <v>1.14118280026</v>
      </c>
      <c r="I2324" s="1">
        <v>1.7118862097700001</v>
      </c>
      <c r="J2324" s="1">
        <v>0.757302441647</v>
      </c>
      <c r="K2324" s="1">
        <v>6553.1428824300001</v>
      </c>
      <c r="L2324" s="1">
        <v>1739.4290456599999</v>
      </c>
      <c r="M2324" s="1" t="s">
        <v>198</v>
      </c>
      <c r="N2324" s="1" t="b">
        <v>1</v>
      </c>
    </row>
    <row r="2325" spans="1:14" ht="19" customHeight="1" x14ac:dyDescent="0.3">
      <c r="A2325">
        <v>2320</v>
      </c>
      <c r="B2325" s="1">
        <v>9</v>
      </c>
      <c r="C2325" s="1">
        <v>50</v>
      </c>
      <c r="D2325" s="1">
        <v>5.5E-2</v>
      </c>
      <c r="E2325" s="1">
        <v>8.5000000000000006E-2</v>
      </c>
      <c r="F2325" s="1">
        <v>0</v>
      </c>
      <c r="G2325" s="1">
        <v>1</v>
      </c>
      <c r="H2325" s="1">
        <v>1.14118280026</v>
      </c>
      <c r="I2325" s="1">
        <v>1.28391465733</v>
      </c>
      <c r="J2325" s="1">
        <v>0.62098800215100003</v>
      </c>
      <c r="K2325" s="1">
        <v>5570.1457229099997</v>
      </c>
      <c r="L2325" s="1">
        <v>1426.3318174399999</v>
      </c>
      <c r="M2325" s="1" t="s">
        <v>198</v>
      </c>
      <c r="N2325" s="1" t="b">
        <v>1</v>
      </c>
    </row>
    <row r="2326" spans="1:14" ht="19" customHeight="1" x14ac:dyDescent="0.3">
      <c r="A2326">
        <v>2321</v>
      </c>
      <c r="B2326" s="1">
        <v>9</v>
      </c>
      <c r="C2326" s="1">
        <v>50</v>
      </c>
      <c r="D2326" s="1">
        <v>5.5E-2</v>
      </c>
      <c r="E2326" s="1">
        <v>8.5000000000000006E-2</v>
      </c>
      <c r="F2326" s="1">
        <v>5</v>
      </c>
      <c r="G2326" s="1">
        <v>0</v>
      </c>
      <c r="H2326" s="1">
        <v>1.11579289482</v>
      </c>
      <c r="I2326" s="1">
        <v>1.67379885954</v>
      </c>
      <c r="J2326" s="1">
        <v>0.76480244164699995</v>
      </c>
      <c r="K2326" s="1">
        <v>6407.3435608</v>
      </c>
      <c r="L2326" s="1">
        <v>1756.6556081599999</v>
      </c>
      <c r="M2326" s="1" t="s">
        <v>198</v>
      </c>
      <c r="N2326" s="1" t="b">
        <v>1</v>
      </c>
    </row>
    <row r="2327" spans="1:14" ht="19" customHeight="1" x14ac:dyDescent="0.3">
      <c r="A2327">
        <v>2322</v>
      </c>
      <c r="B2327" s="1">
        <v>9</v>
      </c>
      <c r="C2327" s="1">
        <v>50</v>
      </c>
      <c r="D2327" s="1">
        <v>5.5E-2</v>
      </c>
      <c r="E2327" s="1">
        <v>8.5000000000000006E-2</v>
      </c>
      <c r="F2327" s="1">
        <v>5</v>
      </c>
      <c r="G2327" s="1">
        <v>1</v>
      </c>
      <c r="H2327" s="1">
        <v>1.11579289482</v>
      </c>
      <c r="I2327" s="1">
        <v>1.25534914466</v>
      </c>
      <c r="J2327" s="1">
        <v>0.62713800215100002</v>
      </c>
      <c r="K2327" s="1">
        <v>5446.2168719199999</v>
      </c>
      <c r="L2327" s="1">
        <v>1440.4575986899999</v>
      </c>
      <c r="M2327" s="1" t="s">
        <v>198</v>
      </c>
      <c r="N2327" s="1" t="b">
        <v>1</v>
      </c>
    </row>
    <row r="2328" spans="1:14" ht="19" customHeight="1" x14ac:dyDescent="0.3">
      <c r="A2328">
        <v>2323</v>
      </c>
      <c r="B2328" s="1">
        <v>9</v>
      </c>
      <c r="C2328" s="1">
        <v>70</v>
      </c>
      <c r="D2328" s="1">
        <v>2.5000000000000001E-2</v>
      </c>
      <c r="E2328" s="1">
        <v>0.04</v>
      </c>
      <c r="F2328" s="1">
        <v>-5</v>
      </c>
      <c r="G2328" s="1">
        <v>0</v>
      </c>
      <c r="H2328" s="1">
        <v>1.29269412924</v>
      </c>
      <c r="I2328" s="1">
        <v>1.9391507111599999</v>
      </c>
      <c r="J2328" s="1">
        <v>0.78063352160099997</v>
      </c>
      <c r="K2328" s="1">
        <v>14549.361490900001</v>
      </c>
      <c r="L2328" s="1">
        <v>3514.3145350599998</v>
      </c>
      <c r="M2328" s="1" t="s">
        <v>198</v>
      </c>
      <c r="N2328" s="1" t="b">
        <v>1</v>
      </c>
    </row>
    <row r="2329" spans="1:14" ht="19" customHeight="1" x14ac:dyDescent="0.3">
      <c r="A2329">
        <v>2324</v>
      </c>
      <c r="B2329" s="1">
        <v>9</v>
      </c>
      <c r="C2329" s="1">
        <v>70</v>
      </c>
      <c r="D2329" s="1">
        <v>2.5000000000000001E-2</v>
      </c>
      <c r="E2329" s="1">
        <v>0.04</v>
      </c>
      <c r="F2329" s="1">
        <v>-5</v>
      </c>
      <c r="G2329" s="1">
        <v>1</v>
      </c>
      <c r="H2329" s="1">
        <v>1.29269412924</v>
      </c>
      <c r="I2329" s="1">
        <v>1.4543630333699999</v>
      </c>
      <c r="J2329" s="1">
        <v>0.64011948771299998</v>
      </c>
      <c r="K2329" s="1">
        <v>12366.907963899999</v>
      </c>
      <c r="L2329" s="1">
        <v>2881.7379187500001</v>
      </c>
      <c r="M2329" s="1" t="s">
        <v>198</v>
      </c>
      <c r="N2329" s="1" t="b">
        <v>1</v>
      </c>
    </row>
    <row r="2330" spans="1:14" ht="19" customHeight="1" x14ac:dyDescent="0.3">
      <c r="A2330">
        <v>2325</v>
      </c>
      <c r="B2330" s="1">
        <v>9</v>
      </c>
      <c r="C2330" s="1">
        <v>70</v>
      </c>
      <c r="D2330" s="1">
        <v>2.5000000000000001E-2</v>
      </c>
      <c r="E2330" s="1">
        <v>0.04</v>
      </c>
      <c r="F2330" s="1">
        <v>0</v>
      </c>
      <c r="G2330" s="1">
        <v>0</v>
      </c>
      <c r="H2330" s="1">
        <v>1.3221094283099999</v>
      </c>
      <c r="I2330" s="1">
        <v>1.9832761518499999</v>
      </c>
      <c r="J2330" s="1">
        <v>0.77313352160100002</v>
      </c>
      <c r="K2330" s="1">
        <v>14880.4327087</v>
      </c>
      <c r="L2330" s="1">
        <v>3480.5504725599999</v>
      </c>
      <c r="M2330" s="1" t="s">
        <v>198</v>
      </c>
      <c r="N2330" s="1" t="b">
        <v>1</v>
      </c>
    </row>
    <row r="2331" spans="1:14" ht="19" customHeight="1" x14ac:dyDescent="0.3">
      <c r="A2331">
        <v>2326</v>
      </c>
      <c r="B2331" s="1">
        <v>9</v>
      </c>
      <c r="C2331" s="1">
        <v>70</v>
      </c>
      <c r="D2331" s="1">
        <v>2.5000000000000001E-2</v>
      </c>
      <c r="E2331" s="1">
        <v>0.04</v>
      </c>
      <c r="F2331" s="1">
        <v>0</v>
      </c>
      <c r="G2331" s="1">
        <v>1</v>
      </c>
      <c r="H2331" s="1">
        <v>1.3221094283099999</v>
      </c>
      <c r="I2331" s="1">
        <v>1.4874571138899999</v>
      </c>
      <c r="J2331" s="1">
        <v>0.63396948771299999</v>
      </c>
      <c r="K2331" s="1">
        <v>12648.317377199999</v>
      </c>
      <c r="L2331" s="1">
        <v>2854.0513875000001</v>
      </c>
      <c r="M2331" s="1" t="s">
        <v>198</v>
      </c>
      <c r="N2331" s="1" t="b">
        <v>1</v>
      </c>
    </row>
    <row r="2332" spans="1:14" ht="19" customHeight="1" x14ac:dyDescent="0.3">
      <c r="A2332">
        <v>2327</v>
      </c>
      <c r="B2332" s="1">
        <v>9</v>
      </c>
      <c r="C2332" s="1">
        <v>70</v>
      </c>
      <c r="D2332" s="1">
        <v>2.5000000000000001E-2</v>
      </c>
      <c r="E2332" s="1">
        <v>0.04</v>
      </c>
      <c r="F2332" s="1">
        <v>5</v>
      </c>
      <c r="G2332" s="1">
        <v>0</v>
      </c>
      <c r="H2332" s="1">
        <v>1.29269412924</v>
      </c>
      <c r="I2332" s="1">
        <v>1.9391507111599999</v>
      </c>
      <c r="J2332" s="1">
        <v>0.78063352160099997</v>
      </c>
      <c r="K2332" s="1">
        <v>14549.361490900001</v>
      </c>
      <c r="L2332" s="1">
        <v>3514.3145350599998</v>
      </c>
      <c r="M2332" s="1" t="s">
        <v>198</v>
      </c>
      <c r="N2332" s="1" t="b">
        <v>1</v>
      </c>
    </row>
    <row r="2333" spans="1:14" ht="19" customHeight="1" x14ac:dyDescent="0.3">
      <c r="A2333">
        <v>2328</v>
      </c>
      <c r="B2333" s="1">
        <v>9</v>
      </c>
      <c r="C2333" s="1">
        <v>70</v>
      </c>
      <c r="D2333" s="1">
        <v>2.5000000000000001E-2</v>
      </c>
      <c r="E2333" s="1">
        <v>0.04</v>
      </c>
      <c r="F2333" s="1">
        <v>5</v>
      </c>
      <c r="G2333" s="1">
        <v>1</v>
      </c>
      <c r="H2333" s="1">
        <v>1.29269412924</v>
      </c>
      <c r="I2333" s="1">
        <v>1.4543630333699999</v>
      </c>
      <c r="J2333" s="1">
        <v>0.64011948771299998</v>
      </c>
      <c r="K2333" s="1">
        <v>12366.907963899999</v>
      </c>
      <c r="L2333" s="1">
        <v>2881.7379187500001</v>
      </c>
      <c r="M2333" s="1" t="s">
        <v>198</v>
      </c>
      <c r="N2333" s="1" t="b">
        <v>1</v>
      </c>
    </row>
    <row r="2334" spans="1:14" ht="19" customHeight="1" x14ac:dyDescent="0.3">
      <c r="A2334">
        <v>2329</v>
      </c>
      <c r="B2334" s="1">
        <v>9</v>
      </c>
      <c r="C2334" s="1">
        <v>70</v>
      </c>
      <c r="D2334" s="1">
        <v>2.5000000000000001E-2</v>
      </c>
      <c r="E2334" s="1">
        <v>0.06</v>
      </c>
      <c r="F2334" s="1">
        <v>-5</v>
      </c>
      <c r="G2334" s="1">
        <v>0</v>
      </c>
      <c r="H2334" s="1">
        <v>1.3333091428699999</v>
      </c>
      <c r="I2334" s="1">
        <v>2.0000732316200001</v>
      </c>
      <c r="J2334" s="1">
        <v>0.78426820244700002</v>
      </c>
      <c r="K2334" s="1">
        <v>15006.4707772</v>
      </c>
      <c r="L2334" s="1">
        <v>3530.67741389</v>
      </c>
      <c r="M2334" s="1" t="s">
        <v>198</v>
      </c>
      <c r="N2334" s="1" t="b">
        <v>1</v>
      </c>
    </row>
    <row r="2335" spans="1:14" ht="19" customHeight="1" x14ac:dyDescent="0.3">
      <c r="A2335">
        <v>2330</v>
      </c>
      <c r="B2335" s="1">
        <v>9</v>
      </c>
      <c r="C2335" s="1">
        <v>70</v>
      </c>
      <c r="D2335" s="1">
        <v>2.5000000000000001E-2</v>
      </c>
      <c r="E2335" s="1">
        <v>0.06</v>
      </c>
      <c r="F2335" s="1">
        <v>-5</v>
      </c>
      <c r="G2335" s="1">
        <v>1</v>
      </c>
      <c r="H2335" s="1">
        <v>1.3333091428699999</v>
      </c>
      <c r="I2335" s="1">
        <v>1.50005492371</v>
      </c>
      <c r="J2335" s="1">
        <v>0.64309992600599997</v>
      </c>
      <c r="K2335" s="1">
        <v>12755.4508573</v>
      </c>
      <c r="L2335" s="1">
        <v>2895.15547939</v>
      </c>
      <c r="M2335" s="1" t="s">
        <v>198</v>
      </c>
      <c r="N2335" s="1" t="b">
        <v>1</v>
      </c>
    </row>
    <row r="2336" spans="1:14" ht="19" customHeight="1" x14ac:dyDescent="0.3">
      <c r="A2336">
        <v>2331</v>
      </c>
      <c r="B2336" s="1">
        <v>9</v>
      </c>
      <c r="C2336" s="1">
        <v>70</v>
      </c>
      <c r="D2336" s="1">
        <v>2.5000000000000001E-2</v>
      </c>
      <c r="E2336" s="1">
        <v>0.06</v>
      </c>
      <c r="F2336" s="1">
        <v>0</v>
      </c>
      <c r="G2336" s="1">
        <v>0</v>
      </c>
      <c r="H2336" s="1">
        <v>1.3636486379699999</v>
      </c>
      <c r="I2336" s="1">
        <v>2.0455849663299999</v>
      </c>
      <c r="J2336" s="1">
        <v>0.77676820244699996</v>
      </c>
      <c r="K2336" s="1">
        <v>15347.943532400001</v>
      </c>
      <c r="L2336" s="1">
        <v>3496.9133513900001</v>
      </c>
      <c r="M2336" s="1" t="s">
        <v>198</v>
      </c>
      <c r="N2336" s="1" t="b">
        <v>1</v>
      </c>
    </row>
    <row r="2337" spans="1:14" ht="19" customHeight="1" x14ac:dyDescent="0.3">
      <c r="A2337">
        <v>2332</v>
      </c>
      <c r="B2337" s="1">
        <v>9</v>
      </c>
      <c r="C2337" s="1">
        <v>70</v>
      </c>
      <c r="D2337" s="1">
        <v>2.5000000000000001E-2</v>
      </c>
      <c r="E2337" s="1">
        <v>0.06</v>
      </c>
      <c r="F2337" s="1">
        <v>0</v>
      </c>
      <c r="G2337" s="1">
        <v>1</v>
      </c>
      <c r="H2337" s="1">
        <v>1.3636486379699999</v>
      </c>
      <c r="I2337" s="1">
        <v>1.5341887247499999</v>
      </c>
      <c r="J2337" s="1">
        <v>0.63694992600599998</v>
      </c>
      <c r="K2337" s="1">
        <v>13045.7015773</v>
      </c>
      <c r="L2337" s="1">
        <v>2867.4689481400001</v>
      </c>
      <c r="M2337" s="1" t="s">
        <v>198</v>
      </c>
      <c r="N2337" s="1" t="b">
        <v>1</v>
      </c>
    </row>
    <row r="2338" spans="1:14" ht="19" customHeight="1" x14ac:dyDescent="0.3">
      <c r="A2338">
        <v>2333</v>
      </c>
      <c r="B2338" s="1">
        <v>9</v>
      </c>
      <c r="C2338" s="1">
        <v>70</v>
      </c>
      <c r="D2338" s="1">
        <v>2.5000000000000001E-2</v>
      </c>
      <c r="E2338" s="1">
        <v>0.06</v>
      </c>
      <c r="F2338" s="1">
        <v>5</v>
      </c>
      <c r="G2338" s="1">
        <v>0</v>
      </c>
      <c r="H2338" s="1">
        <v>1.3333091428699999</v>
      </c>
      <c r="I2338" s="1">
        <v>2.0000732316200001</v>
      </c>
      <c r="J2338" s="1">
        <v>0.78426820244700002</v>
      </c>
      <c r="K2338" s="1">
        <v>15006.4707772</v>
      </c>
      <c r="L2338" s="1">
        <v>3530.67741389</v>
      </c>
      <c r="M2338" s="1" t="s">
        <v>198</v>
      </c>
      <c r="N2338" s="1" t="b">
        <v>1</v>
      </c>
    </row>
    <row r="2339" spans="1:14" ht="19" customHeight="1" x14ac:dyDescent="0.3">
      <c r="A2339">
        <v>2334</v>
      </c>
      <c r="B2339" s="1">
        <v>9</v>
      </c>
      <c r="C2339" s="1">
        <v>70</v>
      </c>
      <c r="D2339" s="1">
        <v>2.5000000000000001E-2</v>
      </c>
      <c r="E2339" s="1">
        <v>0.06</v>
      </c>
      <c r="F2339" s="1">
        <v>5</v>
      </c>
      <c r="G2339" s="1">
        <v>1</v>
      </c>
      <c r="H2339" s="1">
        <v>1.3333091428699999</v>
      </c>
      <c r="I2339" s="1">
        <v>1.50005492371</v>
      </c>
      <c r="J2339" s="1">
        <v>0.64309992600599997</v>
      </c>
      <c r="K2339" s="1">
        <v>12755.4508573</v>
      </c>
      <c r="L2339" s="1">
        <v>2895.15547939</v>
      </c>
      <c r="M2339" s="1" t="s">
        <v>198</v>
      </c>
      <c r="N2339" s="1" t="b">
        <v>1</v>
      </c>
    </row>
    <row r="2340" spans="1:14" ht="19" customHeight="1" x14ac:dyDescent="0.3">
      <c r="A2340">
        <v>2335</v>
      </c>
      <c r="B2340" s="1">
        <v>9</v>
      </c>
      <c r="C2340" s="1">
        <v>70</v>
      </c>
      <c r="D2340" s="1">
        <v>2.5000000000000001E-2</v>
      </c>
      <c r="E2340" s="1">
        <v>8.5000000000000006E-2</v>
      </c>
      <c r="F2340" s="1">
        <v>-5</v>
      </c>
      <c r="G2340" s="1">
        <v>0</v>
      </c>
      <c r="H2340" s="1">
        <v>1.22947763393</v>
      </c>
      <c r="I2340" s="1">
        <v>1.8443259681999999</v>
      </c>
      <c r="J2340" s="1">
        <v>0.77497621007999995</v>
      </c>
      <c r="K2340" s="1">
        <v>13837.879591299999</v>
      </c>
      <c r="L2340" s="1">
        <v>3488.8460257500001</v>
      </c>
      <c r="M2340" s="1" t="s">
        <v>198</v>
      </c>
      <c r="N2340" s="1" t="b">
        <v>1</v>
      </c>
    </row>
    <row r="2341" spans="1:14" ht="19" customHeight="1" x14ac:dyDescent="0.3">
      <c r="A2341">
        <v>2336</v>
      </c>
      <c r="B2341" s="1">
        <v>9</v>
      </c>
      <c r="C2341" s="1">
        <v>70</v>
      </c>
      <c r="D2341" s="1">
        <v>2.5000000000000001E-2</v>
      </c>
      <c r="E2341" s="1">
        <v>8.5000000000000006E-2</v>
      </c>
      <c r="F2341" s="1">
        <v>-5</v>
      </c>
      <c r="G2341" s="1">
        <v>1</v>
      </c>
      <c r="H2341" s="1">
        <v>1.22947763393</v>
      </c>
      <c r="I2341" s="1">
        <v>1.38324447615</v>
      </c>
      <c r="J2341" s="1">
        <v>0.63548049226500003</v>
      </c>
      <c r="K2341" s="1">
        <v>11762.1483493</v>
      </c>
      <c r="L2341" s="1">
        <v>2860.85374112</v>
      </c>
      <c r="M2341" s="1" t="s">
        <v>198</v>
      </c>
      <c r="N2341" s="1" t="b">
        <v>1</v>
      </c>
    </row>
    <row r="2342" spans="1:14" ht="19" customHeight="1" x14ac:dyDescent="0.3">
      <c r="A2342">
        <v>2337</v>
      </c>
      <c r="B2342" s="1">
        <v>9</v>
      </c>
      <c r="C2342" s="1">
        <v>70</v>
      </c>
      <c r="D2342" s="1">
        <v>2.5000000000000001E-2</v>
      </c>
      <c r="E2342" s="1">
        <v>8.5000000000000006E-2</v>
      </c>
      <c r="F2342" s="1">
        <v>0</v>
      </c>
      <c r="G2342" s="1">
        <v>0</v>
      </c>
      <c r="H2342" s="1">
        <v>1.25745443949</v>
      </c>
      <c r="I2342" s="1">
        <v>1.88629366862</v>
      </c>
      <c r="J2342" s="1">
        <v>0.76747621008</v>
      </c>
      <c r="K2342" s="1">
        <v>14152.761014199999</v>
      </c>
      <c r="L2342" s="1">
        <v>3455.0819632500002</v>
      </c>
      <c r="M2342" s="1" t="s">
        <v>198</v>
      </c>
      <c r="N2342" s="1" t="b">
        <v>1</v>
      </c>
    </row>
    <row r="2343" spans="1:14" ht="19" customHeight="1" x14ac:dyDescent="0.3">
      <c r="A2343">
        <v>2338</v>
      </c>
      <c r="B2343" s="1">
        <v>9</v>
      </c>
      <c r="C2343" s="1">
        <v>70</v>
      </c>
      <c r="D2343" s="1">
        <v>2.5000000000000001E-2</v>
      </c>
      <c r="E2343" s="1">
        <v>8.5000000000000006E-2</v>
      </c>
      <c r="F2343" s="1">
        <v>0</v>
      </c>
      <c r="G2343" s="1">
        <v>1</v>
      </c>
      <c r="H2343" s="1">
        <v>1.25745443949</v>
      </c>
      <c r="I2343" s="1">
        <v>1.4147202514599999</v>
      </c>
      <c r="J2343" s="1">
        <v>0.62933049226500004</v>
      </c>
      <c r="K2343" s="1">
        <v>12029.7964369</v>
      </c>
      <c r="L2343" s="1">
        <v>2833.1672098700001</v>
      </c>
      <c r="M2343" s="1" t="s">
        <v>198</v>
      </c>
      <c r="N2343" s="1" t="b">
        <v>1</v>
      </c>
    </row>
    <row r="2344" spans="1:14" ht="19" customHeight="1" x14ac:dyDescent="0.3">
      <c r="A2344">
        <v>2339</v>
      </c>
      <c r="B2344" s="1">
        <v>9</v>
      </c>
      <c r="C2344" s="1">
        <v>70</v>
      </c>
      <c r="D2344" s="1">
        <v>2.5000000000000001E-2</v>
      </c>
      <c r="E2344" s="1">
        <v>8.5000000000000006E-2</v>
      </c>
      <c r="F2344" s="1">
        <v>5</v>
      </c>
      <c r="G2344" s="1">
        <v>0</v>
      </c>
      <c r="H2344" s="1">
        <v>1.22947763393</v>
      </c>
      <c r="I2344" s="1">
        <v>1.8443259681999999</v>
      </c>
      <c r="J2344" s="1">
        <v>0.77497621007999995</v>
      </c>
      <c r="K2344" s="1">
        <v>13837.879591299999</v>
      </c>
      <c r="L2344" s="1">
        <v>3488.8460257500001</v>
      </c>
      <c r="M2344" s="1" t="s">
        <v>198</v>
      </c>
      <c r="N2344" s="1" t="b">
        <v>1</v>
      </c>
    </row>
    <row r="2345" spans="1:14" ht="19" customHeight="1" x14ac:dyDescent="0.3">
      <c r="A2345">
        <v>2340</v>
      </c>
      <c r="B2345" s="1">
        <v>9</v>
      </c>
      <c r="C2345" s="1">
        <v>70</v>
      </c>
      <c r="D2345" s="1">
        <v>2.5000000000000001E-2</v>
      </c>
      <c r="E2345" s="1">
        <v>8.5000000000000006E-2</v>
      </c>
      <c r="F2345" s="1">
        <v>5</v>
      </c>
      <c r="G2345" s="1">
        <v>1</v>
      </c>
      <c r="H2345" s="1">
        <v>1.22947763393</v>
      </c>
      <c r="I2345" s="1">
        <v>1.38324447615</v>
      </c>
      <c r="J2345" s="1">
        <v>0.63548049226500003</v>
      </c>
      <c r="K2345" s="1">
        <v>11762.1483493</v>
      </c>
      <c r="L2345" s="1">
        <v>2860.85374112</v>
      </c>
      <c r="M2345" s="1" t="s">
        <v>198</v>
      </c>
      <c r="N2345" s="1" t="b">
        <v>1</v>
      </c>
    </row>
    <row r="2346" spans="1:14" ht="19" customHeight="1" x14ac:dyDescent="0.3">
      <c r="A2346">
        <v>2341</v>
      </c>
      <c r="B2346" s="1">
        <v>9</v>
      </c>
      <c r="C2346" s="1">
        <v>70</v>
      </c>
      <c r="D2346" s="1">
        <v>0.04</v>
      </c>
      <c r="E2346" s="1">
        <v>0.04</v>
      </c>
      <c r="F2346" s="1">
        <v>-5</v>
      </c>
      <c r="G2346" s="1">
        <v>0</v>
      </c>
      <c r="H2346" s="1">
        <v>1.29868294269</v>
      </c>
      <c r="I2346" s="1">
        <v>1.9481339313399999</v>
      </c>
      <c r="J2346" s="1">
        <v>0.78116946689800004</v>
      </c>
      <c r="K2346" s="1">
        <v>14616.763714799999</v>
      </c>
      <c r="L2346" s="1">
        <v>3516.7272937900002</v>
      </c>
      <c r="M2346" s="1" t="s">
        <v>198</v>
      </c>
      <c r="N2346" s="1" t="b">
        <v>1</v>
      </c>
    </row>
    <row r="2347" spans="1:14" ht="19" customHeight="1" x14ac:dyDescent="0.3">
      <c r="A2347">
        <v>2342</v>
      </c>
      <c r="B2347" s="1">
        <v>9</v>
      </c>
      <c r="C2347" s="1">
        <v>70</v>
      </c>
      <c r="D2347" s="1">
        <v>0.04</v>
      </c>
      <c r="E2347" s="1">
        <v>0.04</v>
      </c>
      <c r="F2347" s="1">
        <v>-5</v>
      </c>
      <c r="G2347" s="1">
        <v>1</v>
      </c>
      <c r="H2347" s="1">
        <v>1.29868294269</v>
      </c>
      <c r="I2347" s="1">
        <v>1.4611004485100001</v>
      </c>
      <c r="J2347" s="1">
        <v>0.64055896285699998</v>
      </c>
      <c r="K2347" s="1">
        <v>12424.199854300001</v>
      </c>
      <c r="L2347" s="1">
        <v>2883.7163809100002</v>
      </c>
      <c r="M2347" s="1" t="s">
        <v>198</v>
      </c>
      <c r="N2347" s="1" t="b">
        <v>1</v>
      </c>
    </row>
    <row r="2348" spans="1:14" ht="19" customHeight="1" x14ac:dyDescent="0.3">
      <c r="A2348">
        <v>2343</v>
      </c>
      <c r="B2348" s="1">
        <v>9</v>
      </c>
      <c r="C2348" s="1">
        <v>70</v>
      </c>
      <c r="D2348" s="1">
        <v>0.04</v>
      </c>
      <c r="E2348" s="1">
        <v>0.04</v>
      </c>
      <c r="F2348" s="1">
        <v>0</v>
      </c>
      <c r="G2348" s="1">
        <v>0</v>
      </c>
      <c r="H2348" s="1">
        <v>1.3282345174200001</v>
      </c>
      <c r="I2348" s="1">
        <v>1.99246378551</v>
      </c>
      <c r="J2348" s="1">
        <v>0.77366946689799998</v>
      </c>
      <c r="K2348" s="1">
        <v>14949.368672500001</v>
      </c>
      <c r="L2348" s="1">
        <v>3482.9632312899998</v>
      </c>
      <c r="M2348" s="1" t="s">
        <v>198</v>
      </c>
      <c r="N2348" s="1" t="b">
        <v>1</v>
      </c>
    </row>
    <row r="2349" spans="1:14" ht="19" customHeight="1" x14ac:dyDescent="0.3">
      <c r="A2349">
        <v>2344</v>
      </c>
      <c r="B2349" s="1">
        <v>9</v>
      </c>
      <c r="C2349" s="1">
        <v>70</v>
      </c>
      <c r="D2349" s="1">
        <v>0.04</v>
      </c>
      <c r="E2349" s="1">
        <v>0.04</v>
      </c>
      <c r="F2349" s="1">
        <v>0</v>
      </c>
      <c r="G2349" s="1">
        <v>1</v>
      </c>
      <c r="H2349" s="1">
        <v>1.3282345174200001</v>
      </c>
      <c r="I2349" s="1">
        <v>1.49434783913</v>
      </c>
      <c r="J2349" s="1">
        <v>0.63440896285699999</v>
      </c>
      <c r="K2349" s="1">
        <v>12706.9129464</v>
      </c>
      <c r="L2349" s="1">
        <v>2856.0298496599999</v>
      </c>
      <c r="M2349" s="1" t="s">
        <v>198</v>
      </c>
      <c r="N2349" s="1" t="b">
        <v>1</v>
      </c>
    </row>
    <row r="2350" spans="1:14" ht="19" customHeight="1" x14ac:dyDescent="0.3">
      <c r="A2350">
        <v>2345</v>
      </c>
      <c r="B2350" s="1">
        <v>9</v>
      </c>
      <c r="C2350" s="1">
        <v>70</v>
      </c>
      <c r="D2350" s="1">
        <v>0.04</v>
      </c>
      <c r="E2350" s="1">
        <v>0.04</v>
      </c>
      <c r="F2350" s="1">
        <v>5</v>
      </c>
      <c r="G2350" s="1">
        <v>0</v>
      </c>
      <c r="H2350" s="1">
        <v>1.29868294269</v>
      </c>
      <c r="I2350" s="1">
        <v>1.9481339313399999</v>
      </c>
      <c r="J2350" s="1">
        <v>0.78116946689800004</v>
      </c>
      <c r="K2350" s="1">
        <v>14616.763714799999</v>
      </c>
      <c r="L2350" s="1">
        <v>3516.7272937900002</v>
      </c>
      <c r="M2350" s="1" t="s">
        <v>198</v>
      </c>
      <c r="N2350" s="1" t="b">
        <v>1</v>
      </c>
    </row>
    <row r="2351" spans="1:14" ht="19" customHeight="1" x14ac:dyDescent="0.3">
      <c r="A2351">
        <v>2346</v>
      </c>
      <c r="B2351" s="1">
        <v>9</v>
      </c>
      <c r="C2351" s="1">
        <v>70</v>
      </c>
      <c r="D2351" s="1">
        <v>0.04</v>
      </c>
      <c r="E2351" s="1">
        <v>0.04</v>
      </c>
      <c r="F2351" s="1">
        <v>5</v>
      </c>
      <c r="G2351" s="1">
        <v>1</v>
      </c>
      <c r="H2351" s="1">
        <v>1.29868294269</v>
      </c>
      <c r="I2351" s="1">
        <v>1.4611004485100001</v>
      </c>
      <c r="J2351" s="1">
        <v>0.64055896285699998</v>
      </c>
      <c r="K2351" s="1">
        <v>12424.199854300001</v>
      </c>
      <c r="L2351" s="1">
        <v>2883.7163809100002</v>
      </c>
      <c r="M2351" s="1" t="s">
        <v>198</v>
      </c>
      <c r="N2351" s="1" t="b">
        <v>1</v>
      </c>
    </row>
    <row r="2352" spans="1:14" ht="19" customHeight="1" x14ac:dyDescent="0.3">
      <c r="A2352">
        <v>2347</v>
      </c>
      <c r="B2352" s="1">
        <v>9</v>
      </c>
      <c r="C2352" s="1">
        <v>70</v>
      </c>
      <c r="D2352" s="1">
        <v>0.04</v>
      </c>
      <c r="E2352" s="1">
        <v>0.06</v>
      </c>
      <c r="F2352" s="1">
        <v>-5</v>
      </c>
      <c r="G2352" s="1">
        <v>0</v>
      </c>
      <c r="H2352" s="1">
        <v>1.33987875825</v>
      </c>
      <c r="I2352" s="1">
        <v>2.0099276546799998</v>
      </c>
      <c r="J2352" s="1">
        <v>0.78485612432600005</v>
      </c>
      <c r="K2352" s="1">
        <v>15080.409745200001</v>
      </c>
      <c r="L2352" s="1">
        <v>3533.3241647</v>
      </c>
      <c r="M2352" s="1" t="s">
        <v>198</v>
      </c>
      <c r="N2352" s="1" t="b">
        <v>1</v>
      </c>
    </row>
    <row r="2353" spans="1:14" ht="19" customHeight="1" x14ac:dyDescent="0.3">
      <c r="A2353">
        <v>2348</v>
      </c>
      <c r="B2353" s="1">
        <v>9</v>
      </c>
      <c r="C2353" s="1">
        <v>70</v>
      </c>
      <c r="D2353" s="1">
        <v>0.04</v>
      </c>
      <c r="E2353" s="1">
        <v>0.06</v>
      </c>
      <c r="F2353" s="1">
        <v>-5</v>
      </c>
      <c r="G2353" s="1">
        <v>1</v>
      </c>
      <c r="H2353" s="1">
        <v>1.33987875825</v>
      </c>
      <c r="I2353" s="1">
        <v>1.50744574101</v>
      </c>
      <c r="J2353" s="1">
        <v>0.64358202194699998</v>
      </c>
      <c r="K2353" s="1">
        <v>12818.2989801</v>
      </c>
      <c r="L2353" s="1">
        <v>2897.3258150500001</v>
      </c>
      <c r="M2353" s="1" t="s">
        <v>198</v>
      </c>
      <c r="N2353" s="1" t="b">
        <v>1</v>
      </c>
    </row>
    <row r="2354" spans="1:14" ht="19" customHeight="1" x14ac:dyDescent="0.3">
      <c r="A2354">
        <v>2349</v>
      </c>
      <c r="B2354" s="1">
        <v>9</v>
      </c>
      <c r="C2354" s="1">
        <v>70</v>
      </c>
      <c r="D2354" s="1">
        <v>0.04</v>
      </c>
      <c r="E2354" s="1">
        <v>0.06</v>
      </c>
      <c r="F2354" s="1">
        <v>0</v>
      </c>
      <c r="G2354" s="1">
        <v>0</v>
      </c>
      <c r="H2354" s="1">
        <v>1.37036774517</v>
      </c>
      <c r="I2354" s="1">
        <v>2.0556636271299999</v>
      </c>
      <c r="J2354" s="1">
        <v>0.77735612432599999</v>
      </c>
      <c r="K2354" s="1">
        <v>15423.5649842</v>
      </c>
      <c r="L2354" s="1">
        <v>3499.5601022000001</v>
      </c>
      <c r="M2354" s="1" t="s">
        <v>198</v>
      </c>
      <c r="N2354" s="1" t="b">
        <v>1</v>
      </c>
    </row>
    <row r="2355" spans="1:14" ht="19" customHeight="1" x14ac:dyDescent="0.3">
      <c r="A2355">
        <v>2350</v>
      </c>
      <c r="B2355" s="1">
        <v>9</v>
      </c>
      <c r="C2355" s="1">
        <v>70</v>
      </c>
      <c r="D2355" s="1">
        <v>0.04</v>
      </c>
      <c r="E2355" s="1">
        <v>0.06</v>
      </c>
      <c r="F2355" s="1">
        <v>0</v>
      </c>
      <c r="G2355" s="1">
        <v>1</v>
      </c>
      <c r="H2355" s="1">
        <v>1.37036774517</v>
      </c>
      <c r="I2355" s="1">
        <v>1.5417477203500001</v>
      </c>
      <c r="J2355" s="1">
        <v>0.63743202194699999</v>
      </c>
      <c r="K2355" s="1">
        <v>13109.9798113</v>
      </c>
      <c r="L2355" s="1">
        <v>2869.6392838000002</v>
      </c>
      <c r="M2355" s="1" t="s">
        <v>198</v>
      </c>
      <c r="N2355" s="1" t="b">
        <v>1</v>
      </c>
    </row>
    <row r="2356" spans="1:14" ht="19" customHeight="1" x14ac:dyDescent="0.3">
      <c r="A2356">
        <v>2351</v>
      </c>
      <c r="B2356" s="1">
        <v>9</v>
      </c>
      <c r="C2356" s="1">
        <v>70</v>
      </c>
      <c r="D2356" s="1">
        <v>0.04</v>
      </c>
      <c r="E2356" s="1">
        <v>0.06</v>
      </c>
      <c r="F2356" s="1">
        <v>5</v>
      </c>
      <c r="G2356" s="1">
        <v>0</v>
      </c>
      <c r="H2356" s="1">
        <v>1.33987875825</v>
      </c>
      <c r="I2356" s="1">
        <v>2.0099276546799998</v>
      </c>
      <c r="J2356" s="1">
        <v>0.78485612432600005</v>
      </c>
      <c r="K2356" s="1">
        <v>15080.409745200001</v>
      </c>
      <c r="L2356" s="1">
        <v>3533.3241647</v>
      </c>
      <c r="M2356" s="1" t="s">
        <v>198</v>
      </c>
      <c r="N2356" s="1" t="b">
        <v>1</v>
      </c>
    </row>
    <row r="2357" spans="1:14" ht="19" customHeight="1" x14ac:dyDescent="0.3">
      <c r="A2357">
        <v>2352</v>
      </c>
      <c r="B2357" s="1">
        <v>9</v>
      </c>
      <c r="C2357" s="1">
        <v>70</v>
      </c>
      <c r="D2357" s="1">
        <v>0.04</v>
      </c>
      <c r="E2357" s="1">
        <v>0.06</v>
      </c>
      <c r="F2357" s="1">
        <v>5</v>
      </c>
      <c r="G2357" s="1">
        <v>1</v>
      </c>
      <c r="H2357" s="1">
        <v>1.33987875825</v>
      </c>
      <c r="I2357" s="1">
        <v>1.50744574101</v>
      </c>
      <c r="J2357" s="1">
        <v>0.64358202194699998</v>
      </c>
      <c r="K2357" s="1">
        <v>12818.2989801</v>
      </c>
      <c r="L2357" s="1">
        <v>2897.3258150500001</v>
      </c>
      <c r="M2357" s="1" t="s">
        <v>198</v>
      </c>
      <c r="N2357" s="1" t="b">
        <v>1</v>
      </c>
    </row>
    <row r="2358" spans="1:14" ht="19" customHeight="1" x14ac:dyDescent="0.3">
      <c r="A2358">
        <v>2353</v>
      </c>
      <c r="B2358" s="1">
        <v>9</v>
      </c>
      <c r="C2358" s="1">
        <v>70</v>
      </c>
      <c r="D2358" s="1">
        <v>0.04</v>
      </c>
      <c r="E2358" s="1">
        <v>8.5000000000000006E-2</v>
      </c>
      <c r="F2358" s="1">
        <v>-5</v>
      </c>
      <c r="G2358" s="1">
        <v>0</v>
      </c>
      <c r="H2358" s="1">
        <v>1.2345624402499999</v>
      </c>
      <c r="I2358" s="1">
        <v>1.85195317769</v>
      </c>
      <c r="J2358" s="1">
        <v>0.77543125481499997</v>
      </c>
      <c r="K2358" s="1">
        <v>13895.107497499999</v>
      </c>
      <c r="L2358" s="1">
        <v>3490.89458027</v>
      </c>
      <c r="M2358" s="1" t="s">
        <v>198</v>
      </c>
      <c r="N2358" s="1" t="b">
        <v>1</v>
      </c>
    </row>
    <row r="2359" spans="1:14" ht="19" customHeight="1" x14ac:dyDescent="0.3">
      <c r="A2359">
        <v>2354</v>
      </c>
      <c r="B2359" s="1">
        <v>9</v>
      </c>
      <c r="C2359" s="1">
        <v>70</v>
      </c>
      <c r="D2359" s="1">
        <v>0.04</v>
      </c>
      <c r="E2359" s="1">
        <v>8.5000000000000006E-2</v>
      </c>
      <c r="F2359" s="1">
        <v>-5</v>
      </c>
      <c r="G2359" s="1">
        <v>1</v>
      </c>
      <c r="H2359" s="1">
        <v>1.2345624402499999</v>
      </c>
      <c r="I2359" s="1">
        <v>1.3889648832599999</v>
      </c>
      <c r="J2359" s="1">
        <v>0.63585362894899999</v>
      </c>
      <c r="K2359" s="1">
        <v>11810.7920696</v>
      </c>
      <c r="L2359" s="1">
        <v>2862.5335558199999</v>
      </c>
      <c r="M2359" s="1" t="s">
        <v>198</v>
      </c>
      <c r="N2359" s="1" t="b">
        <v>1</v>
      </c>
    </row>
    <row r="2360" spans="1:14" ht="19" customHeight="1" x14ac:dyDescent="0.3">
      <c r="A2360">
        <v>2355</v>
      </c>
      <c r="B2360" s="1">
        <v>9</v>
      </c>
      <c r="C2360" s="1">
        <v>70</v>
      </c>
      <c r="D2360" s="1">
        <v>0.04</v>
      </c>
      <c r="E2360" s="1">
        <v>8.5000000000000006E-2</v>
      </c>
      <c r="F2360" s="1">
        <v>0</v>
      </c>
      <c r="G2360" s="1">
        <v>0</v>
      </c>
      <c r="H2360" s="1">
        <v>1.26265495076</v>
      </c>
      <c r="I2360" s="1">
        <v>1.89409443552</v>
      </c>
      <c r="J2360" s="1">
        <v>0.76793125481500002</v>
      </c>
      <c r="K2360" s="1">
        <v>14211.291143300001</v>
      </c>
      <c r="L2360" s="1">
        <v>3457.1305177700001</v>
      </c>
      <c r="M2360" s="1" t="s">
        <v>198</v>
      </c>
      <c r="N2360" s="1" t="b">
        <v>1</v>
      </c>
    </row>
    <row r="2361" spans="1:14" ht="19" customHeight="1" x14ac:dyDescent="0.3">
      <c r="A2361">
        <v>2356</v>
      </c>
      <c r="B2361" s="1">
        <v>9</v>
      </c>
      <c r="C2361" s="1">
        <v>70</v>
      </c>
      <c r="D2361" s="1">
        <v>0.04</v>
      </c>
      <c r="E2361" s="1">
        <v>8.5000000000000006E-2</v>
      </c>
      <c r="F2361" s="1">
        <v>0</v>
      </c>
      <c r="G2361" s="1">
        <v>1</v>
      </c>
      <c r="H2361" s="1">
        <v>1.26265495076</v>
      </c>
      <c r="I2361" s="1">
        <v>1.4205708266399999</v>
      </c>
      <c r="J2361" s="1">
        <v>0.629703628949</v>
      </c>
      <c r="K2361" s="1">
        <v>12079.547046600001</v>
      </c>
      <c r="L2361" s="1">
        <v>2834.84702457</v>
      </c>
      <c r="M2361" s="1" t="s">
        <v>198</v>
      </c>
      <c r="N2361" s="1" t="b">
        <v>1</v>
      </c>
    </row>
    <row r="2362" spans="1:14" ht="19" customHeight="1" x14ac:dyDescent="0.3">
      <c r="A2362">
        <v>2357</v>
      </c>
      <c r="B2362" s="1">
        <v>9</v>
      </c>
      <c r="C2362" s="1">
        <v>70</v>
      </c>
      <c r="D2362" s="1">
        <v>0.04</v>
      </c>
      <c r="E2362" s="1">
        <v>8.5000000000000006E-2</v>
      </c>
      <c r="F2362" s="1">
        <v>5</v>
      </c>
      <c r="G2362" s="1">
        <v>0</v>
      </c>
      <c r="H2362" s="1">
        <v>1.2345624402499999</v>
      </c>
      <c r="I2362" s="1">
        <v>1.85195317769</v>
      </c>
      <c r="J2362" s="1">
        <v>0.77543125481499997</v>
      </c>
      <c r="K2362" s="1">
        <v>13895.107497499999</v>
      </c>
      <c r="L2362" s="1">
        <v>3490.89458027</v>
      </c>
      <c r="M2362" s="1" t="s">
        <v>198</v>
      </c>
      <c r="N2362" s="1" t="b">
        <v>1</v>
      </c>
    </row>
    <row r="2363" spans="1:14" ht="19" customHeight="1" x14ac:dyDescent="0.3">
      <c r="A2363">
        <v>2358</v>
      </c>
      <c r="B2363" s="1">
        <v>9</v>
      </c>
      <c r="C2363" s="1">
        <v>70</v>
      </c>
      <c r="D2363" s="1">
        <v>0.04</v>
      </c>
      <c r="E2363" s="1">
        <v>8.5000000000000006E-2</v>
      </c>
      <c r="F2363" s="1">
        <v>5</v>
      </c>
      <c r="G2363" s="1">
        <v>1</v>
      </c>
      <c r="H2363" s="1">
        <v>1.2345624402499999</v>
      </c>
      <c r="I2363" s="1">
        <v>1.3889648832599999</v>
      </c>
      <c r="J2363" s="1">
        <v>0.63585362894899999</v>
      </c>
      <c r="K2363" s="1">
        <v>11810.7920696</v>
      </c>
      <c r="L2363" s="1">
        <v>2862.5335558199999</v>
      </c>
      <c r="M2363" s="1" t="s">
        <v>198</v>
      </c>
      <c r="N2363" s="1" t="b">
        <v>1</v>
      </c>
    </row>
    <row r="2364" spans="1:14" ht="19" customHeight="1" x14ac:dyDescent="0.3">
      <c r="A2364">
        <v>2359</v>
      </c>
      <c r="B2364" s="1">
        <v>9</v>
      </c>
      <c r="C2364" s="1">
        <v>70</v>
      </c>
      <c r="D2364" s="1">
        <v>5.5E-2</v>
      </c>
      <c r="E2364" s="1">
        <v>0.04</v>
      </c>
      <c r="F2364" s="1">
        <v>-5</v>
      </c>
      <c r="G2364" s="1">
        <v>0</v>
      </c>
      <c r="H2364" s="1">
        <v>1.1587978406299999</v>
      </c>
      <c r="I2364" s="1">
        <v>1.7383062782500001</v>
      </c>
      <c r="J2364" s="1">
        <v>0.768651000069</v>
      </c>
      <c r="K2364" s="1">
        <v>13042.4006052</v>
      </c>
      <c r="L2364" s="1">
        <v>3460.3707209300001</v>
      </c>
      <c r="M2364" s="1" t="s">
        <v>198</v>
      </c>
      <c r="N2364" s="1" t="b">
        <v>1</v>
      </c>
    </row>
    <row r="2365" spans="1:14" ht="19" customHeight="1" x14ac:dyDescent="0.3">
      <c r="A2365">
        <v>2360</v>
      </c>
      <c r="B2365" s="1">
        <v>9</v>
      </c>
      <c r="C2365" s="1">
        <v>70</v>
      </c>
      <c r="D2365" s="1">
        <v>5.5E-2</v>
      </c>
      <c r="E2365" s="1">
        <v>0.04</v>
      </c>
      <c r="F2365" s="1">
        <v>-5</v>
      </c>
      <c r="G2365" s="1">
        <v>1</v>
      </c>
      <c r="H2365" s="1">
        <v>1.1587978406299999</v>
      </c>
      <c r="I2365" s="1">
        <v>1.3037297086899999</v>
      </c>
      <c r="J2365" s="1">
        <v>0.63029382005599999</v>
      </c>
      <c r="K2365" s="1">
        <v>11085.991211099999</v>
      </c>
      <c r="L2365" s="1">
        <v>2837.5039911700001</v>
      </c>
      <c r="M2365" s="1" t="s">
        <v>198</v>
      </c>
      <c r="N2365" s="1" t="b">
        <v>1</v>
      </c>
    </row>
    <row r="2366" spans="1:14" ht="19" customHeight="1" x14ac:dyDescent="0.3">
      <c r="A2366">
        <v>2361</v>
      </c>
      <c r="B2366" s="1">
        <v>9</v>
      </c>
      <c r="C2366" s="1">
        <v>70</v>
      </c>
      <c r="D2366" s="1">
        <v>5.5E-2</v>
      </c>
      <c r="E2366" s="1">
        <v>0.04</v>
      </c>
      <c r="F2366" s="1">
        <v>0</v>
      </c>
      <c r="G2366" s="1">
        <v>0</v>
      </c>
      <c r="H2366" s="1">
        <v>1.18516632508</v>
      </c>
      <c r="I2366" s="1">
        <v>1.777861497</v>
      </c>
      <c r="J2366" s="1">
        <v>0.76115100006900005</v>
      </c>
      <c r="K2366" s="1">
        <v>13339.180876500001</v>
      </c>
      <c r="L2366" s="1">
        <v>3426.6066584300002</v>
      </c>
      <c r="M2366" s="1" t="s">
        <v>198</v>
      </c>
      <c r="N2366" s="1" t="b">
        <v>1</v>
      </c>
    </row>
    <row r="2367" spans="1:14" ht="19" customHeight="1" x14ac:dyDescent="0.3">
      <c r="A2367">
        <v>2362</v>
      </c>
      <c r="B2367" s="1">
        <v>9</v>
      </c>
      <c r="C2367" s="1">
        <v>70</v>
      </c>
      <c r="D2367" s="1">
        <v>5.5E-2</v>
      </c>
      <c r="E2367" s="1">
        <v>0.04</v>
      </c>
      <c r="F2367" s="1">
        <v>0</v>
      </c>
      <c r="G2367" s="1">
        <v>1</v>
      </c>
      <c r="H2367" s="1">
        <v>1.18516632508</v>
      </c>
      <c r="I2367" s="1">
        <v>1.33339612275</v>
      </c>
      <c r="J2367" s="1">
        <v>0.624143820056</v>
      </c>
      <c r="K2367" s="1">
        <v>11338.2533198</v>
      </c>
      <c r="L2367" s="1">
        <v>2809.8174599200001</v>
      </c>
      <c r="M2367" s="1" t="s">
        <v>198</v>
      </c>
      <c r="N2367" s="1" t="b">
        <v>1</v>
      </c>
    </row>
    <row r="2368" spans="1:14" ht="19" customHeight="1" x14ac:dyDescent="0.3">
      <c r="A2368">
        <v>2363</v>
      </c>
      <c r="B2368" s="1">
        <v>9</v>
      </c>
      <c r="C2368" s="1">
        <v>70</v>
      </c>
      <c r="D2368" s="1">
        <v>5.5E-2</v>
      </c>
      <c r="E2368" s="1">
        <v>0.04</v>
      </c>
      <c r="F2368" s="1">
        <v>5</v>
      </c>
      <c r="G2368" s="1">
        <v>0</v>
      </c>
      <c r="H2368" s="1">
        <v>1.1587978406299999</v>
      </c>
      <c r="I2368" s="1">
        <v>1.7383062782500001</v>
      </c>
      <c r="J2368" s="1">
        <v>0.768651000069</v>
      </c>
      <c r="K2368" s="1">
        <v>13042.4006052</v>
      </c>
      <c r="L2368" s="1">
        <v>3460.3707209300001</v>
      </c>
      <c r="M2368" s="1" t="s">
        <v>198</v>
      </c>
      <c r="N2368" s="1" t="b">
        <v>1</v>
      </c>
    </row>
    <row r="2369" spans="1:14" ht="19" customHeight="1" x14ac:dyDescent="0.3">
      <c r="A2369">
        <v>2364</v>
      </c>
      <c r="B2369" s="1">
        <v>9</v>
      </c>
      <c r="C2369" s="1">
        <v>70</v>
      </c>
      <c r="D2369" s="1">
        <v>5.5E-2</v>
      </c>
      <c r="E2369" s="1">
        <v>0.04</v>
      </c>
      <c r="F2369" s="1">
        <v>5</v>
      </c>
      <c r="G2369" s="1">
        <v>1</v>
      </c>
      <c r="H2369" s="1">
        <v>1.1587978406299999</v>
      </c>
      <c r="I2369" s="1">
        <v>1.3037297086899999</v>
      </c>
      <c r="J2369" s="1">
        <v>0.63029382005599999</v>
      </c>
      <c r="K2369" s="1">
        <v>11085.991211099999</v>
      </c>
      <c r="L2369" s="1">
        <v>2837.5039911700001</v>
      </c>
      <c r="M2369" s="1" t="s">
        <v>198</v>
      </c>
      <c r="N2369" s="1" t="b">
        <v>1</v>
      </c>
    </row>
    <row r="2370" spans="1:14" ht="19" customHeight="1" x14ac:dyDescent="0.3">
      <c r="A2370">
        <v>2365</v>
      </c>
      <c r="B2370" s="1">
        <v>9</v>
      </c>
      <c r="C2370" s="1">
        <v>70</v>
      </c>
      <c r="D2370" s="1">
        <v>5.5E-2</v>
      </c>
      <c r="E2370" s="1">
        <v>0.06</v>
      </c>
      <c r="F2370" s="1">
        <v>-5</v>
      </c>
      <c r="G2370" s="1">
        <v>0</v>
      </c>
      <c r="H2370" s="1">
        <v>1.1864274403299999</v>
      </c>
      <c r="I2370" s="1">
        <v>1.7797506778100001</v>
      </c>
      <c r="J2370" s="1">
        <v>0.771123602385</v>
      </c>
      <c r="K2370" s="1">
        <v>13353.363115599999</v>
      </c>
      <c r="L2370" s="1">
        <v>3471.5020674900002</v>
      </c>
      <c r="M2370" s="1" t="s">
        <v>198</v>
      </c>
      <c r="N2370" s="1" t="b">
        <v>1</v>
      </c>
    </row>
    <row r="2371" spans="1:14" ht="19" customHeight="1" x14ac:dyDescent="0.3">
      <c r="A2371">
        <v>2366</v>
      </c>
      <c r="B2371" s="1">
        <v>9</v>
      </c>
      <c r="C2371" s="1">
        <v>70</v>
      </c>
      <c r="D2371" s="1">
        <v>5.5E-2</v>
      </c>
      <c r="E2371" s="1">
        <v>0.06</v>
      </c>
      <c r="F2371" s="1">
        <v>-5</v>
      </c>
      <c r="G2371" s="1">
        <v>1</v>
      </c>
      <c r="H2371" s="1">
        <v>1.1864274403299999</v>
      </c>
      <c r="I2371" s="1">
        <v>1.3348130083600001</v>
      </c>
      <c r="J2371" s="1">
        <v>0.63232135395599998</v>
      </c>
      <c r="K2371" s="1">
        <v>11350.309344900001</v>
      </c>
      <c r="L2371" s="1">
        <v>2846.6316953400001</v>
      </c>
      <c r="M2371" s="1" t="s">
        <v>198</v>
      </c>
      <c r="N2371" s="1" t="b">
        <v>1</v>
      </c>
    </row>
    <row r="2372" spans="1:14" ht="19" customHeight="1" x14ac:dyDescent="0.3">
      <c r="A2372">
        <v>2367</v>
      </c>
      <c r="B2372" s="1">
        <v>9</v>
      </c>
      <c r="C2372" s="1">
        <v>70</v>
      </c>
      <c r="D2372" s="1">
        <v>5.5E-2</v>
      </c>
      <c r="E2372" s="1">
        <v>0.06</v>
      </c>
      <c r="F2372" s="1">
        <v>0</v>
      </c>
      <c r="G2372" s="1">
        <v>0</v>
      </c>
      <c r="H2372" s="1">
        <v>1.2134246372699999</v>
      </c>
      <c r="I2372" s="1">
        <v>1.82024896529</v>
      </c>
      <c r="J2372" s="1">
        <v>0.76362360238500004</v>
      </c>
      <c r="K2372" s="1">
        <v>13657.219349499999</v>
      </c>
      <c r="L2372" s="1">
        <v>3437.7380049899998</v>
      </c>
      <c r="M2372" s="1" t="s">
        <v>198</v>
      </c>
      <c r="N2372" s="1" t="b">
        <v>1</v>
      </c>
    </row>
    <row r="2373" spans="1:14" ht="19" customHeight="1" x14ac:dyDescent="0.3">
      <c r="A2373">
        <v>2368</v>
      </c>
      <c r="B2373" s="1">
        <v>9</v>
      </c>
      <c r="C2373" s="1">
        <v>70</v>
      </c>
      <c r="D2373" s="1">
        <v>5.5E-2</v>
      </c>
      <c r="E2373" s="1">
        <v>0.06</v>
      </c>
      <c r="F2373" s="1">
        <v>0</v>
      </c>
      <c r="G2373" s="1">
        <v>1</v>
      </c>
      <c r="H2373" s="1">
        <v>1.2134246372699999</v>
      </c>
      <c r="I2373" s="1">
        <v>1.36518672396</v>
      </c>
      <c r="J2373" s="1">
        <v>0.62617135395599999</v>
      </c>
      <c r="K2373" s="1">
        <v>11608.586021900001</v>
      </c>
      <c r="L2373" s="1">
        <v>2818.9451640900002</v>
      </c>
      <c r="M2373" s="1" t="s">
        <v>198</v>
      </c>
      <c r="N2373" s="1" t="b">
        <v>1</v>
      </c>
    </row>
    <row r="2374" spans="1:14" ht="19" customHeight="1" x14ac:dyDescent="0.3">
      <c r="A2374">
        <v>2369</v>
      </c>
      <c r="B2374" s="1">
        <v>9</v>
      </c>
      <c r="C2374" s="1">
        <v>70</v>
      </c>
      <c r="D2374" s="1">
        <v>5.5E-2</v>
      </c>
      <c r="E2374" s="1">
        <v>0.06</v>
      </c>
      <c r="F2374" s="1">
        <v>5</v>
      </c>
      <c r="G2374" s="1">
        <v>0</v>
      </c>
      <c r="H2374" s="1">
        <v>1.1864274403299999</v>
      </c>
      <c r="I2374" s="1">
        <v>1.7797506778100001</v>
      </c>
      <c r="J2374" s="1">
        <v>0.771123602385</v>
      </c>
      <c r="K2374" s="1">
        <v>13353.363115599999</v>
      </c>
      <c r="L2374" s="1">
        <v>3471.5020674900002</v>
      </c>
      <c r="M2374" s="1" t="s">
        <v>198</v>
      </c>
      <c r="N2374" s="1" t="b">
        <v>1</v>
      </c>
    </row>
    <row r="2375" spans="1:14" ht="19" customHeight="1" x14ac:dyDescent="0.3">
      <c r="A2375">
        <v>2370</v>
      </c>
      <c r="B2375" s="1">
        <v>9</v>
      </c>
      <c r="C2375" s="1">
        <v>70</v>
      </c>
      <c r="D2375" s="1">
        <v>5.5E-2</v>
      </c>
      <c r="E2375" s="1">
        <v>0.06</v>
      </c>
      <c r="F2375" s="1">
        <v>5</v>
      </c>
      <c r="G2375" s="1">
        <v>1</v>
      </c>
      <c r="H2375" s="1">
        <v>1.1864274403299999</v>
      </c>
      <c r="I2375" s="1">
        <v>1.3348130083600001</v>
      </c>
      <c r="J2375" s="1">
        <v>0.63232135395599998</v>
      </c>
      <c r="K2375" s="1">
        <v>11350.309344900001</v>
      </c>
      <c r="L2375" s="1">
        <v>2846.6316953400001</v>
      </c>
      <c r="M2375" s="1" t="s">
        <v>198</v>
      </c>
      <c r="N2375" s="1" t="b">
        <v>1</v>
      </c>
    </row>
    <row r="2376" spans="1:14" ht="19" customHeight="1" x14ac:dyDescent="0.3">
      <c r="A2376">
        <v>2371</v>
      </c>
      <c r="B2376" s="1">
        <v>9</v>
      </c>
      <c r="C2376" s="1">
        <v>70</v>
      </c>
      <c r="D2376" s="1">
        <v>5.5E-2</v>
      </c>
      <c r="E2376" s="1">
        <v>8.5000000000000006E-2</v>
      </c>
      <c r="F2376" s="1">
        <v>-5</v>
      </c>
      <c r="G2376" s="1">
        <v>0</v>
      </c>
      <c r="H2376" s="1">
        <v>1.11579289482</v>
      </c>
      <c r="I2376" s="1">
        <v>1.67379885954</v>
      </c>
      <c r="J2376" s="1">
        <v>0.76480244164699995</v>
      </c>
      <c r="K2376" s="1">
        <v>12558.393379200001</v>
      </c>
      <c r="L2376" s="1">
        <v>3443.0449919900002</v>
      </c>
      <c r="M2376" s="1" t="s">
        <v>198</v>
      </c>
      <c r="N2376" s="1" t="b">
        <v>1</v>
      </c>
    </row>
    <row r="2377" spans="1:14" ht="19" customHeight="1" x14ac:dyDescent="0.3">
      <c r="A2377">
        <v>2372</v>
      </c>
      <c r="B2377" s="1">
        <v>9</v>
      </c>
      <c r="C2377" s="1">
        <v>70</v>
      </c>
      <c r="D2377" s="1">
        <v>5.5E-2</v>
      </c>
      <c r="E2377" s="1">
        <v>8.5000000000000006E-2</v>
      </c>
      <c r="F2377" s="1">
        <v>-5</v>
      </c>
      <c r="G2377" s="1">
        <v>1</v>
      </c>
      <c r="H2377" s="1">
        <v>1.11579289482</v>
      </c>
      <c r="I2377" s="1">
        <v>1.25534914466</v>
      </c>
      <c r="J2377" s="1">
        <v>0.62713800215100002</v>
      </c>
      <c r="K2377" s="1">
        <v>10674.585069000001</v>
      </c>
      <c r="L2377" s="1">
        <v>2823.2968934300002</v>
      </c>
      <c r="M2377" s="1" t="s">
        <v>198</v>
      </c>
      <c r="N2377" s="1" t="b">
        <v>1</v>
      </c>
    </row>
    <row r="2378" spans="1:14" ht="19" customHeight="1" x14ac:dyDescent="0.3">
      <c r="A2378">
        <v>2373</v>
      </c>
      <c r="B2378" s="1">
        <v>9</v>
      </c>
      <c r="C2378" s="1">
        <v>70</v>
      </c>
      <c r="D2378" s="1">
        <v>5.5E-2</v>
      </c>
      <c r="E2378" s="1">
        <v>8.5000000000000006E-2</v>
      </c>
      <c r="F2378" s="1">
        <v>0</v>
      </c>
      <c r="G2378" s="1">
        <v>0</v>
      </c>
      <c r="H2378" s="1">
        <v>1.14118280026</v>
      </c>
      <c r="I2378" s="1">
        <v>1.7118862097700001</v>
      </c>
      <c r="J2378" s="1">
        <v>0.757302441647</v>
      </c>
      <c r="K2378" s="1">
        <v>12844.160049599999</v>
      </c>
      <c r="L2378" s="1">
        <v>3409.2809294899998</v>
      </c>
      <c r="M2378" s="1" t="s">
        <v>198</v>
      </c>
      <c r="N2378" s="1" t="b">
        <v>1</v>
      </c>
    </row>
    <row r="2379" spans="1:14" ht="19" customHeight="1" x14ac:dyDescent="0.3">
      <c r="A2379">
        <v>2374</v>
      </c>
      <c r="B2379" s="1">
        <v>9</v>
      </c>
      <c r="C2379" s="1">
        <v>70</v>
      </c>
      <c r="D2379" s="1">
        <v>5.5E-2</v>
      </c>
      <c r="E2379" s="1">
        <v>8.5000000000000006E-2</v>
      </c>
      <c r="F2379" s="1">
        <v>0</v>
      </c>
      <c r="G2379" s="1">
        <v>1</v>
      </c>
      <c r="H2379" s="1">
        <v>1.14118280026</v>
      </c>
      <c r="I2379" s="1">
        <v>1.28391465733</v>
      </c>
      <c r="J2379" s="1">
        <v>0.62098800215100003</v>
      </c>
      <c r="K2379" s="1">
        <v>10917.4856169</v>
      </c>
      <c r="L2379" s="1">
        <v>2795.6103621799998</v>
      </c>
      <c r="M2379" s="1" t="s">
        <v>198</v>
      </c>
      <c r="N2379" s="1" t="b">
        <v>1</v>
      </c>
    </row>
    <row r="2380" spans="1:14" ht="19" customHeight="1" x14ac:dyDescent="0.3">
      <c r="A2380">
        <v>2375</v>
      </c>
      <c r="B2380" s="1">
        <v>9</v>
      </c>
      <c r="C2380" s="1">
        <v>70</v>
      </c>
      <c r="D2380" s="1">
        <v>5.5E-2</v>
      </c>
      <c r="E2380" s="1">
        <v>8.5000000000000006E-2</v>
      </c>
      <c r="F2380" s="1">
        <v>5</v>
      </c>
      <c r="G2380" s="1">
        <v>0</v>
      </c>
      <c r="H2380" s="1">
        <v>1.11579289482</v>
      </c>
      <c r="I2380" s="1">
        <v>1.67379885954</v>
      </c>
      <c r="J2380" s="1">
        <v>0.76480244164699995</v>
      </c>
      <c r="K2380" s="1">
        <v>12558.393379200001</v>
      </c>
      <c r="L2380" s="1">
        <v>3443.0449919900002</v>
      </c>
      <c r="M2380" s="1" t="s">
        <v>198</v>
      </c>
      <c r="N2380" s="1" t="b">
        <v>1</v>
      </c>
    </row>
    <row r="2381" spans="1:14" ht="19" customHeight="1" x14ac:dyDescent="0.3">
      <c r="A2381">
        <v>2376</v>
      </c>
      <c r="B2381" s="1">
        <v>9</v>
      </c>
      <c r="C2381" s="1">
        <v>70</v>
      </c>
      <c r="D2381" s="1">
        <v>5.5E-2</v>
      </c>
      <c r="E2381" s="1">
        <v>8.5000000000000006E-2</v>
      </c>
      <c r="F2381" s="1">
        <v>5</v>
      </c>
      <c r="G2381" s="1">
        <v>1</v>
      </c>
      <c r="H2381" s="1">
        <v>1.11579289482</v>
      </c>
      <c r="I2381" s="1">
        <v>1.25534914466</v>
      </c>
      <c r="J2381" s="1">
        <v>0.62713800215100002</v>
      </c>
      <c r="K2381" s="1">
        <v>10674.585069000001</v>
      </c>
      <c r="L2381" s="1">
        <v>2823.2968934300002</v>
      </c>
      <c r="M2381" s="1" t="s">
        <v>198</v>
      </c>
      <c r="N2381" s="1" t="b">
        <v>1</v>
      </c>
    </row>
    <row r="2382" spans="1:14" ht="19" customHeight="1" x14ac:dyDescent="0.3">
      <c r="A2382">
        <v>2377</v>
      </c>
      <c r="B2382" s="1">
        <v>9</v>
      </c>
      <c r="C2382" s="1">
        <v>90</v>
      </c>
      <c r="D2382" s="1">
        <v>2.5000000000000001E-2</v>
      </c>
      <c r="E2382" s="1">
        <v>0.04</v>
      </c>
      <c r="F2382" s="1">
        <v>-5</v>
      </c>
      <c r="G2382" s="1">
        <v>0</v>
      </c>
      <c r="H2382" s="1">
        <v>1.29269412924</v>
      </c>
      <c r="I2382" s="1">
        <v>1.9391507111599999</v>
      </c>
      <c r="J2382" s="1">
        <v>0.78063352160099997</v>
      </c>
      <c r="K2382" s="1">
        <v>24050.985321700002</v>
      </c>
      <c r="L2382" s="1">
        <v>5809.3770885699996</v>
      </c>
      <c r="M2382" s="1" t="s">
        <v>198</v>
      </c>
      <c r="N2382" s="1" t="b">
        <v>1</v>
      </c>
    </row>
    <row r="2383" spans="1:14" ht="19" customHeight="1" x14ac:dyDescent="0.3">
      <c r="A2383">
        <v>2378</v>
      </c>
      <c r="B2383" s="1">
        <v>9</v>
      </c>
      <c r="C2383" s="1">
        <v>90</v>
      </c>
      <c r="D2383" s="1">
        <v>2.5000000000000001E-2</v>
      </c>
      <c r="E2383" s="1">
        <v>0.04</v>
      </c>
      <c r="F2383" s="1">
        <v>-5</v>
      </c>
      <c r="G2383" s="1">
        <v>1</v>
      </c>
      <c r="H2383" s="1">
        <v>1.29269412924</v>
      </c>
      <c r="I2383" s="1">
        <v>1.4543630333699999</v>
      </c>
      <c r="J2383" s="1">
        <v>0.64011948771299998</v>
      </c>
      <c r="K2383" s="1">
        <v>20443.256022000001</v>
      </c>
      <c r="L2383" s="1">
        <v>4763.6892126299999</v>
      </c>
      <c r="M2383" s="1" t="s">
        <v>198</v>
      </c>
      <c r="N2383" s="1" t="b">
        <v>1</v>
      </c>
    </row>
    <row r="2384" spans="1:14" ht="19" customHeight="1" x14ac:dyDescent="0.3">
      <c r="A2384">
        <v>2379</v>
      </c>
      <c r="B2384" s="1">
        <v>9</v>
      </c>
      <c r="C2384" s="1">
        <v>90</v>
      </c>
      <c r="D2384" s="1">
        <v>2.5000000000000001E-2</v>
      </c>
      <c r="E2384" s="1">
        <v>0.04</v>
      </c>
      <c r="F2384" s="1">
        <v>0</v>
      </c>
      <c r="G2384" s="1">
        <v>0</v>
      </c>
      <c r="H2384" s="1">
        <v>1.3221094283099999</v>
      </c>
      <c r="I2384" s="1">
        <v>1.9832761518499999</v>
      </c>
      <c r="J2384" s="1">
        <v>0.77313352160100002</v>
      </c>
      <c r="K2384" s="1">
        <v>24598.266314299999</v>
      </c>
      <c r="L2384" s="1">
        <v>5753.56302607</v>
      </c>
      <c r="M2384" s="1" t="s">
        <v>198</v>
      </c>
      <c r="N2384" s="1" t="b">
        <v>1</v>
      </c>
    </row>
    <row r="2385" spans="1:14" ht="19" customHeight="1" x14ac:dyDescent="0.3">
      <c r="A2385">
        <v>2380</v>
      </c>
      <c r="B2385" s="1">
        <v>9</v>
      </c>
      <c r="C2385" s="1">
        <v>90</v>
      </c>
      <c r="D2385" s="1">
        <v>2.5000000000000001E-2</v>
      </c>
      <c r="E2385" s="1">
        <v>0.04</v>
      </c>
      <c r="F2385" s="1">
        <v>0</v>
      </c>
      <c r="G2385" s="1">
        <v>1</v>
      </c>
      <c r="H2385" s="1">
        <v>1.3221094283099999</v>
      </c>
      <c r="I2385" s="1">
        <v>1.4874571138899999</v>
      </c>
      <c r="J2385" s="1">
        <v>0.63396948771299999</v>
      </c>
      <c r="K2385" s="1">
        <v>20908.443011200001</v>
      </c>
      <c r="L2385" s="1">
        <v>4717.9216813800003</v>
      </c>
      <c r="M2385" s="1" t="s">
        <v>198</v>
      </c>
      <c r="N2385" s="1" t="b">
        <v>1</v>
      </c>
    </row>
    <row r="2386" spans="1:14" ht="19" customHeight="1" x14ac:dyDescent="0.3">
      <c r="A2386">
        <v>2381</v>
      </c>
      <c r="B2386" s="1">
        <v>9</v>
      </c>
      <c r="C2386" s="1">
        <v>90</v>
      </c>
      <c r="D2386" s="1">
        <v>2.5000000000000001E-2</v>
      </c>
      <c r="E2386" s="1">
        <v>0.04</v>
      </c>
      <c r="F2386" s="1">
        <v>5</v>
      </c>
      <c r="G2386" s="1">
        <v>0</v>
      </c>
      <c r="H2386" s="1">
        <v>1.29269412924</v>
      </c>
      <c r="I2386" s="1">
        <v>1.9391507111599999</v>
      </c>
      <c r="J2386" s="1">
        <v>0.78063352160099997</v>
      </c>
      <c r="K2386" s="1">
        <v>24050.985321700002</v>
      </c>
      <c r="L2386" s="1">
        <v>5809.3770885699996</v>
      </c>
      <c r="M2386" s="1" t="s">
        <v>198</v>
      </c>
      <c r="N2386" s="1" t="b">
        <v>1</v>
      </c>
    </row>
    <row r="2387" spans="1:14" ht="19" customHeight="1" x14ac:dyDescent="0.3">
      <c r="A2387">
        <v>2382</v>
      </c>
      <c r="B2387" s="1">
        <v>9</v>
      </c>
      <c r="C2387" s="1">
        <v>90</v>
      </c>
      <c r="D2387" s="1">
        <v>2.5000000000000001E-2</v>
      </c>
      <c r="E2387" s="1">
        <v>0.04</v>
      </c>
      <c r="F2387" s="1">
        <v>5</v>
      </c>
      <c r="G2387" s="1">
        <v>1</v>
      </c>
      <c r="H2387" s="1">
        <v>1.29269412924</v>
      </c>
      <c r="I2387" s="1">
        <v>1.4543630333699999</v>
      </c>
      <c r="J2387" s="1">
        <v>0.64011948771299998</v>
      </c>
      <c r="K2387" s="1">
        <v>20443.256022000001</v>
      </c>
      <c r="L2387" s="1">
        <v>4763.6892126299999</v>
      </c>
      <c r="M2387" s="1" t="s">
        <v>198</v>
      </c>
      <c r="N2387" s="1" t="b">
        <v>1</v>
      </c>
    </row>
    <row r="2388" spans="1:14" ht="19" customHeight="1" x14ac:dyDescent="0.3">
      <c r="A2388">
        <v>2383</v>
      </c>
      <c r="B2388" s="1">
        <v>9</v>
      </c>
      <c r="C2388" s="1">
        <v>90</v>
      </c>
      <c r="D2388" s="1">
        <v>2.5000000000000001E-2</v>
      </c>
      <c r="E2388" s="1">
        <v>0.06</v>
      </c>
      <c r="F2388" s="1">
        <v>-5</v>
      </c>
      <c r="G2388" s="1">
        <v>0</v>
      </c>
      <c r="H2388" s="1">
        <v>1.3333091428699999</v>
      </c>
      <c r="I2388" s="1">
        <v>2.0000732316200001</v>
      </c>
      <c r="J2388" s="1">
        <v>0.78426820244700002</v>
      </c>
      <c r="K2388" s="1">
        <v>24806.6149582</v>
      </c>
      <c r="L2388" s="1">
        <v>5836.4259290800001</v>
      </c>
      <c r="M2388" s="1" t="s">
        <v>198</v>
      </c>
      <c r="N2388" s="1" t="b">
        <v>1</v>
      </c>
    </row>
    <row r="2389" spans="1:14" ht="19" customHeight="1" x14ac:dyDescent="0.3">
      <c r="A2389">
        <v>2384</v>
      </c>
      <c r="B2389" s="1">
        <v>9</v>
      </c>
      <c r="C2389" s="1">
        <v>90</v>
      </c>
      <c r="D2389" s="1">
        <v>2.5000000000000001E-2</v>
      </c>
      <c r="E2389" s="1">
        <v>0.06</v>
      </c>
      <c r="F2389" s="1">
        <v>-5</v>
      </c>
      <c r="G2389" s="1">
        <v>1</v>
      </c>
      <c r="H2389" s="1">
        <v>1.3333091428699999</v>
      </c>
      <c r="I2389" s="1">
        <v>1.50005492371</v>
      </c>
      <c r="J2389" s="1">
        <v>0.64309992600599997</v>
      </c>
      <c r="K2389" s="1">
        <v>21085.541213</v>
      </c>
      <c r="L2389" s="1">
        <v>4785.8692618499999</v>
      </c>
      <c r="M2389" s="1" t="s">
        <v>198</v>
      </c>
      <c r="N2389" s="1" t="b">
        <v>1</v>
      </c>
    </row>
    <row r="2390" spans="1:14" ht="19" customHeight="1" x14ac:dyDescent="0.3">
      <c r="A2390">
        <v>2385</v>
      </c>
      <c r="B2390" s="1">
        <v>9</v>
      </c>
      <c r="C2390" s="1">
        <v>90</v>
      </c>
      <c r="D2390" s="1">
        <v>2.5000000000000001E-2</v>
      </c>
      <c r="E2390" s="1">
        <v>0.06</v>
      </c>
      <c r="F2390" s="1">
        <v>0</v>
      </c>
      <c r="G2390" s="1">
        <v>0</v>
      </c>
      <c r="H2390" s="1">
        <v>1.3636486379699999</v>
      </c>
      <c r="I2390" s="1">
        <v>2.0455849663299999</v>
      </c>
      <c r="J2390" s="1">
        <v>0.77676820244699996</v>
      </c>
      <c r="K2390" s="1">
        <v>25371.090328999999</v>
      </c>
      <c r="L2390" s="1">
        <v>5780.6118665800004</v>
      </c>
      <c r="M2390" s="1" t="s">
        <v>198</v>
      </c>
      <c r="N2390" s="1" t="b">
        <v>1</v>
      </c>
    </row>
    <row r="2391" spans="1:14" ht="19" customHeight="1" x14ac:dyDescent="0.3">
      <c r="A2391">
        <v>2386</v>
      </c>
      <c r="B2391" s="1">
        <v>9</v>
      </c>
      <c r="C2391" s="1">
        <v>90</v>
      </c>
      <c r="D2391" s="1">
        <v>2.5000000000000001E-2</v>
      </c>
      <c r="E2391" s="1">
        <v>0.06</v>
      </c>
      <c r="F2391" s="1">
        <v>0</v>
      </c>
      <c r="G2391" s="1">
        <v>1</v>
      </c>
      <c r="H2391" s="1">
        <v>1.3636486379699999</v>
      </c>
      <c r="I2391" s="1">
        <v>1.5341887247499999</v>
      </c>
      <c r="J2391" s="1">
        <v>0.63694992600599998</v>
      </c>
      <c r="K2391" s="1">
        <v>21565.3434237</v>
      </c>
      <c r="L2391" s="1">
        <v>4740.1017306000003</v>
      </c>
      <c r="M2391" s="1" t="s">
        <v>198</v>
      </c>
      <c r="N2391" s="1" t="b">
        <v>1</v>
      </c>
    </row>
    <row r="2392" spans="1:14" ht="19" customHeight="1" x14ac:dyDescent="0.3">
      <c r="A2392">
        <v>2387</v>
      </c>
      <c r="B2392" s="1">
        <v>9</v>
      </c>
      <c r="C2392" s="1">
        <v>90</v>
      </c>
      <c r="D2392" s="1">
        <v>2.5000000000000001E-2</v>
      </c>
      <c r="E2392" s="1">
        <v>0.06</v>
      </c>
      <c r="F2392" s="1">
        <v>5</v>
      </c>
      <c r="G2392" s="1">
        <v>0</v>
      </c>
      <c r="H2392" s="1">
        <v>1.3333091428699999</v>
      </c>
      <c r="I2392" s="1">
        <v>2.0000732316200001</v>
      </c>
      <c r="J2392" s="1">
        <v>0.78426820244700002</v>
      </c>
      <c r="K2392" s="1">
        <v>24806.6149582</v>
      </c>
      <c r="L2392" s="1">
        <v>5836.4259290800001</v>
      </c>
      <c r="M2392" s="1" t="s">
        <v>198</v>
      </c>
      <c r="N2392" s="1" t="b">
        <v>1</v>
      </c>
    </row>
    <row r="2393" spans="1:14" ht="19" customHeight="1" x14ac:dyDescent="0.3">
      <c r="A2393">
        <v>2388</v>
      </c>
      <c r="B2393" s="1">
        <v>9</v>
      </c>
      <c r="C2393" s="1">
        <v>90</v>
      </c>
      <c r="D2393" s="1">
        <v>2.5000000000000001E-2</v>
      </c>
      <c r="E2393" s="1">
        <v>0.06</v>
      </c>
      <c r="F2393" s="1">
        <v>5</v>
      </c>
      <c r="G2393" s="1">
        <v>1</v>
      </c>
      <c r="H2393" s="1">
        <v>1.3333091428699999</v>
      </c>
      <c r="I2393" s="1">
        <v>1.50005492371</v>
      </c>
      <c r="J2393" s="1">
        <v>0.64309992600599997</v>
      </c>
      <c r="K2393" s="1">
        <v>21085.541213</v>
      </c>
      <c r="L2393" s="1">
        <v>4785.8692618499999</v>
      </c>
      <c r="M2393" s="1" t="s">
        <v>198</v>
      </c>
      <c r="N2393" s="1" t="b">
        <v>1</v>
      </c>
    </row>
    <row r="2394" spans="1:14" ht="19" customHeight="1" x14ac:dyDescent="0.3">
      <c r="A2394">
        <v>2389</v>
      </c>
      <c r="B2394" s="1">
        <v>9</v>
      </c>
      <c r="C2394" s="1">
        <v>90</v>
      </c>
      <c r="D2394" s="1">
        <v>2.5000000000000001E-2</v>
      </c>
      <c r="E2394" s="1">
        <v>8.5000000000000006E-2</v>
      </c>
      <c r="F2394" s="1">
        <v>-5</v>
      </c>
      <c r="G2394" s="1">
        <v>0</v>
      </c>
      <c r="H2394" s="1">
        <v>1.22947763393</v>
      </c>
      <c r="I2394" s="1">
        <v>1.8443259681999999</v>
      </c>
      <c r="J2394" s="1">
        <v>0.77497621007999995</v>
      </c>
      <c r="K2394" s="1">
        <v>22874.862181600001</v>
      </c>
      <c r="L2394" s="1">
        <v>5767.2760833900002</v>
      </c>
      <c r="M2394" s="1" t="s">
        <v>198</v>
      </c>
      <c r="N2394" s="1" t="b">
        <v>1</v>
      </c>
    </row>
    <row r="2395" spans="1:14" ht="19" customHeight="1" x14ac:dyDescent="0.3">
      <c r="A2395">
        <v>2390</v>
      </c>
      <c r="B2395" s="1">
        <v>9</v>
      </c>
      <c r="C2395" s="1">
        <v>90</v>
      </c>
      <c r="D2395" s="1">
        <v>2.5000000000000001E-2</v>
      </c>
      <c r="E2395" s="1">
        <v>8.5000000000000006E-2</v>
      </c>
      <c r="F2395" s="1">
        <v>-5</v>
      </c>
      <c r="G2395" s="1">
        <v>1</v>
      </c>
      <c r="H2395" s="1">
        <v>1.22947763393</v>
      </c>
      <c r="I2395" s="1">
        <v>1.38324447615</v>
      </c>
      <c r="J2395" s="1">
        <v>0.63548049226500003</v>
      </c>
      <c r="K2395" s="1">
        <v>19443.551352999999</v>
      </c>
      <c r="L2395" s="1">
        <v>4729.1663883800002</v>
      </c>
      <c r="M2395" s="1" t="s">
        <v>198</v>
      </c>
      <c r="N2395" s="1" t="b">
        <v>1</v>
      </c>
    </row>
    <row r="2396" spans="1:14" ht="19" customHeight="1" x14ac:dyDescent="0.3">
      <c r="A2396">
        <v>2391</v>
      </c>
      <c r="B2396" s="1">
        <v>9</v>
      </c>
      <c r="C2396" s="1">
        <v>90</v>
      </c>
      <c r="D2396" s="1">
        <v>2.5000000000000001E-2</v>
      </c>
      <c r="E2396" s="1">
        <v>8.5000000000000006E-2</v>
      </c>
      <c r="F2396" s="1">
        <v>0</v>
      </c>
      <c r="G2396" s="1">
        <v>0</v>
      </c>
      <c r="H2396" s="1">
        <v>1.25745443949</v>
      </c>
      <c r="I2396" s="1">
        <v>1.88629366862</v>
      </c>
      <c r="J2396" s="1">
        <v>0.76747621008</v>
      </c>
      <c r="K2396" s="1">
        <v>23395.380452099998</v>
      </c>
      <c r="L2396" s="1">
        <v>5711.4620208899996</v>
      </c>
      <c r="M2396" s="1" t="s">
        <v>198</v>
      </c>
      <c r="N2396" s="1" t="b">
        <v>1</v>
      </c>
    </row>
    <row r="2397" spans="1:14" ht="19" customHeight="1" x14ac:dyDescent="0.3">
      <c r="A2397">
        <v>2392</v>
      </c>
      <c r="B2397" s="1">
        <v>9</v>
      </c>
      <c r="C2397" s="1">
        <v>90</v>
      </c>
      <c r="D2397" s="1">
        <v>2.5000000000000001E-2</v>
      </c>
      <c r="E2397" s="1">
        <v>8.5000000000000006E-2</v>
      </c>
      <c r="F2397" s="1">
        <v>0</v>
      </c>
      <c r="G2397" s="1">
        <v>1</v>
      </c>
      <c r="H2397" s="1">
        <v>1.25745443949</v>
      </c>
      <c r="I2397" s="1">
        <v>1.4147202514599999</v>
      </c>
      <c r="J2397" s="1">
        <v>0.62933049226500004</v>
      </c>
      <c r="K2397" s="1">
        <v>19885.990028299999</v>
      </c>
      <c r="L2397" s="1">
        <v>4683.3988571299997</v>
      </c>
      <c r="M2397" s="1" t="s">
        <v>198</v>
      </c>
      <c r="N2397" s="1" t="b">
        <v>1</v>
      </c>
    </row>
    <row r="2398" spans="1:14" ht="19" customHeight="1" x14ac:dyDescent="0.3">
      <c r="A2398">
        <v>2393</v>
      </c>
      <c r="B2398" s="1">
        <v>9</v>
      </c>
      <c r="C2398" s="1">
        <v>90</v>
      </c>
      <c r="D2398" s="1">
        <v>2.5000000000000001E-2</v>
      </c>
      <c r="E2398" s="1">
        <v>8.5000000000000006E-2</v>
      </c>
      <c r="F2398" s="1">
        <v>5</v>
      </c>
      <c r="G2398" s="1">
        <v>0</v>
      </c>
      <c r="H2398" s="1">
        <v>1.22947763393</v>
      </c>
      <c r="I2398" s="1">
        <v>1.8443259681999999</v>
      </c>
      <c r="J2398" s="1">
        <v>0.77497621007999995</v>
      </c>
      <c r="K2398" s="1">
        <v>22874.862181600001</v>
      </c>
      <c r="L2398" s="1">
        <v>5767.2760833900002</v>
      </c>
      <c r="M2398" s="1" t="s">
        <v>198</v>
      </c>
      <c r="N2398" s="1" t="b">
        <v>1</v>
      </c>
    </row>
    <row r="2399" spans="1:14" ht="19" customHeight="1" x14ac:dyDescent="0.3">
      <c r="A2399">
        <v>2394</v>
      </c>
      <c r="B2399" s="1">
        <v>9</v>
      </c>
      <c r="C2399" s="1">
        <v>90</v>
      </c>
      <c r="D2399" s="1">
        <v>2.5000000000000001E-2</v>
      </c>
      <c r="E2399" s="1">
        <v>8.5000000000000006E-2</v>
      </c>
      <c r="F2399" s="1">
        <v>5</v>
      </c>
      <c r="G2399" s="1">
        <v>1</v>
      </c>
      <c r="H2399" s="1">
        <v>1.22947763393</v>
      </c>
      <c r="I2399" s="1">
        <v>1.38324447615</v>
      </c>
      <c r="J2399" s="1">
        <v>0.63548049226500003</v>
      </c>
      <c r="K2399" s="1">
        <v>19443.551352999999</v>
      </c>
      <c r="L2399" s="1">
        <v>4729.1663883800002</v>
      </c>
      <c r="M2399" s="1" t="s">
        <v>198</v>
      </c>
      <c r="N2399" s="1" t="b">
        <v>1</v>
      </c>
    </row>
    <row r="2400" spans="1:14" ht="19" customHeight="1" x14ac:dyDescent="0.3">
      <c r="A2400">
        <v>2395</v>
      </c>
      <c r="B2400" s="1">
        <v>9</v>
      </c>
      <c r="C2400" s="1">
        <v>90</v>
      </c>
      <c r="D2400" s="1">
        <v>0.04</v>
      </c>
      <c r="E2400" s="1">
        <v>0.04</v>
      </c>
      <c r="F2400" s="1">
        <v>-5</v>
      </c>
      <c r="G2400" s="1">
        <v>0</v>
      </c>
      <c r="H2400" s="1">
        <v>1.29868294269</v>
      </c>
      <c r="I2400" s="1">
        <v>1.9481339313399999</v>
      </c>
      <c r="J2400" s="1">
        <v>0.78116946689800004</v>
      </c>
      <c r="K2400" s="1">
        <v>24162.4053245</v>
      </c>
      <c r="L2400" s="1">
        <v>5813.3655264700001</v>
      </c>
      <c r="M2400" s="1" t="s">
        <v>198</v>
      </c>
      <c r="N2400" s="1" t="b">
        <v>1</v>
      </c>
    </row>
    <row r="2401" spans="1:14" ht="19" customHeight="1" x14ac:dyDescent="0.3">
      <c r="A2401">
        <v>2396</v>
      </c>
      <c r="B2401" s="1">
        <v>9</v>
      </c>
      <c r="C2401" s="1">
        <v>90</v>
      </c>
      <c r="D2401" s="1">
        <v>0.04</v>
      </c>
      <c r="E2401" s="1">
        <v>0.04</v>
      </c>
      <c r="F2401" s="1">
        <v>-5</v>
      </c>
      <c r="G2401" s="1">
        <v>1</v>
      </c>
      <c r="H2401" s="1">
        <v>1.29868294269</v>
      </c>
      <c r="I2401" s="1">
        <v>1.4611004485100001</v>
      </c>
      <c r="J2401" s="1">
        <v>0.64055896285699998</v>
      </c>
      <c r="K2401" s="1">
        <v>20537.9630244</v>
      </c>
      <c r="L2401" s="1">
        <v>4766.9597317099997</v>
      </c>
      <c r="M2401" s="1" t="s">
        <v>198</v>
      </c>
      <c r="N2401" s="1" t="b">
        <v>1</v>
      </c>
    </row>
    <row r="2402" spans="1:14" ht="19" customHeight="1" x14ac:dyDescent="0.3">
      <c r="A2402">
        <v>2397</v>
      </c>
      <c r="B2402" s="1">
        <v>9</v>
      </c>
      <c r="C2402" s="1">
        <v>90</v>
      </c>
      <c r="D2402" s="1">
        <v>0.04</v>
      </c>
      <c r="E2402" s="1">
        <v>0.04</v>
      </c>
      <c r="F2402" s="1">
        <v>0</v>
      </c>
      <c r="G2402" s="1">
        <v>0</v>
      </c>
      <c r="H2402" s="1">
        <v>1.3282345174200001</v>
      </c>
      <c r="I2402" s="1">
        <v>1.99246378551</v>
      </c>
      <c r="J2402" s="1">
        <v>0.77366946689799998</v>
      </c>
      <c r="K2402" s="1">
        <v>24712.221683100001</v>
      </c>
      <c r="L2402" s="1">
        <v>5757.5514639700004</v>
      </c>
      <c r="M2402" s="1" t="s">
        <v>198</v>
      </c>
      <c r="N2402" s="1" t="b">
        <v>1</v>
      </c>
    </row>
    <row r="2403" spans="1:14" ht="19" customHeight="1" x14ac:dyDescent="0.3">
      <c r="A2403">
        <v>2398</v>
      </c>
      <c r="B2403" s="1">
        <v>9</v>
      </c>
      <c r="C2403" s="1">
        <v>90</v>
      </c>
      <c r="D2403" s="1">
        <v>0.04</v>
      </c>
      <c r="E2403" s="1">
        <v>0.04</v>
      </c>
      <c r="F2403" s="1">
        <v>0</v>
      </c>
      <c r="G2403" s="1">
        <v>1</v>
      </c>
      <c r="H2403" s="1">
        <v>1.3282345174200001</v>
      </c>
      <c r="I2403" s="1">
        <v>1.49434783913</v>
      </c>
      <c r="J2403" s="1">
        <v>0.63440896285699999</v>
      </c>
      <c r="K2403" s="1">
        <v>21005.305074700002</v>
      </c>
      <c r="L2403" s="1">
        <v>4721.1922004600001</v>
      </c>
      <c r="M2403" s="1" t="s">
        <v>198</v>
      </c>
      <c r="N2403" s="1" t="b">
        <v>1</v>
      </c>
    </row>
    <row r="2404" spans="1:14" ht="19" customHeight="1" x14ac:dyDescent="0.3">
      <c r="A2404">
        <v>2399</v>
      </c>
      <c r="B2404" s="1">
        <v>9</v>
      </c>
      <c r="C2404" s="1">
        <v>90</v>
      </c>
      <c r="D2404" s="1">
        <v>0.04</v>
      </c>
      <c r="E2404" s="1">
        <v>0.04</v>
      </c>
      <c r="F2404" s="1">
        <v>5</v>
      </c>
      <c r="G2404" s="1">
        <v>0</v>
      </c>
      <c r="H2404" s="1">
        <v>1.29868294269</v>
      </c>
      <c r="I2404" s="1">
        <v>1.9481339313399999</v>
      </c>
      <c r="J2404" s="1">
        <v>0.78116946689800004</v>
      </c>
      <c r="K2404" s="1">
        <v>24162.4053245</v>
      </c>
      <c r="L2404" s="1">
        <v>5813.3655264700001</v>
      </c>
      <c r="M2404" s="1" t="s">
        <v>198</v>
      </c>
      <c r="N2404" s="1" t="b">
        <v>1</v>
      </c>
    </row>
    <row r="2405" spans="1:14" ht="19" customHeight="1" x14ac:dyDescent="0.3">
      <c r="A2405">
        <v>2400</v>
      </c>
      <c r="B2405" s="1">
        <v>9</v>
      </c>
      <c r="C2405" s="1">
        <v>90</v>
      </c>
      <c r="D2405" s="1">
        <v>0.04</v>
      </c>
      <c r="E2405" s="1">
        <v>0.04</v>
      </c>
      <c r="F2405" s="1">
        <v>5</v>
      </c>
      <c r="G2405" s="1">
        <v>1</v>
      </c>
      <c r="H2405" s="1">
        <v>1.29868294269</v>
      </c>
      <c r="I2405" s="1">
        <v>1.4611004485100001</v>
      </c>
      <c r="J2405" s="1">
        <v>0.64055896285699998</v>
      </c>
      <c r="K2405" s="1">
        <v>20537.9630244</v>
      </c>
      <c r="L2405" s="1">
        <v>4766.9597317099997</v>
      </c>
      <c r="M2405" s="1" t="s">
        <v>198</v>
      </c>
      <c r="N2405" s="1" t="b">
        <v>1</v>
      </c>
    </row>
    <row r="2406" spans="1:14" ht="19" customHeight="1" x14ac:dyDescent="0.3">
      <c r="A2406">
        <v>2401</v>
      </c>
      <c r="B2406" s="1">
        <v>9</v>
      </c>
      <c r="C2406" s="1">
        <v>90</v>
      </c>
      <c r="D2406" s="1">
        <v>0.04</v>
      </c>
      <c r="E2406" s="1">
        <v>0.06</v>
      </c>
      <c r="F2406" s="1">
        <v>-5</v>
      </c>
      <c r="G2406" s="1">
        <v>0</v>
      </c>
      <c r="H2406" s="1">
        <v>1.33987875825</v>
      </c>
      <c r="I2406" s="1">
        <v>2.0099276546799998</v>
      </c>
      <c r="J2406" s="1">
        <v>0.78485612432600005</v>
      </c>
      <c r="K2406" s="1">
        <v>24928.840599200001</v>
      </c>
      <c r="L2406" s="1">
        <v>5840.8011702200001</v>
      </c>
      <c r="M2406" s="1" t="s">
        <v>198</v>
      </c>
      <c r="N2406" s="1" t="b">
        <v>1</v>
      </c>
    </row>
    <row r="2407" spans="1:14" ht="19" customHeight="1" x14ac:dyDescent="0.3">
      <c r="A2407">
        <v>2402</v>
      </c>
      <c r="B2407" s="1">
        <v>9</v>
      </c>
      <c r="C2407" s="1">
        <v>90</v>
      </c>
      <c r="D2407" s="1">
        <v>0.04</v>
      </c>
      <c r="E2407" s="1">
        <v>0.06</v>
      </c>
      <c r="F2407" s="1">
        <v>-5</v>
      </c>
      <c r="G2407" s="1">
        <v>1</v>
      </c>
      <c r="H2407" s="1">
        <v>1.33987875825</v>
      </c>
      <c r="I2407" s="1">
        <v>1.50744574101</v>
      </c>
      <c r="J2407" s="1">
        <v>0.64358202194699998</v>
      </c>
      <c r="K2407" s="1">
        <v>21189.433007899999</v>
      </c>
      <c r="L2407" s="1">
        <v>4789.4569595800003</v>
      </c>
      <c r="M2407" s="1" t="s">
        <v>198</v>
      </c>
      <c r="N2407" s="1" t="b">
        <v>1</v>
      </c>
    </row>
    <row r="2408" spans="1:14" ht="19" customHeight="1" x14ac:dyDescent="0.3">
      <c r="A2408">
        <v>2403</v>
      </c>
      <c r="B2408" s="1">
        <v>9</v>
      </c>
      <c r="C2408" s="1">
        <v>90</v>
      </c>
      <c r="D2408" s="1">
        <v>0.04</v>
      </c>
      <c r="E2408" s="1">
        <v>0.06</v>
      </c>
      <c r="F2408" s="1">
        <v>0</v>
      </c>
      <c r="G2408" s="1">
        <v>0</v>
      </c>
      <c r="H2408" s="1">
        <v>1.37036774517</v>
      </c>
      <c r="I2408" s="1">
        <v>2.0556636271299999</v>
      </c>
      <c r="J2408" s="1">
        <v>0.77735612432599999</v>
      </c>
      <c r="K2408" s="1">
        <v>25496.097218700001</v>
      </c>
      <c r="L2408" s="1">
        <v>5784.9871077199996</v>
      </c>
      <c r="M2408" s="1" t="s">
        <v>198</v>
      </c>
      <c r="N2408" s="1" t="b">
        <v>1</v>
      </c>
    </row>
    <row r="2409" spans="1:14" ht="19" customHeight="1" x14ac:dyDescent="0.3">
      <c r="A2409">
        <v>2404</v>
      </c>
      <c r="B2409" s="1">
        <v>9</v>
      </c>
      <c r="C2409" s="1">
        <v>90</v>
      </c>
      <c r="D2409" s="1">
        <v>0.04</v>
      </c>
      <c r="E2409" s="1">
        <v>0.06</v>
      </c>
      <c r="F2409" s="1">
        <v>0</v>
      </c>
      <c r="G2409" s="1">
        <v>1</v>
      </c>
      <c r="H2409" s="1">
        <v>1.37036774517</v>
      </c>
      <c r="I2409" s="1">
        <v>1.5417477203500001</v>
      </c>
      <c r="J2409" s="1">
        <v>0.63743202194699999</v>
      </c>
      <c r="K2409" s="1">
        <v>21671.599279900001</v>
      </c>
      <c r="L2409" s="1">
        <v>4743.6894283299998</v>
      </c>
      <c r="M2409" s="1" t="s">
        <v>198</v>
      </c>
      <c r="N2409" s="1" t="b">
        <v>1</v>
      </c>
    </row>
    <row r="2410" spans="1:14" ht="19" customHeight="1" x14ac:dyDescent="0.3">
      <c r="A2410">
        <v>2405</v>
      </c>
      <c r="B2410" s="1">
        <v>9</v>
      </c>
      <c r="C2410" s="1">
        <v>90</v>
      </c>
      <c r="D2410" s="1">
        <v>0.04</v>
      </c>
      <c r="E2410" s="1">
        <v>0.06</v>
      </c>
      <c r="F2410" s="1">
        <v>5</v>
      </c>
      <c r="G2410" s="1">
        <v>0</v>
      </c>
      <c r="H2410" s="1">
        <v>1.33987875825</v>
      </c>
      <c r="I2410" s="1">
        <v>2.0099276546799998</v>
      </c>
      <c r="J2410" s="1">
        <v>0.78485612432600005</v>
      </c>
      <c r="K2410" s="1">
        <v>24928.840599200001</v>
      </c>
      <c r="L2410" s="1">
        <v>5840.8011702200001</v>
      </c>
      <c r="M2410" s="1" t="s">
        <v>198</v>
      </c>
      <c r="N2410" s="1" t="b">
        <v>1</v>
      </c>
    </row>
    <row r="2411" spans="1:14" ht="19" customHeight="1" x14ac:dyDescent="0.3">
      <c r="A2411">
        <v>2406</v>
      </c>
      <c r="B2411" s="1">
        <v>9</v>
      </c>
      <c r="C2411" s="1">
        <v>90</v>
      </c>
      <c r="D2411" s="1">
        <v>0.04</v>
      </c>
      <c r="E2411" s="1">
        <v>0.06</v>
      </c>
      <c r="F2411" s="1">
        <v>5</v>
      </c>
      <c r="G2411" s="1">
        <v>1</v>
      </c>
      <c r="H2411" s="1">
        <v>1.33987875825</v>
      </c>
      <c r="I2411" s="1">
        <v>1.50744574101</v>
      </c>
      <c r="J2411" s="1">
        <v>0.64358202194699998</v>
      </c>
      <c r="K2411" s="1">
        <v>21189.433007899999</v>
      </c>
      <c r="L2411" s="1">
        <v>4789.4569595800003</v>
      </c>
      <c r="M2411" s="1" t="s">
        <v>198</v>
      </c>
      <c r="N2411" s="1" t="b">
        <v>1</v>
      </c>
    </row>
    <row r="2412" spans="1:14" ht="19" customHeight="1" x14ac:dyDescent="0.3">
      <c r="A2412">
        <v>2407</v>
      </c>
      <c r="B2412" s="1">
        <v>9</v>
      </c>
      <c r="C2412" s="1">
        <v>90</v>
      </c>
      <c r="D2412" s="1">
        <v>0.04</v>
      </c>
      <c r="E2412" s="1">
        <v>8.5000000000000006E-2</v>
      </c>
      <c r="F2412" s="1">
        <v>-5</v>
      </c>
      <c r="G2412" s="1">
        <v>0</v>
      </c>
      <c r="H2412" s="1">
        <v>1.2345624402499999</v>
      </c>
      <c r="I2412" s="1">
        <v>1.85195317769</v>
      </c>
      <c r="J2412" s="1">
        <v>0.77543125481499997</v>
      </c>
      <c r="K2412" s="1">
        <v>22969.4634142</v>
      </c>
      <c r="L2412" s="1">
        <v>5770.6624694299999</v>
      </c>
      <c r="M2412" s="1" t="s">
        <v>198</v>
      </c>
      <c r="N2412" s="1" t="b">
        <v>1</v>
      </c>
    </row>
    <row r="2413" spans="1:14" ht="19" customHeight="1" x14ac:dyDescent="0.3">
      <c r="A2413">
        <v>2408</v>
      </c>
      <c r="B2413" s="1">
        <v>9</v>
      </c>
      <c r="C2413" s="1">
        <v>90</v>
      </c>
      <c r="D2413" s="1">
        <v>0.04</v>
      </c>
      <c r="E2413" s="1">
        <v>8.5000000000000006E-2</v>
      </c>
      <c r="F2413" s="1">
        <v>-5</v>
      </c>
      <c r="G2413" s="1">
        <v>1</v>
      </c>
      <c r="H2413" s="1">
        <v>1.2345624402499999</v>
      </c>
      <c r="I2413" s="1">
        <v>1.3889648832599999</v>
      </c>
      <c r="J2413" s="1">
        <v>0.63585362894899999</v>
      </c>
      <c r="K2413" s="1">
        <v>19523.962400699998</v>
      </c>
      <c r="L2413" s="1">
        <v>4731.9432249299998</v>
      </c>
      <c r="M2413" s="1" t="s">
        <v>198</v>
      </c>
      <c r="N2413" s="1" t="b">
        <v>1</v>
      </c>
    </row>
    <row r="2414" spans="1:14" ht="19" customHeight="1" x14ac:dyDescent="0.3">
      <c r="A2414">
        <v>2409</v>
      </c>
      <c r="B2414" s="1">
        <v>9</v>
      </c>
      <c r="C2414" s="1">
        <v>90</v>
      </c>
      <c r="D2414" s="1">
        <v>0.04</v>
      </c>
      <c r="E2414" s="1">
        <v>8.5000000000000006E-2</v>
      </c>
      <c r="F2414" s="1">
        <v>0</v>
      </c>
      <c r="G2414" s="1">
        <v>0</v>
      </c>
      <c r="H2414" s="1">
        <v>1.26265495076</v>
      </c>
      <c r="I2414" s="1">
        <v>1.89409443552</v>
      </c>
      <c r="J2414" s="1">
        <v>0.76793125481500002</v>
      </c>
      <c r="K2414" s="1">
        <v>23492.134339</v>
      </c>
      <c r="L2414" s="1">
        <v>5714.8484069300002</v>
      </c>
      <c r="M2414" s="1" t="s">
        <v>198</v>
      </c>
      <c r="N2414" s="1" t="b">
        <v>1</v>
      </c>
    </row>
    <row r="2415" spans="1:14" ht="19" customHeight="1" x14ac:dyDescent="0.3">
      <c r="A2415">
        <v>2410</v>
      </c>
      <c r="B2415" s="1">
        <v>9</v>
      </c>
      <c r="C2415" s="1">
        <v>90</v>
      </c>
      <c r="D2415" s="1">
        <v>0.04</v>
      </c>
      <c r="E2415" s="1">
        <v>8.5000000000000006E-2</v>
      </c>
      <c r="F2415" s="1">
        <v>0</v>
      </c>
      <c r="G2415" s="1">
        <v>1</v>
      </c>
      <c r="H2415" s="1">
        <v>1.26265495076</v>
      </c>
      <c r="I2415" s="1">
        <v>1.4205708266399999</v>
      </c>
      <c r="J2415" s="1">
        <v>0.629703628949</v>
      </c>
      <c r="K2415" s="1">
        <v>19968.230832099998</v>
      </c>
      <c r="L2415" s="1">
        <v>4686.1756936800002</v>
      </c>
      <c r="M2415" s="1" t="s">
        <v>198</v>
      </c>
      <c r="N2415" s="1" t="b">
        <v>1</v>
      </c>
    </row>
    <row r="2416" spans="1:14" ht="19" customHeight="1" x14ac:dyDescent="0.3">
      <c r="A2416">
        <v>2411</v>
      </c>
      <c r="B2416" s="1">
        <v>9</v>
      </c>
      <c r="C2416" s="1">
        <v>90</v>
      </c>
      <c r="D2416" s="1">
        <v>0.04</v>
      </c>
      <c r="E2416" s="1">
        <v>8.5000000000000006E-2</v>
      </c>
      <c r="F2416" s="1">
        <v>5</v>
      </c>
      <c r="G2416" s="1">
        <v>0</v>
      </c>
      <c r="H2416" s="1">
        <v>1.2345624402499999</v>
      </c>
      <c r="I2416" s="1">
        <v>1.85195317769</v>
      </c>
      <c r="J2416" s="1">
        <v>0.77543125481499997</v>
      </c>
      <c r="K2416" s="1">
        <v>22969.4634142</v>
      </c>
      <c r="L2416" s="1">
        <v>5770.6624694299999</v>
      </c>
      <c r="M2416" s="1" t="s">
        <v>198</v>
      </c>
      <c r="N2416" s="1" t="b">
        <v>1</v>
      </c>
    </row>
    <row r="2417" spans="1:14" ht="19" customHeight="1" x14ac:dyDescent="0.3">
      <c r="A2417">
        <v>2412</v>
      </c>
      <c r="B2417" s="1">
        <v>9</v>
      </c>
      <c r="C2417" s="1">
        <v>90</v>
      </c>
      <c r="D2417" s="1">
        <v>0.04</v>
      </c>
      <c r="E2417" s="1">
        <v>8.5000000000000006E-2</v>
      </c>
      <c r="F2417" s="1">
        <v>5</v>
      </c>
      <c r="G2417" s="1">
        <v>1</v>
      </c>
      <c r="H2417" s="1">
        <v>1.2345624402499999</v>
      </c>
      <c r="I2417" s="1">
        <v>1.3889648832599999</v>
      </c>
      <c r="J2417" s="1">
        <v>0.63585362894899999</v>
      </c>
      <c r="K2417" s="1">
        <v>19523.962400699998</v>
      </c>
      <c r="L2417" s="1">
        <v>4731.9432249299998</v>
      </c>
      <c r="M2417" s="1" t="s">
        <v>198</v>
      </c>
      <c r="N2417" s="1" t="b">
        <v>1</v>
      </c>
    </row>
    <row r="2418" spans="1:14" ht="19" customHeight="1" x14ac:dyDescent="0.3">
      <c r="A2418">
        <v>2413</v>
      </c>
      <c r="B2418" s="1">
        <v>9</v>
      </c>
      <c r="C2418" s="1">
        <v>90</v>
      </c>
      <c r="D2418" s="1">
        <v>5.5E-2</v>
      </c>
      <c r="E2418" s="1">
        <v>0.04</v>
      </c>
      <c r="F2418" s="1">
        <v>-5</v>
      </c>
      <c r="G2418" s="1">
        <v>0</v>
      </c>
      <c r="H2418" s="1">
        <v>1.1587978406299999</v>
      </c>
      <c r="I2418" s="1">
        <v>1.7383062782500001</v>
      </c>
      <c r="J2418" s="1">
        <v>0.768651000069</v>
      </c>
      <c r="K2418" s="1">
        <v>21559.886714699998</v>
      </c>
      <c r="L2418" s="1">
        <v>5720.2046611400001</v>
      </c>
      <c r="M2418" s="1" t="s">
        <v>198</v>
      </c>
      <c r="N2418" s="1" t="b">
        <v>1</v>
      </c>
    </row>
    <row r="2419" spans="1:14" ht="19" customHeight="1" x14ac:dyDescent="0.3">
      <c r="A2419">
        <v>2414</v>
      </c>
      <c r="B2419" s="1">
        <v>9</v>
      </c>
      <c r="C2419" s="1">
        <v>90</v>
      </c>
      <c r="D2419" s="1">
        <v>5.5E-2</v>
      </c>
      <c r="E2419" s="1">
        <v>0.04</v>
      </c>
      <c r="F2419" s="1">
        <v>-5</v>
      </c>
      <c r="G2419" s="1">
        <v>1</v>
      </c>
      <c r="H2419" s="1">
        <v>1.1587978406299999</v>
      </c>
      <c r="I2419" s="1">
        <v>1.3037297086899999</v>
      </c>
      <c r="J2419" s="1">
        <v>0.63029382005599999</v>
      </c>
      <c r="K2419" s="1">
        <v>18325.822206000001</v>
      </c>
      <c r="L2419" s="1">
        <v>4690.5678221300004</v>
      </c>
      <c r="M2419" s="1" t="s">
        <v>198</v>
      </c>
      <c r="N2419" s="1" t="b">
        <v>1</v>
      </c>
    </row>
    <row r="2420" spans="1:14" ht="19" customHeight="1" x14ac:dyDescent="0.3">
      <c r="A2420">
        <v>2415</v>
      </c>
      <c r="B2420" s="1">
        <v>9</v>
      </c>
      <c r="C2420" s="1">
        <v>90</v>
      </c>
      <c r="D2420" s="1">
        <v>5.5E-2</v>
      </c>
      <c r="E2420" s="1">
        <v>0.04</v>
      </c>
      <c r="F2420" s="1">
        <v>0</v>
      </c>
      <c r="G2420" s="1">
        <v>0</v>
      </c>
      <c r="H2420" s="1">
        <v>1.18516632508</v>
      </c>
      <c r="I2420" s="1">
        <v>1.777861497</v>
      </c>
      <c r="J2420" s="1">
        <v>0.76115100006900005</v>
      </c>
      <c r="K2420" s="1">
        <v>22050.482673400002</v>
      </c>
      <c r="L2420" s="1">
        <v>5664.3905986399996</v>
      </c>
      <c r="M2420" s="1" t="s">
        <v>198</v>
      </c>
      <c r="N2420" s="1" t="b">
        <v>1</v>
      </c>
    </row>
    <row r="2421" spans="1:14" ht="19" customHeight="1" x14ac:dyDescent="0.3">
      <c r="A2421">
        <v>2416</v>
      </c>
      <c r="B2421" s="1">
        <v>9</v>
      </c>
      <c r="C2421" s="1">
        <v>90</v>
      </c>
      <c r="D2421" s="1">
        <v>5.5E-2</v>
      </c>
      <c r="E2421" s="1">
        <v>0.04</v>
      </c>
      <c r="F2421" s="1">
        <v>0</v>
      </c>
      <c r="G2421" s="1">
        <v>1</v>
      </c>
      <c r="H2421" s="1">
        <v>1.18516632508</v>
      </c>
      <c r="I2421" s="1">
        <v>1.33339612275</v>
      </c>
      <c r="J2421" s="1">
        <v>0.624143820056</v>
      </c>
      <c r="K2421" s="1">
        <v>18742.826916400001</v>
      </c>
      <c r="L2421" s="1">
        <v>4644.8002908799999</v>
      </c>
      <c r="M2421" s="1" t="s">
        <v>198</v>
      </c>
      <c r="N2421" s="1" t="b">
        <v>1</v>
      </c>
    </row>
    <row r="2422" spans="1:14" ht="19" customHeight="1" x14ac:dyDescent="0.3">
      <c r="A2422">
        <v>2417</v>
      </c>
      <c r="B2422" s="1">
        <v>9</v>
      </c>
      <c r="C2422" s="1">
        <v>90</v>
      </c>
      <c r="D2422" s="1">
        <v>5.5E-2</v>
      </c>
      <c r="E2422" s="1">
        <v>0.04</v>
      </c>
      <c r="F2422" s="1">
        <v>5</v>
      </c>
      <c r="G2422" s="1">
        <v>0</v>
      </c>
      <c r="H2422" s="1">
        <v>1.1587978406299999</v>
      </c>
      <c r="I2422" s="1">
        <v>1.7383062782500001</v>
      </c>
      <c r="J2422" s="1">
        <v>0.768651000069</v>
      </c>
      <c r="K2422" s="1">
        <v>21559.886714699998</v>
      </c>
      <c r="L2422" s="1">
        <v>5720.2046611400001</v>
      </c>
      <c r="M2422" s="1" t="s">
        <v>198</v>
      </c>
      <c r="N2422" s="1" t="b">
        <v>1</v>
      </c>
    </row>
    <row r="2423" spans="1:14" ht="19" customHeight="1" x14ac:dyDescent="0.3">
      <c r="A2423">
        <v>2418</v>
      </c>
      <c r="B2423" s="1">
        <v>9</v>
      </c>
      <c r="C2423" s="1">
        <v>90</v>
      </c>
      <c r="D2423" s="1">
        <v>5.5E-2</v>
      </c>
      <c r="E2423" s="1">
        <v>0.04</v>
      </c>
      <c r="F2423" s="1">
        <v>5</v>
      </c>
      <c r="G2423" s="1">
        <v>1</v>
      </c>
      <c r="H2423" s="1">
        <v>1.1587978406299999</v>
      </c>
      <c r="I2423" s="1">
        <v>1.3037297086899999</v>
      </c>
      <c r="J2423" s="1">
        <v>0.63029382005599999</v>
      </c>
      <c r="K2423" s="1">
        <v>18325.822206000001</v>
      </c>
      <c r="L2423" s="1">
        <v>4690.5678221300004</v>
      </c>
      <c r="M2423" s="1" t="s">
        <v>198</v>
      </c>
      <c r="N2423" s="1" t="b">
        <v>1</v>
      </c>
    </row>
    <row r="2424" spans="1:14" ht="19" customHeight="1" x14ac:dyDescent="0.3">
      <c r="A2424">
        <v>2419</v>
      </c>
      <c r="B2424" s="1">
        <v>9</v>
      </c>
      <c r="C2424" s="1">
        <v>90</v>
      </c>
      <c r="D2424" s="1">
        <v>5.5E-2</v>
      </c>
      <c r="E2424" s="1">
        <v>0.06</v>
      </c>
      <c r="F2424" s="1">
        <v>-5</v>
      </c>
      <c r="G2424" s="1">
        <v>0</v>
      </c>
      <c r="H2424" s="1">
        <v>1.1864274403299999</v>
      </c>
      <c r="I2424" s="1">
        <v>1.7797506778100001</v>
      </c>
      <c r="J2424" s="1">
        <v>0.771123602385</v>
      </c>
      <c r="K2424" s="1">
        <v>22073.926782999999</v>
      </c>
      <c r="L2424" s="1">
        <v>5738.6054585000002</v>
      </c>
      <c r="M2424" s="1" t="s">
        <v>198</v>
      </c>
      <c r="N2424" s="1" t="b">
        <v>1</v>
      </c>
    </row>
    <row r="2425" spans="1:14" ht="19" customHeight="1" x14ac:dyDescent="0.3">
      <c r="A2425">
        <v>2420</v>
      </c>
      <c r="B2425" s="1">
        <v>9</v>
      </c>
      <c r="C2425" s="1">
        <v>90</v>
      </c>
      <c r="D2425" s="1">
        <v>5.5E-2</v>
      </c>
      <c r="E2425" s="1">
        <v>0.06</v>
      </c>
      <c r="F2425" s="1">
        <v>-5</v>
      </c>
      <c r="G2425" s="1">
        <v>1</v>
      </c>
      <c r="H2425" s="1">
        <v>1.1864274403299999</v>
      </c>
      <c r="I2425" s="1">
        <v>1.3348130083600001</v>
      </c>
      <c r="J2425" s="1">
        <v>0.63232135395599998</v>
      </c>
      <c r="K2425" s="1">
        <v>18762.7562641</v>
      </c>
      <c r="L2425" s="1">
        <v>4705.6564759700004</v>
      </c>
      <c r="M2425" s="1" t="s">
        <v>198</v>
      </c>
      <c r="N2425" s="1" t="b">
        <v>1</v>
      </c>
    </row>
    <row r="2426" spans="1:14" ht="19" customHeight="1" x14ac:dyDescent="0.3">
      <c r="A2426">
        <v>2421</v>
      </c>
      <c r="B2426" s="1">
        <v>9</v>
      </c>
      <c r="C2426" s="1">
        <v>90</v>
      </c>
      <c r="D2426" s="1">
        <v>5.5E-2</v>
      </c>
      <c r="E2426" s="1">
        <v>0.06</v>
      </c>
      <c r="F2426" s="1">
        <v>0</v>
      </c>
      <c r="G2426" s="1">
        <v>0</v>
      </c>
      <c r="H2426" s="1">
        <v>1.2134246372699999</v>
      </c>
      <c r="I2426" s="1">
        <v>1.82024896529</v>
      </c>
      <c r="J2426" s="1">
        <v>0.76362360238500004</v>
      </c>
      <c r="K2426" s="1">
        <v>22576.219741000001</v>
      </c>
      <c r="L2426" s="1">
        <v>5682.7913959999996</v>
      </c>
      <c r="M2426" s="1" t="s">
        <v>198</v>
      </c>
      <c r="N2426" s="1" t="b">
        <v>1</v>
      </c>
    </row>
    <row r="2427" spans="1:14" ht="19" customHeight="1" x14ac:dyDescent="0.3">
      <c r="A2427">
        <v>2422</v>
      </c>
      <c r="B2427" s="1">
        <v>9</v>
      </c>
      <c r="C2427" s="1">
        <v>90</v>
      </c>
      <c r="D2427" s="1">
        <v>5.5E-2</v>
      </c>
      <c r="E2427" s="1">
        <v>0.06</v>
      </c>
      <c r="F2427" s="1">
        <v>0</v>
      </c>
      <c r="G2427" s="1">
        <v>1</v>
      </c>
      <c r="H2427" s="1">
        <v>1.2134246372699999</v>
      </c>
      <c r="I2427" s="1">
        <v>1.36518672396</v>
      </c>
      <c r="J2427" s="1">
        <v>0.62617135395599999</v>
      </c>
      <c r="K2427" s="1">
        <v>19189.703423899999</v>
      </c>
      <c r="L2427" s="1">
        <v>4659.8889447199999</v>
      </c>
      <c r="M2427" s="1" t="s">
        <v>198</v>
      </c>
      <c r="N2427" s="1" t="b">
        <v>1</v>
      </c>
    </row>
    <row r="2428" spans="1:14" ht="19" customHeight="1" x14ac:dyDescent="0.3">
      <c r="A2428">
        <v>2423</v>
      </c>
      <c r="B2428" s="1">
        <v>9</v>
      </c>
      <c r="C2428" s="1">
        <v>90</v>
      </c>
      <c r="D2428" s="1">
        <v>5.5E-2</v>
      </c>
      <c r="E2428" s="1">
        <v>0.06</v>
      </c>
      <c r="F2428" s="1">
        <v>5</v>
      </c>
      <c r="G2428" s="1">
        <v>0</v>
      </c>
      <c r="H2428" s="1">
        <v>1.1864274403299999</v>
      </c>
      <c r="I2428" s="1">
        <v>1.7797506778100001</v>
      </c>
      <c r="J2428" s="1">
        <v>0.771123602385</v>
      </c>
      <c r="K2428" s="1">
        <v>22073.926782999999</v>
      </c>
      <c r="L2428" s="1">
        <v>5738.6054585000002</v>
      </c>
      <c r="M2428" s="1" t="s">
        <v>198</v>
      </c>
      <c r="N2428" s="1" t="b">
        <v>1</v>
      </c>
    </row>
    <row r="2429" spans="1:14" ht="19" customHeight="1" x14ac:dyDescent="0.3">
      <c r="A2429">
        <v>2424</v>
      </c>
      <c r="B2429" s="1">
        <v>9</v>
      </c>
      <c r="C2429" s="1">
        <v>90</v>
      </c>
      <c r="D2429" s="1">
        <v>5.5E-2</v>
      </c>
      <c r="E2429" s="1">
        <v>0.06</v>
      </c>
      <c r="F2429" s="1">
        <v>5</v>
      </c>
      <c r="G2429" s="1">
        <v>1</v>
      </c>
      <c r="H2429" s="1">
        <v>1.1864274403299999</v>
      </c>
      <c r="I2429" s="1">
        <v>1.3348130083600001</v>
      </c>
      <c r="J2429" s="1">
        <v>0.63232135395599998</v>
      </c>
      <c r="K2429" s="1">
        <v>18762.7562641</v>
      </c>
      <c r="L2429" s="1">
        <v>4705.6564759700004</v>
      </c>
      <c r="M2429" s="1" t="s">
        <v>198</v>
      </c>
      <c r="N2429" s="1" t="b">
        <v>1</v>
      </c>
    </row>
    <row r="2430" spans="1:14" ht="19" customHeight="1" x14ac:dyDescent="0.3">
      <c r="A2430">
        <v>2425</v>
      </c>
      <c r="B2430" s="1">
        <v>9</v>
      </c>
      <c r="C2430" s="1">
        <v>90</v>
      </c>
      <c r="D2430" s="1">
        <v>5.5E-2</v>
      </c>
      <c r="E2430" s="1">
        <v>8.5000000000000006E-2</v>
      </c>
      <c r="F2430" s="1">
        <v>-5</v>
      </c>
      <c r="G2430" s="1">
        <v>0</v>
      </c>
      <c r="H2430" s="1">
        <v>1.11579289482</v>
      </c>
      <c r="I2430" s="1">
        <v>1.67379885954</v>
      </c>
      <c r="J2430" s="1">
        <v>0.76480244164699995</v>
      </c>
      <c r="K2430" s="1">
        <v>20759.793137000001</v>
      </c>
      <c r="L2430" s="1">
        <v>5691.5641704299996</v>
      </c>
      <c r="M2430" s="1" t="s">
        <v>198</v>
      </c>
      <c r="N2430" s="1" t="b">
        <v>1</v>
      </c>
    </row>
    <row r="2431" spans="1:14" ht="19" customHeight="1" x14ac:dyDescent="0.3">
      <c r="A2431">
        <v>2426</v>
      </c>
      <c r="B2431" s="1">
        <v>9</v>
      </c>
      <c r="C2431" s="1">
        <v>90</v>
      </c>
      <c r="D2431" s="1">
        <v>5.5E-2</v>
      </c>
      <c r="E2431" s="1">
        <v>8.5000000000000006E-2</v>
      </c>
      <c r="F2431" s="1">
        <v>-5</v>
      </c>
      <c r="G2431" s="1">
        <v>1</v>
      </c>
      <c r="H2431" s="1">
        <v>1.11579289482</v>
      </c>
      <c r="I2431" s="1">
        <v>1.25534914466</v>
      </c>
      <c r="J2431" s="1">
        <v>0.62713800215100002</v>
      </c>
      <c r="K2431" s="1">
        <v>17645.742665000002</v>
      </c>
      <c r="L2431" s="1">
        <v>4667.0826197599999</v>
      </c>
      <c r="M2431" s="1" t="s">
        <v>198</v>
      </c>
      <c r="N2431" s="1" t="b">
        <v>1</v>
      </c>
    </row>
    <row r="2432" spans="1:14" ht="19" customHeight="1" x14ac:dyDescent="0.3">
      <c r="A2432">
        <v>2427</v>
      </c>
      <c r="B2432" s="1">
        <v>9</v>
      </c>
      <c r="C2432" s="1">
        <v>90</v>
      </c>
      <c r="D2432" s="1">
        <v>5.5E-2</v>
      </c>
      <c r="E2432" s="1">
        <v>8.5000000000000006E-2</v>
      </c>
      <c r="F2432" s="1">
        <v>0</v>
      </c>
      <c r="G2432" s="1">
        <v>0</v>
      </c>
      <c r="H2432" s="1">
        <v>1.14118280026</v>
      </c>
      <c r="I2432" s="1">
        <v>1.7118862097700001</v>
      </c>
      <c r="J2432" s="1">
        <v>0.757302441647</v>
      </c>
      <c r="K2432" s="1">
        <v>21232.182939099999</v>
      </c>
      <c r="L2432" s="1">
        <v>5635.75010793</v>
      </c>
      <c r="M2432" s="1" t="s">
        <v>198</v>
      </c>
      <c r="N2432" s="1" t="b">
        <v>1</v>
      </c>
    </row>
    <row r="2433" spans="1:14" ht="19" customHeight="1" x14ac:dyDescent="0.3">
      <c r="A2433">
        <v>2428</v>
      </c>
      <c r="B2433" s="1">
        <v>9</v>
      </c>
      <c r="C2433" s="1">
        <v>90</v>
      </c>
      <c r="D2433" s="1">
        <v>5.5E-2</v>
      </c>
      <c r="E2433" s="1">
        <v>8.5000000000000006E-2</v>
      </c>
      <c r="F2433" s="1">
        <v>0</v>
      </c>
      <c r="G2433" s="1">
        <v>1</v>
      </c>
      <c r="H2433" s="1">
        <v>1.14118280026</v>
      </c>
      <c r="I2433" s="1">
        <v>1.28391465733</v>
      </c>
      <c r="J2433" s="1">
        <v>0.62098800215100003</v>
      </c>
      <c r="K2433" s="1">
        <v>18047.2721422</v>
      </c>
      <c r="L2433" s="1">
        <v>4621.3150885100004</v>
      </c>
      <c r="M2433" s="1" t="s">
        <v>198</v>
      </c>
      <c r="N2433" s="1" t="b">
        <v>1</v>
      </c>
    </row>
    <row r="2434" spans="1:14" ht="19" customHeight="1" x14ac:dyDescent="0.3">
      <c r="A2434">
        <v>2429</v>
      </c>
      <c r="B2434" s="1">
        <v>9</v>
      </c>
      <c r="C2434" s="1">
        <v>90</v>
      </c>
      <c r="D2434" s="1">
        <v>5.5E-2</v>
      </c>
      <c r="E2434" s="1">
        <v>8.5000000000000006E-2</v>
      </c>
      <c r="F2434" s="1">
        <v>5</v>
      </c>
      <c r="G2434" s="1">
        <v>0</v>
      </c>
      <c r="H2434" s="1">
        <v>1.11579289482</v>
      </c>
      <c r="I2434" s="1">
        <v>1.67379885954</v>
      </c>
      <c r="J2434" s="1">
        <v>0.76480244164699995</v>
      </c>
      <c r="K2434" s="1">
        <v>20759.793137000001</v>
      </c>
      <c r="L2434" s="1">
        <v>5691.5641704299996</v>
      </c>
      <c r="M2434" s="1" t="s">
        <v>198</v>
      </c>
      <c r="N2434" s="1" t="b">
        <v>1</v>
      </c>
    </row>
    <row r="2435" spans="1:14" ht="19" customHeight="1" x14ac:dyDescent="0.3">
      <c r="A2435">
        <v>2430</v>
      </c>
      <c r="B2435" s="1">
        <v>9</v>
      </c>
      <c r="C2435" s="1">
        <v>90</v>
      </c>
      <c r="D2435" s="1">
        <v>5.5E-2</v>
      </c>
      <c r="E2435" s="1">
        <v>8.5000000000000006E-2</v>
      </c>
      <c r="F2435" s="1">
        <v>5</v>
      </c>
      <c r="G2435" s="1">
        <v>1</v>
      </c>
      <c r="H2435" s="1">
        <v>1.11579289482</v>
      </c>
      <c r="I2435" s="1">
        <v>1.25534914466</v>
      </c>
      <c r="J2435" s="1">
        <v>0.62713800215100002</v>
      </c>
      <c r="K2435" s="1">
        <v>17645.742665000002</v>
      </c>
      <c r="L2435" s="1">
        <v>4667.0826197599999</v>
      </c>
      <c r="M2435" s="1" t="s">
        <v>198</v>
      </c>
      <c r="N2435" s="1" t="b">
        <v>1</v>
      </c>
    </row>
    <row r="2436" spans="1:14" ht="19" customHeight="1" x14ac:dyDescent="0.3">
      <c r="A2436">
        <v>2431</v>
      </c>
      <c r="B2436" s="1">
        <v>10</v>
      </c>
      <c r="C2436" s="1">
        <v>0</v>
      </c>
      <c r="D2436" s="1">
        <v>2.5000000000000001E-2</v>
      </c>
      <c r="E2436" s="1">
        <v>0.04</v>
      </c>
      <c r="F2436" s="1">
        <v>-5</v>
      </c>
      <c r="G2436" s="1">
        <v>0</v>
      </c>
      <c r="H2436" s="1">
        <v>1.34300995082</v>
      </c>
      <c r="I2436" s="1">
        <v>1.78755598766</v>
      </c>
      <c r="J2436" s="1">
        <v>0.68467158427599994</v>
      </c>
      <c r="K2436" s="1">
        <v>0</v>
      </c>
      <c r="L2436" s="1">
        <v>0</v>
      </c>
      <c r="M2436" s="1" t="s">
        <v>198</v>
      </c>
      <c r="N2436" s="1" t="b">
        <v>1</v>
      </c>
    </row>
    <row r="2437" spans="1:14" ht="19" customHeight="1" x14ac:dyDescent="0.3">
      <c r="A2437">
        <v>2432</v>
      </c>
      <c r="B2437" s="1">
        <v>10</v>
      </c>
      <c r="C2437" s="1">
        <v>0</v>
      </c>
      <c r="D2437" s="1">
        <v>2.5000000000000001E-2</v>
      </c>
      <c r="E2437" s="1">
        <v>0.04</v>
      </c>
      <c r="F2437" s="1">
        <v>-5</v>
      </c>
      <c r="G2437" s="1">
        <v>1</v>
      </c>
      <c r="H2437" s="1">
        <v>1.34300995082</v>
      </c>
      <c r="I2437" s="1">
        <v>1.34066699075</v>
      </c>
      <c r="J2437" s="1">
        <v>0.56143069910700005</v>
      </c>
      <c r="K2437" s="1">
        <v>0</v>
      </c>
      <c r="L2437" s="1">
        <v>0</v>
      </c>
      <c r="M2437" s="1" t="s">
        <v>198</v>
      </c>
      <c r="N2437" s="1" t="b">
        <v>1</v>
      </c>
    </row>
    <row r="2438" spans="1:14" ht="19" customHeight="1" x14ac:dyDescent="0.3">
      <c r="A2438">
        <v>2433</v>
      </c>
      <c r="B2438" s="1">
        <v>10</v>
      </c>
      <c r="C2438" s="1">
        <v>0</v>
      </c>
      <c r="D2438" s="1">
        <v>2.5000000000000001E-2</v>
      </c>
      <c r="E2438" s="1">
        <v>0.04</v>
      </c>
      <c r="F2438" s="1">
        <v>0</v>
      </c>
      <c r="G2438" s="1">
        <v>0</v>
      </c>
      <c r="H2438" s="1">
        <v>1.37357018813</v>
      </c>
      <c r="I2438" s="1">
        <v>1.8282318852299999</v>
      </c>
      <c r="J2438" s="1">
        <v>0.67717158427599999</v>
      </c>
      <c r="K2438" s="1">
        <v>0</v>
      </c>
      <c r="L2438" s="1">
        <v>0</v>
      </c>
      <c r="M2438" s="1" t="s">
        <v>198</v>
      </c>
      <c r="N2438" s="1" t="b">
        <v>1</v>
      </c>
    </row>
    <row r="2439" spans="1:14" ht="19" customHeight="1" x14ac:dyDescent="0.3">
      <c r="A2439">
        <v>2434</v>
      </c>
      <c r="B2439" s="1">
        <v>10</v>
      </c>
      <c r="C2439" s="1">
        <v>0</v>
      </c>
      <c r="D2439" s="1">
        <v>2.5000000000000001E-2</v>
      </c>
      <c r="E2439" s="1">
        <v>0.04</v>
      </c>
      <c r="F2439" s="1">
        <v>0</v>
      </c>
      <c r="G2439" s="1">
        <v>1</v>
      </c>
      <c r="H2439" s="1">
        <v>1.37357018813</v>
      </c>
      <c r="I2439" s="1">
        <v>1.3711739139200001</v>
      </c>
      <c r="J2439" s="1">
        <v>0.55528069910699995</v>
      </c>
      <c r="K2439" s="1">
        <v>0</v>
      </c>
      <c r="L2439" s="1">
        <v>0</v>
      </c>
      <c r="M2439" s="1" t="s">
        <v>198</v>
      </c>
      <c r="N2439" s="1" t="b">
        <v>1</v>
      </c>
    </row>
    <row r="2440" spans="1:14" ht="19" customHeight="1" x14ac:dyDescent="0.3">
      <c r="A2440">
        <v>2435</v>
      </c>
      <c r="B2440" s="1">
        <v>10</v>
      </c>
      <c r="C2440" s="1">
        <v>0</v>
      </c>
      <c r="D2440" s="1">
        <v>2.5000000000000001E-2</v>
      </c>
      <c r="E2440" s="1">
        <v>0.04</v>
      </c>
      <c r="F2440" s="1">
        <v>5</v>
      </c>
      <c r="G2440" s="1">
        <v>0</v>
      </c>
      <c r="H2440" s="1">
        <v>1.34300995082</v>
      </c>
      <c r="I2440" s="1">
        <v>1.78755598766</v>
      </c>
      <c r="J2440" s="1">
        <v>0.68467158427599994</v>
      </c>
      <c r="K2440" s="1">
        <v>0</v>
      </c>
      <c r="L2440" s="1">
        <v>0</v>
      </c>
      <c r="M2440" s="1" t="s">
        <v>198</v>
      </c>
      <c r="N2440" s="1" t="b">
        <v>1</v>
      </c>
    </row>
    <row r="2441" spans="1:14" ht="19" customHeight="1" x14ac:dyDescent="0.3">
      <c r="A2441">
        <v>2436</v>
      </c>
      <c r="B2441" s="1">
        <v>10</v>
      </c>
      <c r="C2441" s="1">
        <v>0</v>
      </c>
      <c r="D2441" s="1">
        <v>2.5000000000000001E-2</v>
      </c>
      <c r="E2441" s="1">
        <v>0.04</v>
      </c>
      <c r="F2441" s="1">
        <v>5</v>
      </c>
      <c r="G2441" s="1">
        <v>1</v>
      </c>
      <c r="H2441" s="1">
        <v>1.34300995082</v>
      </c>
      <c r="I2441" s="1">
        <v>1.34066699075</v>
      </c>
      <c r="J2441" s="1">
        <v>0.56143069910700005</v>
      </c>
      <c r="K2441" s="1">
        <v>0</v>
      </c>
      <c r="L2441" s="1">
        <v>0</v>
      </c>
      <c r="M2441" s="1" t="s">
        <v>198</v>
      </c>
      <c r="N2441" s="1" t="b">
        <v>1</v>
      </c>
    </row>
    <row r="2442" spans="1:14" ht="19" customHeight="1" x14ac:dyDescent="0.3">
      <c r="A2442">
        <v>2437</v>
      </c>
      <c r="B2442" s="1">
        <v>10</v>
      </c>
      <c r="C2442" s="1">
        <v>0</v>
      </c>
      <c r="D2442" s="1">
        <v>2.5000000000000001E-2</v>
      </c>
      <c r="E2442" s="1">
        <v>0.06</v>
      </c>
      <c r="F2442" s="1">
        <v>-5</v>
      </c>
      <c r="G2442" s="1">
        <v>0</v>
      </c>
      <c r="H2442" s="1">
        <v>1.3836249644600001</v>
      </c>
      <c r="I2442" s="1">
        <v>1.8484785081099999</v>
      </c>
      <c r="J2442" s="1">
        <v>0.68830626512100002</v>
      </c>
      <c r="K2442" s="1">
        <v>0</v>
      </c>
      <c r="L2442" s="1">
        <v>0</v>
      </c>
      <c r="M2442" s="1" t="s">
        <v>198</v>
      </c>
      <c r="N2442" s="1" t="b">
        <v>1</v>
      </c>
    </row>
    <row r="2443" spans="1:14" ht="19" customHeight="1" x14ac:dyDescent="0.3">
      <c r="A2443">
        <v>2438</v>
      </c>
      <c r="B2443" s="1">
        <v>10</v>
      </c>
      <c r="C2443" s="1">
        <v>0</v>
      </c>
      <c r="D2443" s="1">
        <v>2.5000000000000001E-2</v>
      </c>
      <c r="E2443" s="1">
        <v>0.06</v>
      </c>
      <c r="F2443" s="1">
        <v>-5</v>
      </c>
      <c r="G2443" s="1">
        <v>1</v>
      </c>
      <c r="H2443" s="1">
        <v>1.3836249644600001</v>
      </c>
      <c r="I2443" s="1">
        <v>1.3863588810900001</v>
      </c>
      <c r="J2443" s="1">
        <v>0.56441113740000004</v>
      </c>
      <c r="K2443" s="1">
        <v>0</v>
      </c>
      <c r="L2443" s="1">
        <v>0</v>
      </c>
      <c r="M2443" s="1" t="s">
        <v>198</v>
      </c>
      <c r="N2443" s="1" t="b">
        <v>1</v>
      </c>
    </row>
    <row r="2444" spans="1:14" ht="19" customHeight="1" x14ac:dyDescent="0.3">
      <c r="A2444">
        <v>2439</v>
      </c>
      <c r="B2444" s="1">
        <v>10</v>
      </c>
      <c r="C2444" s="1">
        <v>0</v>
      </c>
      <c r="D2444" s="1">
        <v>2.5000000000000001E-2</v>
      </c>
      <c r="E2444" s="1">
        <v>0.06</v>
      </c>
      <c r="F2444" s="1">
        <v>0</v>
      </c>
      <c r="G2444" s="1">
        <v>0</v>
      </c>
      <c r="H2444" s="1">
        <v>1.41510939779</v>
      </c>
      <c r="I2444" s="1">
        <v>1.8905406997200001</v>
      </c>
      <c r="J2444" s="1">
        <v>0.68080626512099995</v>
      </c>
      <c r="K2444" s="1">
        <v>0</v>
      </c>
      <c r="L2444" s="1">
        <v>0</v>
      </c>
      <c r="M2444" s="1" t="s">
        <v>198</v>
      </c>
      <c r="N2444" s="1" t="b">
        <v>1</v>
      </c>
    </row>
    <row r="2445" spans="1:14" ht="19" customHeight="1" x14ac:dyDescent="0.3">
      <c r="A2445">
        <v>2440</v>
      </c>
      <c r="B2445" s="1">
        <v>10</v>
      </c>
      <c r="C2445" s="1">
        <v>0</v>
      </c>
      <c r="D2445" s="1">
        <v>2.5000000000000001E-2</v>
      </c>
      <c r="E2445" s="1">
        <v>0.06</v>
      </c>
      <c r="F2445" s="1">
        <v>0</v>
      </c>
      <c r="G2445" s="1">
        <v>1</v>
      </c>
      <c r="H2445" s="1">
        <v>1.41510939779</v>
      </c>
      <c r="I2445" s="1">
        <v>1.4179055247900001</v>
      </c>
      <c r="J2445" s="1">
        <v>0.55826113740000005</v>
      </c>
      <c r="K2445" s="1">
        <v>0</v>
      </c>
      <c r="L2445" s="1">
        <v>0</v>
      </c>
      <c r="M2445" s="1" t="s">
        <v>198</v>
      </c>
      <c r="N2445" s="1" t="b">
        <v>1</v>
      </c>
    </row>
    <row r="2446" spans="1:14" ht="19" customHeight="1" x14ac:dyDescent="0.3">
      <c r="A2446">
        <v>2441</v>
      </c>
      <c r="B2446" s="1">
        <v>10</v>
      </c>
      <c r="C2446" s="1">
        <v>0</v>
      </c>
      <c r="D2446" s="1">
        <v>2.5000000000000001E-2</v>
      </c>
      <c r="E2446" s="1">
        <v>0.06</v>
      </c>
      <c r="F2446" s="1">
        <v>5</v>
      </c>
      <c r="G2446" s="1">
        <v>0</v>
      </c>
      <c r="H2446" s="1">
        <v>1.3836249644600001</v>
      </c>
      <c r="I2446" s="1">
        <v>1.8484785081099999</v>
      </c>
      <c r="J2446" s="1">
        <v>0.68830626512100002</v>
      </c>
      <c r="K2446" s="1">
        <v>0</v>
      </c>
      <c r="L2446" s="1">
        <v>0</v>
      </c>
      <c r="M2446" s="1" t="s">
        <v>198</v>
      </c>
      <c r="N2446" s="1" t="b">
        <v>1</v>
      </c>
    </row>
    <row r="2447" spans="1:14" ht="19" customHeight="1" x14ac:dyDescent="0.3">
      <c r="A2447">
        <v>2442</v>
      </c>
      <c r="B2447" s="1">
        <v>10</v>
      </c>
      <c r="C2447" s="1">
        <v>0</v>
      </c>
      <c r="D2447" s="1">
        <v>2.5000000000000001E-2</v>
      </c>
      <c r="E2447" s="1">
        <v>0.06</v>
      </c>
      <c r="F2447" s="1">
        <v>5</v>
      </c>
      <c r="G2447" s="1">
        <v>1</v>
      </c>
      <c r="H2447" s="1">
        <v>1.3836249644600001</v>
      </c>
      <c r="I2447" s="1">
        <v>1.3863588810900001</v>
      </c>
      <c r="J2447" s="1">
        <v>0.56441113740000004</v>
      </c>
      <c r="K2447" s="1">
        <v>0</v>
      </c>
      <c r="L2447" s="1">
        <v>0</v>
      </c>
      <c r="M2447" s="1" t="s">
        <v>198</v>
      </c>
      <c r="N2447" s="1" t="b">
        <v>1</v>
      </c>
    </row>
    <row r="2448" spans="1:14" ht="19" customHeight="1" x14ac:dyDescent="0.3">
      <c r="A2448">
        <v>2443</v>
      </c>
      <c r="B2448" s="1">
        <v>10</v>
      </c>
      <c r="C2448" s="1">
        <v>0</v>
      </c>
      <c r="D2448" s="1">
        <v>2.5000000000000001E-2</v>
      </c>
      <c r="E2448" s="1">
        <v>8.5000000000000006E-2</v>
      </c>
      <c r="F2448" s="1">
        <v>-5</v>
      </c>
      <c r="G2448" s="1">
        <v>0</v>
      </c>
      <c r="H2448" s="1">
        <v>1.2797934555099999</v>
      </c>
      <c r="I2448" s="1">
        <v>1.6927312447</v>
      </c>
      <c r="J2448" s="1">
        <v>0.67901427275500004</v>
      </c>
      <c r="K2448" s="1">
        <v>0</v>
      </c>
      <c r="L2448" s="1">
        <v>0</v>
      </c>
      <c r="M2448" s="1" t="s">
        <v>198</v>
      </c>
      <c r="N2448" s="1" t="b">
        <v>1</v>
      </c>
    </row>
    <row r="2449" spans="1:14" ht="19" customHeight="1" x14ac:dyDescent="0.3">
      <c r="A2449">
        <v>2444</v>
      </c>
      <c r="B2449" s="1">
        <v>10</v>
      </c>
      <c r="C2449" s="1">
        <v>0</v>
      </c>
      <c r="D2449" s="1">
        <v>2.5000000000000001E-2</v>
      </c>
      <c r="E2449" s="1">
        <v>8.5000000000000006E-2</v>
      </c>
      <c r="F2449" s="1">
        <v>-5</v>
      </c>
      <c r="G2449" s="1">
        <v>1</v>
      </c>
      <c r="H2449" s="1">
        <v>1.2797934555099999</v>
      </c>
      <c r="I2449" s="1">
        <v>1.26954843352</v>
      </c>
      <c r="J2449" s="1">
        <v>0.55679170365899999</v>
      </c>
      <c r="K2449" s="1">
        <v>0</v>
      </c>
      <c r="L2449" s="1">
        <v>0</v>
      </c>
      <c r="M2449" s="1" t="s">
        <v>198</v>
      </c>
      <c r="N2449" s="1" t="b">
        <v>1</v>
      </c>
    </row>
    <row r="2450" spans="1:14" ht="19" customHeight="1" x14ac:dyDescent="0.3">
      <c r="A2450">
        <v>2445</v>
      </c>
      <c r="B2450" s="1">
        <v>10</v>
      </c>
      <c r="C2450" s="1">
        <v>0</v>
      </c>
      <c r="D2450" s="1">
        <v>2.5000000000000001E-2</v>
      </c>
      <c r="E2450" s="1">
        <v>8.5000000000000006E-2</v>
      </c>
      <c r="F2450" s="1">
        <v>0</v>
      </c>
      <c r="G2450" s="1">
        <v>0</v>
      </c>
      <c r="H2450" s="1">
        <v>1.3089151993100001</v>
      </c>
      <c r="I2450" s="1">
        <v>1.731249402</v>
      </c>
      <c r="J2450" s="1">
        <v>0.67151427275499997</v>
      </c>
      <c r="K2450" s="1">
        <v>0</v>
      </c>
      <c r="L2450" s="1">
        <v>0</v>
      </c>
      <c r="M2450" s="1" t="s">
        <v>198</v>
      </c>
      <c r="N2450" s="1" t="b">
        <v>1</v>
      </c>
    </row>
    <row r="2451" spans="1:14" ht="19" customHeight="1" x14ac:dyDescent="0.3">
      <c r="A2451">
        <v>2446</v>
      </c>
      <c r="B2451" s="1">
        <v>10</v>
      </c>
      <c r="C2451" s="1">
        <v>0</v>
      </c>
      <c r="D2451" s="1">
        <v>2.5000000000000001E-2</v>
      </c>
      <c r="E2451" s="1">
        <v>8.5000000000000006E-2</v>
      </c>
      <c r="F2451" s="1">
        <v>0</v>
      </c>
      <c r="G2451" s="1">
        <v>1</v>
      </c>
      <c r="H2451" s="1">
        <v>1.3089151993100001</v>
      </c>
      <c r="I2451" s="1">
        <v>1.2984370515000001</v>
      </c>
      <c r="J2451" s="1">
        <v>0.550641703659</v>
      </c>
      <c r="K2451" s="1">
        <v>0</v>
      </c>
      <c r="L2451" s="1">
        <v>0</v>
      </c>
      <c r="M2451" s="1" t="s">
        <v>198</v>
      </c>
      <c r="N2451" s="1" t="b">
        <v>1</v>
      </c>
    </row>
    <row r="2452" spans="1:14" ht="19" customHeight="1" x14ac:dyDescent="0.3">
      <c r="A2452">
        <v>2447</v>
      </c>
      <c r="B2452" s="1">
        <v>10</v>
      </c>
      <c r="C2452" s="1">
        <v>0</v>
      </c>
      <c r="D2452" s="1">
        <v>2.5000000000000001E-2</v>
      </c>
      <c r="E2452" s="1">
        <v>8.5000000000000006E-2</v>
      </c>
      <c r="F2452" s="1">
        <v>5</v>
      </c>
      <c r="G2452" s="1">
        <v>0</v>
      </c>
      <c r="H2452" s="1">
        <v>1.2797934555099999</v>
      </c>
      <c r="I2452" s="1">
        <v>1.6927312447</v>
      </c>
      <c r="J2452" s="1">
        <v>0.67901427275500004</v>
      </c>
      <c r="K2452" s="1">
        <v>0</v>
      </c>
      <c r="L2452" s="1">
        <v>0</v>
      </c>
      <c r="M2452" s="1" t="s">
        <v>198</v>
      </c>
      <c r="N2452" s="1" t="b">
        <v>1</v>
      </c>
    </row>
    <row r="2453" spans="1:14" ht="19" customHeight="1" x14ac:dyDescent="0.3">
      <c r="A2453">
        <v>2448</v>
      </c>
      <c r="B2453" s="1">
        <v>10</v>
      </c>
      <c r="C2453" s="1">
        <v>0</v>
      </c>
      <c r="D2453" s="1">
        <v>2.5000000000000001E-2</v>
      </c>
      <c r="E2453" s="1">
        <v>8.5000000000000006E-2</v>
      </c>
      <c r="F2453" s="1">
        <v>5</v>
      </c>
      <c r="G2453" s="1">
        <v>1</v>
      </c>
      <c r="H2453" s="1">
        <v>1.2797934555099999</v>
      </c>
      <c r="I2453" s="1">
        <v>1.26954843352</v>
      </c>
      <c r="J2453" s="1">
        <v>0.55679170365899999</v>
      </c>
      <c r="K2453" s="1">
        <v>0</v>
      </c>
      <c r="L2453" s="1">
        <v>0</v>
      </c>
      <c r="M2453" s="1" t="s">
        <v>198</v>
      </c>
      <c r="N2453" s="1" t="b">
        <v>1</v>
      </c>
    </row>
    <row r="2454" spans="1:14" ht="19" customHeight="1" x14ac:dyDescent="0.3">
      <c r="A2454">
        <v>2449</v>
      </c>
      <c r="B2454" s="1">
        <v>10</v>
      </c>
      <c r="C2454" s="1">
        <v>0</v>
      </c>
      <c r="D2454" s="1">
        <v>0.04</v>
      </c>
      <c r="E2454" s="1">
        <v>0.04</v>
      </c>
      <c r="F2454" s="1">
        <v>-5</v>
      </c>
      <c r="G2454" s="1">
        <v>0</v>
      </c>
      <c r="H2454" s="1">
        <v>1.3489987642700001</v>
      </c>
      <c r="I2454" s="1">
        <v>1.79653920784</v>
      </c>
      <c r="J2454" s="1">
        <v>0.68520752957300002</v>
      </c>
      <c r="K2454" s="1">
        <v>0</v>
      </c>
      <c r="L2454" s="1">
        <v>0</v>
      </c>
      <c r="M2454" s="1" t="s">
        <v>198</v>
      </c>
      <c r="N2454" s="1" t="b">
        <v>1</v>
      </c>
    </row>
    <row r="2455" spans="1:14" ht="19" customHeight="1" x14ac:dyDescent="0.3">
      <c r="A2455">
        <v>2450</v>
      </c>
      <c r="B2455" s="1">
        <v>10</v>
      </c>
      <c r="C2455" s="1">
        <v>0</v>
      </c>
      <c r="D2455" s="1">
        <v>0.04</v>
      </c>
      <c r="E2455" s="1">
        <v>0.04</v>
      </c>
      <c r="F2455" s="1">
        <v>-5</v>
      </c>
      <c r="G2455" s="1">
        <v>1</v>
      </c>
      <c r="H2455" s="1">
        <v>1.3489987642700001</v>
      </c>
      <c r="I2455" s="1">
        <v>1.3474044058800001</v>
      </c>
      <c r="J2455" s="1">
        <v>0.56187017424999997</v>
      </c>
      <c r="K2455" s="1">
        <v>0</v>
      </c>
      <c r="L2455" s="1">
        <v>0</v>
      </c>
      <c r="M2455" s="1" t="s">
        <v>198</v>
      </c>
      <c r="N2455" s="1" t="b">
        <v>1</v>
      </c>
    </row>
    <row r="2456" spans="1:14" ht="19" customHeight="1" x14ac:dyDescent="0.3">
      <c r="A2456">
        <v>2451</v>
      </c>
      <c r="B2456" s="1">
        <v>10</v>
      </c>
      <c r="C2456" s="1">
        <v>0</v>
      </c>
      <c r="D2456" s="1">
        <v>0.04</v>
      </c>
      <c r="E2456" s="1">
        <v>0.04</v>
      </c>
      <c r="F2456" s="1">
        <v>0</v>
      </c>
      <c r="G2456" s="1">
        <v>0</v>
      </c>
      <c r="H2456" s="1">
        <v>1.37969527724</v>
      </c>
      <c r="I2456" s="1">
        <v>1.83741951889</v>
      </c>
      <c r="J2456" s="1">
        <v>0.67770752957299996</v>
      </c>
      <c r="K2456" s="1">
        <v>0</v>
      </c>
      <c r="L2456" s="1">
        <v>0</v>
      </c>
      <c r="M2456" s="1" t="s">
        <v>198</v>
      </c>
      <c r="N2456" s="1" t="b">
        <v>1</v>
      </c>
    </row>
    <row r="2457" spans="1:14" ht="19" customHeight="1" x14ac:dyDescent="0.3">
      <c r="A2457">
        <v>2452</v>
      </c>
      <c r="B2457" s="1">
        <v>10</v>
      </c>
      <c r="C2457" s="1">
        <v>0</v>
      </c>
      <c r="D2457" s="1">
        <v>0.04</v>
      </c>
      <c r="E2457" s="1">
        <v>0.04</v>
      </c>
      <c r="F2457" s="1">
        <v>0</v>
      </c>
      <c r="G2457" s="1">
        <v>1</v>
      </c>
      <c r="H2457" s="1">
        <v>1.37969527724</v>
      </c>
      <c r="I2457" s="1">
        <v>1.37806463917</v>
      </c>
      <c r="J2457" s="1">
        <v>0.55572017424999998</v>
      </c>
      <c r="K2457" s="1">
        <v>0</v>
      </c>
      <c r="L2457" s="1">
        <v>0</v>
      </c>
      <c r="M2457" s="1" t="s">
        <v>198</v>
      </c>
      <c r="N2457" s="1" t="b">
        <v>1</v>
      </c>
    </row>
    <row r="2458" spans="1:14" ht="19" customHeight="1" x14ac:dyDescent="0.3">
      <c r="A2458">
        <v>2453</v>
      </c>
      <c r="B2458" s="1">
        <v>10</v>
      </c>
      <c r="C2458" s="1">
        <v>0</v>
      </c>
      <c r="D2458" s="1">
        <v>0.04</v>
      </c>
      <c r="E2458" s="1">
        <v>0.04</v>
      </c>
      <c r="F2458" s="1">
        <v>5</v>
      </c>
      <c r="G2458" s="1">
        <v>0</v>
      </c>
      <c r="H2458" s="1">
        <v>1.3489987642700001</v>
      </c>
      <c r="I2458" s="1">
        <v>1.79653920784</v>
      </c>
      <c r="J2458" s="1">
        <v>0.68520752957300002</v>
      </c>
      <c r="K2458" s="1">
        <v>0</v>
      </c>
      <c r="L2458" s="1">
        <v>0</v>
      </c>
      <c r="M2458" s="1" t="s">
        <v>198</v>
      </c>
      <c r="N2458" s="1" t="b">
        <v>1</v>
      </c>
    </row>
    <row r="2459" spans="1:14" ht="19" customHeight="1" x14ac:dyDescent="0.3">
      <c r="A2459">
        <v>2454</v>
      </c>
      <c r="B2459" s="1">
        <v>10</v>
      </c>
      <c r="C2459" s="1">
        <v>0</v>
      </c>
      <c r="D2459" s="1">
        <v>0.04</v>
      </c>
      <c r="E2459" s="1">
        <v>0.04</v>
      </c>
      <c r="F2459" s="1">
        <v>5</v>
      </c>
      <c r="G2459" s="1">
        <v>1</v>
      </c>
      <c r="H2459" s="1">
        <v>1.3489987642700001</v>
      </c>
      <c r="I2459" s="1">
        <v>1.3474044058800001</v>
      </c>
      <c r="J2459" s="1">
        <v>0.56187017424999997</v>
      </c>
      <c r="K2459" s="1">
        <v>0</v>
      </c>
      <c r="L2459" s="1">
        <v>0</v>
      </c>
      <c r="M2459" s="1" t="s">
        <v>198</v>
      </c>
      <c r="N2459" s="1" t="b">
        <v>1</v>
      </c>
    </row>
    <row r="2460" spans="1:14" ht="19" customHeight="1" x14ac:dyDescent="0.3">
      <c r="A2460">
        <v>2455</v>
      </c>
      <c r="B2460" s="1">
        <v>10</v>
      </c>
      <c r="C2460" s="1">
        <v>0</v>
      </c>
      <c r="D2460" s="1">
        <v>0.04</v>
      </c>
      <c r="E2460" s="1">
        <v>0.06</v>
      </c>
      <c r="F2460" s="1">
        <v>-5</v>
      </c>
      <c r="G2460" s="1">
        <v>0</v>
      </c>
      <c r="H2460" s="1">
        <v>1.3901945798299999</v>
      </c>
      <c r="I2460" s="1">
        <v>1.8583329311800001</v>
      </c>
      <c r="J2460" s="1">
        <v>0.68889418700100002</v>
      </c>
      <c r="K2460" s="1">
        <v>0</v>
      </c>
      <c r="L2460" s="1">
        <v>0</v>
      </c>
      <c r="M2460" s="1" t="s">
        <v>198</v>
      </c>
      <c r="N2460" s="1" t="b">
        <v>1</v>
      </c>
    </row>
    <row r="2461" spans="1:14" ht="19" customHeight="1" x14ac:dyDescent="0.3">
      <c r="A2461">
        <v>2456</v>
      </c>
      <c r="B2461" s="1">
        <v>10</v>
      </c>
      <c r="C2461" s="1">
        <v>0</v>
      </c>
      <c r="D2461" s="1">
        <v>0.04</v>
      </c>
      <c r="E2461" s="1">
        <v>0.06</v>
      </c>
      <c r="F2461" s="1">
        <v>-5</v>
      </c>
      <c r="G2461" s="1">
        <v>1</v>
      </c>
      <c r="H2461" s="1">
        <v>1.3901945798299999</v>
      </c>
      <c r="I2461" s="1">
        <v>1.39374969838</v>
      </c>
      <c r="J2461" s="1">
        <v>0.56489323334099995</v>
      </c>
      <c r="K2461" s="1">
        <v>0</v>
      </c>
      <c r="L2461" s="1">
        <v>0</v>
      </c>
      <c r="M2461" s="1" t="s">
        <v>198</v>
      </c>
      <c r="N2461" s="1" t="b">
        <v>1</v>
      </c>
    </row>
    <row r="2462" spans="1:14" ht="19" customHeight="1" x14ac:dyDescent="0.3">
      <c r="A2462">
        <v>2457</v>
      </c>
      <c r="B2462" s="1">
        <v>10</v>
      </c>
      <c r="C2462" s="1">
        <v>0</v>
      </c>
      <c r="D2462" s="1">
        <v>0.04</v>
      </c>
      <c r="E2462" s="1">
        <v>0.06</v>
      </c>
      <c r="F2462" s="1">
        <v>0</v>
      </c>
      <c r="G2462" s="1">
        <v>0</v>
      </c>
      <c r="H2462" s="1">
        <v>1.4218285049899999</v>
      </c>
      <c r="I2462" s="1">
        <v>1.9006193605099999</v>
      </c>
      <c r="J2462" s="1">
        <v>0.68139418700099996</v>
      </c>
      <c r="K2462" s="1">
        <v>0</v>
      </c>
      <c r="L2462" s="1">
        <v>0</v>
      </c>
      <c r="M2462" s="1" t="s">
        <v>198</v>
      </c>
      <c r="N2462" s="1" t="b">
        <v>1</v>
      </c>
    </row>
    <row r="2463" spans="1:14" ht="19" customHeight="1" x14ac:dyDescent="0.3">
      <c r="A2463">
        <v>2458</v>
      </c>
      <c r="B2463" s="1">
        <v>10</v>
      </c>
      <c r="C2463" s="1">
        <v>0</v>
      </c>
      <c r="D2463" s="1">
        <v>0.04</v>
      </c>
      <c r="E2463" s="1">
        <v>0.06</v>
      </c>
      <c r="F2463" s="1">
        <v>0</v>
      </c>
      <c r="G2463" s="1">
        <v>1</v>
      </c>
      <c r="H2463" s="1">
        <v>1.4218285049899999</v>
      </c>
      <c r="I2463" s="1">
        <v>1.42546452039</v>
      </c>
      <c r="J2463" s="1">
        <v>0.55874323334099996</v>
      </c>
      <c r="K2463" s="1">
        <v>0</v>
      </c>
      <c r="L2463" s="1">
        <v>0</v>
      </c>
      <c r="M2463" s="1" t="s">
        <v>198</v>
      </c>
      <c r="N2463" s="1" t="b">
        <v>1</v>
      </c>
    </row>
    <row r="2464" spans="1:14" ht="19" customHeight="1" x14ac:dyDescent="0.3">
      <c r="A2464">
        <v>2459</v>
      </c>
      <c r="B2464" s="1">
        <v>10</v>
      </c>
      <c r="C2464" s="1">
        <v>0</v>
      </c>
      <c r="D2464" s="1">
        <v>0.04</v>
      </c>
      <c r="E2464" s="1">
        <v>0.06</v>
      </c>
      <c r="F2464" s="1">
        <v>5</v>
      </c>
      <c r="G2464" s="1">
        <v>0</v>
      </c>
      <c r="H2464" s="1">
        <v>1.3901945798299999</v>
      </c>
      <c r="I2464" s="1">
        <v>1.8583329311800001</v>
      </c>
      <c r="J2464" s="1">
        <v>0.68889418700100002</v>
      </c>
      <c r="K2464" s="1">
        <v>0</v>
      </c>
      <c r="L2464" s="1">
        <v>0</v>
      </c>
      <c r="M2464" s="1" t="s">
        <v>198</v>
      </c>
      <c r="N2464" s="1" t="b">
        <v>1</v>
      </c>
    </row>
    <row r="2465" spans="1:14" ht="19" customHeight="1" x14ac:dyDescent="0.3">
      <c r="A2465">
        <v>2460</v>
      </c>
      <c r="B2465" s="1">
        <v>10</v>
      </c>
      <c r="C2465" s="1">
        <v>0</v>
      </c>
      <c r="D2465" s="1">
        <v>0.04</v>
      </c>
      <c r="E2465" s="1">
        <v>0.06</v>
      </c>
      <c r="F2465" s="1">
        <v>5</v>
      </c>
      <c r="G2465" s="1">
        <v>1</v>
      </c>
      <c r="H2465" s="1">
        <v>1.3901945798299999</v>
      </c>
      <c r="I2465" s="1">
        <v>1.39374969838</v>
      </c>
      <c r="J2465" s="1">
        <v>0.56489323334099995</v>
      </c>
      <c r="K2465" s="1">
        <v>0</v>
      </c>
      <c r="L2465" s="1">
        <v>0</v>
      </c>
      <c r="M2465" s="1" t="s">
        <v>198</v>
      </c>
      <c r="N2465" s="1" t="b">
        <v>1</v>
      </c>
    </row>
    <row r="2466" spans="1:14" ht="19" customHeight="1" x14ac:dyDescent="0.3">
      <c r="A2466">
        <v>2461</v>
      </c>
      <c r="B2466" s="1">
        <v>10</v>
      </c>
      <c r="C2466" s="1">
        <v>0</v>
      </c>
      <c r="D2466" s="1">
        <v>0.04</v>
      </c>
      <c r="E2466" s="1">
        <v>8.5000000000000006E-2</v>
      </c>
      <c r="F2466" s="1">
        <v>-5</v>
      </c>
      <c r="G2466" s="1">
        <v>0</v>
      </c>
      <c r="H2466" s="1">
        <v>1.2848782618300001</v>
      </c>
      <c r="I2466" s="1">
        <v>1.7003584541800001</v>
      </c>
      <c r="J2466" s="1">
        <v>0.67946931748999995</v>
      </c>
      <c r="K2466" s="1">
        <v>0</v>
      </c>
      <c r="L2466" s="1">
        <v>0</v>
      </c>
      <c r="M2466" s="1" t="s">
        <v>198</v>
      </c>
      <c r="N2466" s="1" t="b">
        <v>1</v>
      </c>
    </row>
    <row r="2467" spans="1:14" ht="19" customHeight="1" x14ac:dyDescent="0.3">
      <c r="A2467">
        <v>2462</v>
      </c>
      <c r="B2467" s="1">
        <v>10</v>
      </c>
      <c r="C2467" s="1">
        <v>0</v>
      </c>
      <c r="D2467" s="1">
        <v>0.04</v>
      </c>
      <c r="E2467" s="1">
        <v>8.5000000000000006E-2</v>
      </c>
      <c r="F2467" s="1">
        <v>-5</v>
      </c>
      <c r="G2467" s="1">
        <v>1</v>
      </c>
      <c r="H2467" s="1">
        <v>1.2848782618300001</v>
      </c>
      <c r="I2467" s="1">
        <v>1.2752688406399999</v>
      </c>
      <c r="J2467" s="1">
        <v>0.55716484034199998</v>
      </c>
      <c r="K2467" s="1">
        <v>0</v>
      </c>
      <c r="L2467" s="1">
        <v>0</v>
      </c>
      <c r="M2467" s="1" t="s">
        <v>198</v>
      </c>
      <c r="N2467" s="1" t="b">
        <v>1</v>
      </c>
    </row>
    <row r="2468" spans="1:14" ht="19" customHeight="1" x14ac:dyDescent="0.3">
      <c r="A2468">
        <v>2463</v>
      </c>
      <c r="B2468" s="1">
        <v>10</v>
      </c>
      <c r="C2468" s="1">
        <v>0</v>
      </c>
      <c r="D2468" s="1">
        <v>0.04</v>
      </c>
      <c r="E2468" s="1">
        <v>8.5000000000000006E-2</v>
      </c>
      <c r="F2468" s="1">
        <v>0</v>
      </c>
      <c r="G2468" s="1">
        <v>0</v>
      </c>
      <c r="H2468" s="1">
        <v>1.3141157105800001</v>
      </c>
      <c r="I2468" s="1">
        <v>1.7390501689</v>
      </c>
      <c r="J2468" s="1">
        <v>0.67196931749</v>
      </c>
      <c r="K2468" s="1">
        <v>0</v>
      </c>
      <c r="L2468" s="1">
        <v>0</v>
      </c>
      <c r="M2468" s="1" t="s">
        <v>198</v>
      </c>
      <c r="N2468" s="1" t="b">
        <v>1</v>
      </c>
    </row>
    <row r="2469" spans="1:14" ht="19" customHeight="1" x14ac:dyDescent="0.3">
      <c r="A2469">
        <v>2464</v>
      </c>
      <c r="B2469" s="1">
        <v>10</v>
      </c>
      <c r="C2469" s="1">
        <v>0</v>
      </c>
      <c r="D2469" s="1">
        <v>0.04</v>
      </c>
      <c r="E2469" s="1">
        <v>8.5000000000000006E-2</v>
      </c>
      <c r="F2469" s="1">
        <v>0</v>
      </c>
      <c r="G2469" s="1">
        <v>1</v>
      </c>
      <c r="H2469" s="1">
        <v>1.3141157105800001</v>
      </c>
      <c r="I2469" s="1">
        <v>1.3042876266800001</v>
      </c>
      <c r="J2469" s="1">
        <v>0.55101484034199999</v>
      </c>
      <c r="K2469" s="1">
        <v>0</v>
      </c>
      <c r="L2469" s="1">
        <v>0</v>
      </c>
      <c r="M2469" s="1" t="s">
        <v>198</v>
      </c>
      <c r="N2469" s="1" t="b">
        <v>1</v>
      </c>
    </row>
    <row r="2470" spans="1:14" ht="19" customHeight="1" x14ac:dyDescent="0.3">
      <c r="A2470">
        <v>2465</v>
      </c>
      <c r="B2470" s="1">
        <v>10</v>
      </c>
      <c r="C2470" s="1">
        <v>0</v>
      </c>
      <c r="D2470" s="1">
        <v>0.04</v>
      </c>
      <c r="E2470" s="1">
        <v>8.5000000000000006E-2</v>
      </c>
      <c r="F2470" s="1">
        <v>5</v>
      </c>
      <c r="G2470" s="1">
        <v>0</v>
      </c>
      <c r="H2470" s="1">
        <v>1.2848782618300001</v>
      </c>
      <c r="I2470" s="1">
        <v>1.7003584541800001</v>
      </c>
      <c r="J2470" s="1">
        <v>0.67946931748999995</v>
      </c>
      <c r="K2470" s="1">
        <v>0</v>
      </c>
      <c r="L2470" s="1">
        <v>0</v>
      </c>
      <c r="M2470" s="1" t="s">
        <v>198</v>
      </c>
      <c r="N2470" s="1" t="b">
        <v>1</v>
      </c>
    </row>
    <row r="2471" spans="1:14" ht="19" customHeight="1" x14ac:dyDescent="0.3">
      <c r="A2471">
        <v>2466</v>
      </c>
      <c r="B2471" s="1">
        <v>10</v>
      </c>
      <c r="C2471" s="1">
        <v>0</v>
      </c>
      <c r="D2471" s="1">
        <v>0.04</v>
      </c>
      <c r="E2471" s="1">
        <v>8.5000000000000006E-2</v>
      </c>
      <c r="F2471" s="1">
        <v>5</v>
      </c>
      <c r="G2471" s="1">
        <v>1</v>
      </c>
      <c r="H2471" s="1">
        <v>1.2848782618300001</v>
      </c>
      <c r="I2471" s="1">
        <v>1.2752688406399999</v>
      </c>
      <c r="J2471" s="1">
        <v>0.55716484034199998</v>
      </c>
      <c r="K2471" s="1">
        <v>0</v>
      </c>
      <c r="L2471" s="1">
        <v>0</v>
      </c>
      <c r="M2471" s="1" t="s">
        <v>198</v>
      </c>
      <c r="N2471" s="1" t="b">
        <v>1</v>
      </c>
    </row>
    <row r="2472" spans="1:14" ht="19" customHeight="1" x14ac:dyDescent="0.3">
      <c r="A2472">
        <v>2467</v>
      </c>
      <c r="B2472" s="1">
        <v>10</v>
      </c>
      <c r="C2472" s="1">
        <v>0</v>
      </c>
      <c r="D2472" s="1">
        <v>5.5E-2</v>
      </c>
      <c r="E2472" s="1">
        <v>0.04</v>
      </c>
      <c r="F2472" s="1">
        <v>-5</v>
      </c>
      <c r="G2472" s="1">
        <v>0</v>
      </c>
      <c r="H2472" s="1">
        <v>1.2091136622100001</v>
      </c>
      <c r="I2472" s="1">
        <v>1.5867115547499999</v>
      </c>
      <c r="J2472" s="1">
        <v>0.672689062743</v>
      </c>
      <c r="K2472" s="1">
        <v>0</v>
      </c>
      <c r="L2472" s="1">
        <v>0</v>
      </c>
      <c r="M2472" s="1" t="s">
        <v>198</v>
      </c>
      <c r="N2472" s="1" t="b">
        <v>1</v>
      </c>
    </row>
    <row r="2473" spans="1:14" ht="19" customHeight="1" x14ac:dyDescent="0.3">
      <c r="A2473">
        <v>2468</v>
      </c>
      <c r="B2473" s="1">
        <v>10</v>
      </c>
      <c r="C2473" s="1">
        <v>0</v>
      </c>
      <c r="D2473" s="1">
        <v>5.5E-2</v>
      </c>
      <c r="E2473" s="1">
        <v>0.04</v>
      </c>
      <c r="F2473" s="1">
        <v>-5</v>
      </c>
      <c r="G2473" s="1">
        <v>1</v>
      </c>
      <c r="H2473" s="1">
        <v>1.2091136622100001</v>
      </c>
      <c r="I2473" s="1">
        <v>1.1900336660599999</v>
      </c>
      <c r="J2473" s="1">
        <v>0.55160503144999995</v>
      </c>
      <c r="K2473" s="1">
        <v>0</v>
      </c>
      <c r="L2473" s="1">
        <v>0</v>
      </c>
      <c r="M2473" s="1" t="s">
        <v>198</v>
      </c>
      <c r="N2473" s="1" t="b">
        <v>1</v>
      </c>
    </row>
    <row r="2474" spans="1:14" ht="19" customHeight="1" x14ac:dyDescent="0.3">
      <c r="A2474">
        <v>2469</v>
      </c>
      <c r="B2474" s="1">
        <v>10</v>
      </c>
      <c r="C2474" s="1">
        <v>0</v>
      </c>
      <c r="D2474" s="1">
        <v>5.5E-2</v>
      </c>
      <c r="E2474" s="1">
        <v>0.04</v>
      </c>
      <c r="F2474" s="1">
        <v>0</v>
      </c>
      <c r="G2474" s="1">
        <v>0</v>
      </c>
      <c r="H2474" s="1">
        <v>1.2366270849000001</v>
      </c>
      <c r="I2474" s="1">
        <v>1.6228172303799999</v>
      </c>
      <c r="J2474" s="1">
        <v>0.66518906274300005</v>
      </c>
      <c r="K2474" s="1">
        <v>0</v>
      </c>
      <c r="L2474" s="1">
        <v>0</v>
      </c>
      <c r="M2474" s="1" t="s">
        <v>198</v>
      </c>
      <c r="N2474" s="1" t="b">
        <v>1</v>
      </c>
    </row>
    <row r="2475" spans="1:14" ht="19" customHeight="1" x14ac:dyDescent="0.3">
      <c r="A2475">
        <v>2470</v>
      </c>
      <c r="B2475" s="1">
        <v>10</v>
      </c>
      <c r="C2475" s="1">
        <v>0</v>
      </c>
      <c r="D2475" s="1">
        <v>5.5E-2</v>
      </c>
      <c r="E2475" s="1">
        <v>0.04</v>
      </c>
      <c r="F2475" s="1">
        <v>0</v>
      </c>
      <c r="G2475" s="1">
        <v>1</v>
      </c>
      <c r="H2475" s="1">
        <v>1.2366270849000001</v>
      </c>
      <c r="I2475" s="1">
        <v>1.2171129227899999</v>
      </c>
      <c r="J2475" s="1">
        <v>0.54545503144999996</v>
      </c>
      <c r="K2475" s="1">
        <v>0</v>
      </c>
      <c r="L2475" s="1">
        <v>0</v>
      </c>
      <c r="M2475" s="1" t="s">
        <v>198</v>
      </c>
      <c r="N2475" s="1" t="b">
        <v>1</v>
      </c>
    </row>
    <row r="2476" spans="1:14" ht="19" customHeight="1" x14ac:dyDescent="0.3">
      <c r="A2476">
        <v>2471</v>
      </c>
      <c r="B2476" s="1">
        <v>10</v>
      </c>
      <c r="C2476" s="1">
        <v>0</v>
      </c>
      <c r="D2476" s="1">
        <v>5.5E-2</v>
      </c>
      <c r="E2476" s="1">
        <v>0.04</v>
      </c>
      <c r="F2476" s="1">
        <v>5</v>
      </c>
      <c r="G2476" s="1">
        <v>0</v>
      </c>
      <c r="H2476" s="1">
        <v>1.2091136622100001</v>
      </c>
      <c r="I2476" s="1">
        <v>1.5867115547499999</v>
      </c>
      <c r="J2476" s="1">
        <v>0.672689062743</v>
      </c>
      <c r="K2476" s="1">
        <v>0</v>
      </c>
      <c r="L2476" s="1">
        <v>0</v>
      </c>
      <c r="M2476" s="1" t="s">
        <v>198</v>
      </c>
      <c r="N2476" s="1" t="b">
        <v>1</v>
      </c>
    </row>
    <row r="2477" spans="1:14" ht="19" customHeight="1" x14ac:dyDescent="0.3">
      <c r="A2477">
        <v>2472</v>
      </c>
      <c r="B2477" s="1">
        <v>10</v>
      </c>
      <c r="C2477" s="1">
        <v>0</v>
      </c>
      <c r="D2477" s="1">
        <v>5.5E-2</v>
      </c>
      <c r="E2477" s="1">
        <v>0.04</v>
      </c>
      <c r="F2477" s="1">
        <v>5</v>
      </c>
      <c r="G2477" s="1">
        <v>1</v>
      </c>
      <c r="H2477" s="1">
        <v>1.2091136622100001</v>
      </c>
      <c r="I2477" s="1">
        <v>1.1900336660599999</v>
      </c>
      <c r="J2477" s="1">
        <v>0.55160503144999995</v>
      </c>
      <c r="K2477" s="1">
        <v>0</v>
      </c>
      <c r="L2477" s="1">
        <v>0</v>
      </c>
      <c r="M2477" s="1" t="s">
        <v>198</v>
      </c>
      <c r="N2477" s="1" t="b">
        <v>1</v>
      </c>
    </row>
    <row r="2478" spans="1:14" ht="19" customHeight="1" x14ac:dyDescent="0.3">
      <c r="A2478">
        <v>2473</v>
      </c>
      <c r="B2478" s="1">
        <v>10</v>
      </c>
      <c r="C2478" s="1">
        <v>0</v>
      </c>
      <c r="D2478" s="1">
        <v>5.5E-2</v>
      </c>
      <c r="E2478" s="1">
        <v>0.06</v>
      </c>
      <c r="F2478" s="1">
        <v>-5</v>
      </c>
      <c r="G2478" s="1">
        <v>0</v>
      </c>
      <c r="H2478" s="1">
        <v>1.2367432619200001</v>
      </c>
      <c r="I2478" s="1">
        <v>1.6281559543099999</v>
      </c>
      <c r="J2478" s="1">
        <v>0.67516166505999997</v>
      </c>
      <c r="K2478" s="1">
        <v>0</v>
      </c>
      <c r="L2478" s="1">
        <v>0</v>
      </c>
      <c r="M2478" s="1" t="s">
        <v>198</v>
      </c>
      <c r="N2478" s="1" t="b">
        <v>1</v>
      </c>
    </row>
    <row r="2479" spans="1:14" ht="19" customHeight="1" x14ac:dyDescent="0.3">
      <c r="A2479">
        <v>2474</v>
      </c>
      <c r="B2479" s="1">
        <v>10</v>
      </c>
      <c r="C2479" s="1">
        <v>0</v>
      </c>
      <c r="D2479" s="1">
        <v>5.5E-2</v>
      </c>
      <c r="E2479" s="1">
        <v>0.06</v>
      </c>
      <c r="F2479" s="1">
        <v>-5</v>
      </c>
      <c r="G2479" s="1">
        <v>1</v>
      </c>
      <c r="H2479" s="1">
        <v>1.2367432619200001</v>
      </c>
      <c r="I2479" s="1">
        <v>1.2211169657300001</v>
      </c>
      <c r="J2479" s="1">
        <v>0.55363256534899996</v>
      </c>
      <c r="K2479" s="1">
        <v>0</v>
      </c>
      <c r="L2479" s="1">
        <v>0</v>
      </c>
      <c r="M2479" s="1" t="s">
        <v>198</v>
      </c>
      <c r="N2479" s="1" t="b">
        <v>1</v>
      </c>
    </row>
    <row r="2480" spans="1:14" ht="19" customHeight="1" x14ac:dyDescent="0.3">
      <c r="A2480">
        <v>2475</v>
      </c>
      <c r="B2480" s="1">
        <v>10</v>
      </c>
      <c r="C2480" s="1">
        <v>0</v>
      </c>
      <c r="D2480" s="1">
        <v>5.5E-2</v>
      </c>
      <c r="E2480" s="1">
        <v>0.06</v>
      </c>
      <c r="F2480" s="1">
        <v>0</v>
      </c>
      <c r="G2480" s="1">
        <v>0</v>
      </c>
      <c r="H2480" s="1">
        <v>1.26488539709</v>
      </c>
      <c r="I2480" s="1">
        <v>1.66520469867</v>
      </c>
      <c r="J2480" s="1">
        <v>0.66766166506000002</v>
      </c>
      <c r="K2480" s="1">
        <v>0</v>
      </c>
      <c r="L2480" s="1">
        <v>0</v>
      </c>
      <c r="M2480" s="1" t="s">
        <v>198</v>
      </c>
      <c r="N2480" s="1" t="b">
        <v>1</v>
      </c>
    </row>
    <row r="2481" spans="1:14" ht="19" customHeight="1" x14ac:dyDescent="0.3">
      <c r="A2481">
        <v>2476</v>
      </c>
      <c r="B2481" s="1">
        <v>10</v>
      </c>
      <c r="C2481" s="1">
        <v>0</v>
      </c>
      <c r="D2481" s="1">
        <v>5.5E-2</v>
      </c>
      <c r="E2481" s="1">
        <v>0.06</v>
      </c>
      <c r="F2481" s="1">
        <v>0</v>
      </c>
      <c r="G2481" s="1">
        <v>1</v>
      </c>
      <c r="H2481" s="1">
        <v>1.26488539709</v>
      </c>
      <c r="I2481" s="1">
        <v>1.2489035239999999</v>
      </c>
      <c r="J2481" s="1">
        <v>0.54748256534899997</v>
      </c>
      <c r="K2481" s="1">
        <v>0</v>
      </c>
      <c r="L2481" s="1">
        <v>0</v>
      </c>
      <c r="M2481" s="1" t="s">
        <v>198</v>
      </c>
      <c r="N2481" s="1" t="b">
        <v>1</v>
      </c>
    </row>
    <row r="2482" spans="1:14" ht="19" customHeight="1" x14ac:dyDescent="0.3">
      <c r="A2482">
        <v>2477</v>
      </c>
      <c r="B2482" s="1">
        <v>10</v>
      </c>
      <c r="C2482" s="1">
        <v>0</v>
      </c>
      <c r="D2482" s="1">
        <v>5.5E-2</v>
      </c>
      <c r="E2482" s="1">
        <v>0.06</v>
      </c>
      <c r="F2482" s="1">
        <v>5</v>
      </c>
      <c r="G2482" s="1">
        <v>0</v>
      </c>
      <c r="H2482" s="1">
        <v>1.2367432619200001</v>
      </c>
      <c r="I2482" s="1">
        <v>1.6281559543099999</v>
      </c>
      <c r="J2482" s="1">
        <v>0.67516166505999997</v>
      </c>
      <c r="K2482" s="1">
        <v>0</v>
      </c>
      <c r="L2482" s="1">
        <v>0</v>
      </c>
      <c r="M2482" s="1" t="s">
        <v>198</v>
      </c>
      <c r="N2482" s="1" t="b">
        <v>1</v>
      </c>
    </row>
    <row r="2483" spans="1:14" ht="19" customHeight="1" x14ac:dyDescent="0.3">
      <c r="A2483">
        <v>2478</v>
      </c>
      <c r="B2483" s="1">
        <v>10</v>
      </c>
      <c r="C2483" s="1">
        <v>0</v>
      </c>
      <c r="D2483" s="1">
        <v>5.5E-2</v>
      </c>
      <c r="E2483" s="1">
        <v>0.06</v>
      </c>
      <c r="F2483" s="1">
        <v>5</v>
      </c>
      <c r="G2483" s="1">
        <v>1</v>
      </c>
      <c r="H2483" s="1">
        <v>1.2367432619200001</v>
      </c>
      <c r="I2483" s="1">
        <v>1.2211169657300001</v>
      </c>
      <c r="J2483" s="1">
        <v>0.55363256534899996</v>
      </c>
      <c r="K2483" s="1">
        <v>0</v>
      </c>
      <c r="L2483" s="1">
        <v>0</v>
      </c>
      <c r="M2483" s="1" t="s">
        <v>198</v>
      </c>
      <c r="N2483" s="1" t="b">
        <v>1</v>
      </c>
    </row>
    <row r="2484" spans="1:14" ht="19" customHeight="1" x14ac:dyDescent="0.3">
      <c r="A2484">
        <v>2479</v>
      </c>
      <c r="B2484" s="1">
        <v>10</v>
      </c>
      <c r="C2484" s="1">
        <v>0</v>
      </c>
      <c r="D2484" s="1">
        <v>5.5E-2</v>
      </c>
      <c r="E2484" s="1">
        <v>8.5000000000000006E-2</v>
      </c>
      <c r="F2484" s="1">
        <v>-5</v>
      </c>
      <c r="G2484" s="1">
        <v>0</v>
      </c>
      <c r="H2484" s="1">
        <v>1.1661087163999999</v>
      </c>
      <c r="I2484" s="1">
        <v>1.52220413604</v>
      </c>
      <c r="J2484" s="1">
        <v>0.66884050432200004</v>
      </c>
      <c r="K2484" s="1">
        <v>0</v>
      </c>
      <c r="L2484" s="1">
        <v>0</v>
      </c>
      <c r="M2484" s="1" t="s">
        <v>198</v>
      </c>
      <c r="N2484" s="1" t="b">
        <v>1</v>
      </c>
    </row>
    <row r="2485" spans="1:14" ht="19" customHeight="1" x14ac:dyDescent="0.3">
      <c r="A2485">
        <v>2480</v>
      </c>
      <c r="B2485" s="1">
        <v>10</v>
      </c>
      <c r="C2485" s="1">
        <v>0</v>
      </c>
      <c r="D2485" s="1">
        <v>5.5E-2</v>
      </c>
      <c r="E2485" s="1">
        <v>8.5000000000000006E-2</v>
      </c>
      <c r="F2485" s="1">
        <v>-5</v>
      </c>
      <c r="G2485" s="1">
        <v>1</v>
      </c>
      <c r="H2485" s="1">
        <v>1.1661087163999999</v>
      </c>
      <c r="I2485" s="1">
        <v>1.14165310203</v>
      </c>
      <c r="J2485" s="1">
        <v>0.548449213544</v>
      </c>
      <c r="K2485" s="1">
        <v>0</v>
      </c>
      <c r="L2485" s="1">
        <v>0</v>
      </c>
      <c r="M2485" s="1" t="s">
        <v>198</v>
      </c>
      <c r="N2485" s="1" t="b">
        <v>1</v>
      </c>
    </row>
    <row r="2486" spans="1:14" ht="19" customHeight="1" x14ac:dyDescent="0.3">
      <c r="A2486">
        <v>2481</v>
      </c>
      <c r="B2486" s="1">
        <v>10</v>
      </c>
      <c r="C2486" s="1">
        <v>0</v>
      </c>
      <c r="D2486" s="1">
        <v>5.5E-2</v>
      </c>
      <c r="E2486" s="1">
        <v>8.5000000000000006E-2</v>
      </c>
      <c r="F2486" s="1">
        <v>0</v>
      </c>
      <c r="G2486" s="1">
        <v>0</v>
      </c>
      <c r="H2486" s="1">
        <v>1.1926435600800001</v>
      </c>
      <c r="I2486" s="1">
        <v>1.55684194316</v>
      </c>
      <c r="J2486" s="1">
        <v>0.66134050432199998</v>
      </c>
      <c r="K2486" s="1">
        <v>0</v>
      </c>
      <c r="L2486" s="1">
        <v>0</v>
      </c>
      <c r="M2486" s="1" t="s">
        <v>198</v>
      </c>
      <c r="N2486" s="1" t="b">
        <v>1</v>
      </c>
    </row>
    <row r="2487" spans="1:14" ht="19" customHeight="1" x14ac:dyDescent="0.3">
      <c r="A2487">
        <v>2482</v>
      </c>
      <c r="B2487" s="1">
        <v>10</v>
      </c>
      <c r="C2487" s="1">
        <v>0</v>
      </c>
      <c r="D2487" s="1">
        <v>5.5E-2</v>
      </c>
      <c r="E2487" s="1">
        <v>8.5000000000000006E-2</v>
      </c>
      <c r="F2487" s="1">
        <v>0</v>
      </c>
      <c r="G2487" s="1">
        <v>1</v>
      </c>
      <c r="H2487" s="1">
        <v>1.1926435600800001</v>
      </c>
      <c r="I2487" s="1">
        <v>1.16763145737</v>
      </c>
      <c r="J2487" s="1">
        <v>0.54229921354400001</v>
      </c>
      <c r="K2487" s="1">
        <v>0</v>
      </c>
      <c r="L2487" s="1">
        <v>0</v>
      </c>
      <c r="M2487" s="1" t="s">
        <v>198</v>
      </c>
      <c r="N2487" s="1" t="b">
        <v>1</v>
      </c>
    </row>
    <row r="2488" spans="1:14" ht="19" customHeight="1" x14ac:dyDescent="0.3">
      <c r="A2488">
        <v>2483</v>
      </c>
      <c r="B2488" s="1">
        <v>10</v>
      </c>
      <c r="C2488" s="1">
        <v>0</v>
      </c>
      <c r="D2488" s="1">
        <v>5.5E-2</v>
      </c>
      <c r="E2488" s="1">
        <v>8.5000000000000006E-2</v>
      </c>
      <c r="F2488" s="1">
        <v>5</v>
      </c>
      <c r="G2488" s="1">
        <v>0</v>
      </c>
      <c r="H2488" s="1">
        <v>1.1661087163999999</v>
      </c>
      <c r="I2488" s="1">
        <v>1.52220413604</v>
      </c>
      <c r="J2488" s="1">
        <v>0.66884050432200004</v>
      </c>
      <c r="K2488" s="1">
        <v>0</v>
      </c>
      <c r="L2488" s="1">
        <v>0</v>
      </c>
      <c r="M2488" s="1" t="s">
        <v>198</v>
      </c>
      <c r="N2488" s="1" t="b">
        <v>1</v>
      </c>
    </row>
    <row r="2489" spans="1:14" ht="19" customHeight="1" x14ac:dyDescent="0.3">
      <c r="A2489">
        <v>2484</v>
      </c>
      <c r="B2489" s="1">
        <v>10</v>
      </c>
      <c r="C2489" s="1">
        <v>0</v>
      </c>
      <c r="D2489" s="1">
        <v>5.5E-2</v>
      </c>
      <c r="E2489" s="1">
        <v>8.5000000000000006E-2</v>
      </c>
      <c r="F2489" s="1">
        <v>5</v>
      </c>
      <c r="G2489" s="1">
        <v>1</v>
      </c>
      <c r="H2489" s="1">
        <v>1.1661087163999999</v>
      </c>
      <c r="I2489" s="1">
        <v>1.14165310203</v>
      </c>
      <c r="J2489" s="1">
        <v>0.548449213544</v>
      </c>
      <c r="K2489" s="1">
        <v>0</v>
      </c>
      <c r="L2489" s="1">
        <v>0</v>
      </c>
      <c r="M2489" s="1" t="s">
        <v>198</v>
      </c>
      <c r="N2489" s="1" t="b">
        <v>1</v>
      </c>
    </row>
    <row r="2490" spans="1:14" ht="19" customHeight="1" x14ac:dyDescent="0.3">
      <c r="A2490">
        <v>2485</v>
      </c>
      <c r="B2490" s="1">
        <v>10</v>
      </c>
      <c r="C2490" s="1">
        <v>30</v>
      </c>
      <c r="D2490" s="1">
        <v>2.5000000000000001E-2</v>
      </c>
      <c r="E2490" s="1">
        <v>0.04</v>
      </c>
      <c r="F2490" s="1">
        <v>-5</v>
      </c>
      <c r="G2490" s="1">
        <v>0</v>
      </c>
      <c r="H2490" s="1">
        <v>1.34300995082</v>
      </c>
      <c r="I2490" s="1">
        <v>1.78755598766</v>
      </c>
      <c r="J2490" s="1">
        <v>0.68467158427599994</v>
      </c>
      <c r="K2490" s="1">
        <v>2588.5867103800001</v>
      </c>
      <c r="L2490" s="1">
        <v>566.13781624800004</v>
      </c>
      <c r="M2490" s="1" t="s">
        <v>198</v>
      </c>
      <c r="N2490" s="1" t="b">
        <v>1</v>
      </c>
    </row>
    <row r="2491" spans="1:14" ht="19" customHeight="1" x14ac:dyDescent="0.3">
      <c r="A2491">
        <v>2486</v>
      </c>
      <c r="B2491" s="1">
        <v>10</v>
      </c>
      <c r="C2491" s="1">
        <v>30</v>
      </c>
      <c r="D2491" s="1">
        <v>2.5000000000000001E-2</v>
      </c>
      <c r="E2491" s="1">
        <v>0.04</v>
      </c>
      <c r="F2491" s="1">
        <v>-5</v>
      </c>
      <c r="G2491" s="1">
        <v>1</v>
      </c>
      <c r="H2491" s="1">
        <v>1.34300995082</v>
      </c>
      <c r="I2491" s="1">
        <v>1.34066699075</v>
      </c>
      <c r="J2491" s="1">
        <v>0.56143069910700005</v>
      </c>
      <c r="K2491" s="1">
        <v>2219.06537106</v>
      </c>
      <c r="L2491" s="1">
        <v>464.23300932400002</v>
      </c>
      <c r="M2491" s="1" t="s">
        <v>198</v>
      </c>
      <c r="N2491" s="1" t="b">
        <v>1</v>
      </c>
    </row>
    <row r="2492" spans="1:14" ht="19" customHeight="1" x14ac:dyDescent="0.3">
      <c r="A2492">
        <v>2487</v>
      </c>
      <c r="B2492" s="1">
        <v>10</v>
      </c>
      <c r="C2492" s="1">
        <v>30</v>
      </c>
      <c r="D2492" s="1">
        <v>2.5000000000000001E-2</v>
      </c>
      <c r="E2492" s="1">
        <v>0.04</v>
      </c>
      <c r="F2492" s="1">
        <v>0</v>
      </c>
      <c r="G2492" s="1">
        <v>0</v>
      </c>
      <c r="H2492" s="1">
        <v>1.37357018813</v>
      </c>
      <c r="I2492" s="1">
        <v>1.8282318852299999</v>
      </c>
      <c r="J2492" s="1">
        <v>0.67717158427599999</v>
      </c>
      <c r="K2492" s="1">
        <v>2647.4900894100001</v>
      </c>
      <c r="L2492" s="1">
        <v>559.93625374800001</v>
      </c>
      <c r="M2492" s="1" t="s">
        <v>198</v>
      </c>
      <c r="N2492" s="1" t="b">
        <v>1</v>
      </c>
    </row>
    <row r="2493" spans="1:14" ht="19" customHeight="1" x14ac:dyDescent="0.3">
      <c r="A2493">
        <v>2488</v>
      </c>
      <c r="B2493" s="1">
        <v>10</v>
      </c>
      <c r="C2493" s="1">
        <v>30</v>
      </c>
      <c r="D2493" s="1">
        <v>2.5000000000000001E-2</v>
      </c>
      <c r="E2493" s="1">
        <v>0.04</v>
      </c>
      <c r="F2493" s="1">
        <v>0</v>
      </c>
      <c r="G2493" s="1">
        <v>1</v>
      </c>
      <c r="H2493" s="1">
        <v>1.37357018813</v>
      </c>
      <c r="I2493" s="1">
        <v>1.3711739139200001</v>
      </c>
      <c r="J2493" s="1">
        <v>0.55528069910699995</v>
      </c>
      <c r="K2493" s="1">
        <v>2269.5602793899998</v>
      </c>
      <c r="L2493" s="1">
        <v>459.14772807399999</v>
      </c>
      <c r="M2493" s="1" t="s">
        <v>198</v>
      </c>
      <c r="N2493" s="1" t="b">
        <v>1</v>
      </c>
    </row>
    <row r="2494" spans="1:14" ht="19" customHeight="1" x14ac:dyDescent="0.3">
      <c r="A2494">
        <v>2489</v>
      </c>
      <c r="B2494" s="1">
        <v>10</v>
      </c>
      <c r="C2494" s="1">
        <v>30</v>
      </c>
      <c r="D2494" s="1">
        <v>2.5000000000000001E-2</v>
      </c>
      <c r="E2494" s="1">
        <v>0.04</v>
      </c>
      <c r="F2494" s="1">
        <v>5</v>
      </c>
      <c r="G2494" s="1">
        <v>0</v>
      </c>
      <c r="H2494" s="1">
        <v>1.34300995082</v>
      </c>
      <c r="I2494" s="1">
        <v>1.78755598766</v>
      </c>
      <c r="J2494" s="1">
        <v>0.68467158427599994</v>
      </c>
      <c r="K2494" s="1">
        <v>2588.5867103800001</v>
      </c>
      <c r="L2494" s="1">
        <v>566.13781624800004</v>
      </c>
      <c r="M2494" s="1" t="s">
        <v>198</v>
      </c>
      <c r="N2494" s="1" t="b">
        <v>1</v>
      </c>
    </row>
    <row r="2495" spans="1:14" ht="19" customHeight="1" x14ac:dyDescent="0.3">
      <c r="A2495">
        <v>2490</v>
      </c>
      <c r="B2495" s="1">
        <v>10</v>
      </c>
      <c r="C2495" s="1">
        <v>30</v>
      </c>
      <c r="D2495" s="1">
        <v>2.5000000000000001E-2</v>
      </c>
      <c r="E2495" s="1">
        <v>0.04</v>
      </c>
      <c r="F2495" s="1">
        <v>5</v>
      </c>
      <c r="G2495" s="1">
        <v>1</v>
      </c>
      <c r="H2495" s="1">
        <v>1.34300995082</v>
      </c>
      <c r="I2495" s="1">
        <v>1.34066699075</v>
      </c>
      <c r="J2495" s="1">
        <v>0.56143069910700005</v>
      </c>
      <c r="K2495" s="1">
        <v>2219.06537106</v>
      </c>
      <c r="L2495" s="1">
        <v>464.23300932400002</v>
      </c>
      <c r="M2495" s="1" t="s">
        <v>198</v>
      </c>
      <c r="N2495" s="1" t="b">
        <v>1</v>
      </c>
    </row>
    <row r="2496" spans="1:14" ht="19" customHeight="1" x14ac:dyDescent="0.3">
      <c r="A2496">
        <v>2491</v>
      </c>
      <c r="B2496" s="1">
        <v>10</v>
      </c>
      <c r="C2496" s="1">
        <v>30</v>
      </c>
      <c r="D2496" s="1">
        <v>2.5000000000000001E-2</v>
      </c>
      <c r="E2496" s="1">
        <v>0.06</v>
      </c>
      <c r="F2496" s="1">
        <v>-5</v>
      </c>
      <c r="G2496" s="1">
        <v>0</v>
      </c>
      <c r="H2496" s="1">
        <v>1.3836249644600001</v>
      </c>
      <c r="I2496" s="1">
        <v>1.8484785081099999</v>
      </c>
      <c r="J2496" s="1">
        <v>0.68830626512100002</v>
      </c>
      <c r="K2496" s="1">
        <v>2672.54555888</v>
      </c>
      <c r="L2496" s="1">
        <v>569.14324297200005</v>
      </c>
      <c r="M2496" s="1" t="s">
        <v>198</v>
      </c>
      <c r="N2496" s="1" t="b">
        <v>1</v>
      </c>
    </row>
    <row r="2497" spans="1:14" ht="19" customHeight="1" x14ac:dyDescent="0.3">
      <c r="A2497">
        <v>2492</v>
      </c>
      <c r="B2497" s="1">
        <v>10</v>
      </c>
      <c r="C2497" s="1">
        <v>30</v>
      </c>
      <c r="D2497" s="1">
        <v>2.5000000000000001E-2</v>
      </c>
      <c r="E2497" s="1">
        <v>0.06</v>
      </c>
      <c r="F2497" s="1">
        <v>-5</v>
      </c>
      <c r="G2497" s="1">
        <v>1</v>
      </c>
      <c r="H2497" s="1">
        <v>1.3836249644600001</v>
      </c>
      <c r="I2497" s="1">
        <v>1.3863588810900001</v>
      </c>
      <c r="J2497" s="1">
        <v>0.56441113740000004</v>
      </c>
      <c r="K2497" s="1">
        <v>2290.43039228</v>
      </c>
      <c r="L2497" s="1">
        <v>466.69745923699998</v>
      </c>
      <c r="M2497" s="1" t="s">
        <v>198</v>
      </c>
      <c r="N2497" s="1" t="b">
        <v>1</v>
      </c>
    </row>
    <row r="2498" spans="1:14" ht="19" customHeight="1" x14ac:dyDescent="0.3">
      <c r="A2498">
        <v>2493</v>
      </c>
      <c r="B2498" s="1">
        <v>10</v>
      </c>
      <c r="C2498" s="1">
        <v>30</v>
      </c>
      <c r="D2498" s="1">
        <v>2.5000000000000001E-2</v>
      </c>
      <c r="E2498" s="1">
        <v>0.06</v>
      </c>
      <c r="F2498" s="1">
        <v>0</v>
      </c>
      <c r="G2498" s="1">
        <v>0</v>
      </c>
      <c r="H2498" s="1">
        <v>1.41510939779</v>
      </c>
      <c r="I2498" s="1">
        <v>1.8905406997200001</v>
      </c>
      <c r="J2498" s="1">
        <v>0.68080626512099995</v>
      </c>
      <c r="K2498" s="1">
        <v>2733.3594243799998</v>
      </c>
      <c r="L2498" s="1">
        <v>562.94168047200003</v>
      </c>
      <c r="M2498" s="1" t="s">
        <v>198</v>
      </c>
      <c r="N2498" s="1" t="b">
        <v>1</v>
      </c>
    </row>
    <row r="2499" spans="1:14" ht="19" customHeight="1" x14ac:dyDescent="0.3">
      <c r="A2499">
        <v>2494</v>
      </c>
      <c r="B2499" s="1">
        <v>10</v>
      </c>
      <c r="C2499" s="1">
        <v>30</v>
      </c>
      <c r="D2499" s="1">
        <v>2.5000000000000001E-2</v>
      </c>
      <c r="E2499" s="1">
        <v>0.06</v>
      </c>
      <c r="F2499" s="1">
        <v>0</v>
      </c>
      <c r="G2499" s="1">
        <v>1</v>
      </c>
      <c r="H2499" s="1">
        <v>1.41510939779</v>
      </c>
      <c r="I2499" s="1">
        <v>1.4179055247900001</v>
      </c>
      <c r="J2499" s="1">
        <v>0.55826113740000005</v>
      </c>
      <c r="K2499" s="1">
        <v>2342.5492141099999</v>
      </c>
      <c r="L2499" s="1">
        <v>461.612177987</v>
      </c>
      <c r="M2499" s="1" t="s">
        <v>198</v>
      </c>
      <c r="N2499" s="1" t="b">
        <v>1</v>
      </c>
    </row>
    <row r="2500" spans="1:14" ht="19" customHeight="1" x14ac:dyDescent="0.3">
      <c r="A2500">
        <v>2495</v>
      </c>
      <c r="B2500" s="1">
        <v>10</v>
      </c>
      <c r="C2500" s="1">
        <v>30</v>
      </c>
      <c r="D2500" s="1">
        <v>2.5000000000000001E-2</v>
      </c>
      <c r="E2500" s="1">
        <v>0.06</v>
      </c>
      <c r="F2500" s="1">
        <v>5</v>
      </c>
      <c r="G2500" s="1">
        <v>0</v>
      </c>
      <c r="H2500" s="1">
        <v>1.3836249644600001</v>
      </c>
      <c r="I2500" s="1">
        <v>1.8484785081099999</v>
      </c>
      <c r="J2500" s="1">
        <v>0.68830626512100002</v>
      </c>
      <c r="K2500" s="1">
        <v>2672.54555888</v>
      </c>
      <c r="L2500" s="1">
        <v>569.14324297200005</v>
      </c>
      <c r="M2500" s="1" t="s">
        <v>198</v>
      </c>
      <c r="N2500" s="1" t="b">
        <v>1</v>
      </c>
    </row>
    <row r="2501" spans="1:14" ht="19" customHeight="1" x14ac:dyDescent="0.3">
      <c r="A2501">
        <v>2496</v>
      </c>
      <c r="B2501" s="1">
        <v>10</v>
      </c>
      <c r="C2501" s="1">
        <v>30</v>
      </c>
      <c r="D2501" s="1">
        <v>2.5000000000000001E-2</v>
      </c>
      <c r="E2501" s="1">
        <v>0.06</v>
      </c>
      <c r="F2501" s="1">
        <v>5</v>
      </c>
      <c r="G2501" s="1">
        <v>1</v>
      </c>
      <c r="H2501" s="1">
        <v>1.3836249644600001</v>
      </c>
      <c r="I2501" s="1">
        <v>1.3863588810900001</v>
      </c>
      <c r="J2501" s="1">
        <v>0.56441113740000004</v>
      </c>
      <c r="K2501" s="1">
        <v>2290.43039228</v>
      </c>
      <c r="L2501" s="1">
        <v>466.69745923699998</v>
      </c>
      <c r="M2501" s="1" t="s">
        <v>198</v>
      </c>
      <c r="N2501" s="1" t="b">
        <v>1</v>
      </c>
    </row>
    <row r="2502" spans="1:14" ht="19" customHeight="1" x14ac:dyDescent="0.3">
      <c r="A2502">
        <v>2497</v>
      </c>
      <c r="B2502" s="1">
        <v>10</v>
      </c>
      <c r="C2502" s="1">
        <v>30</v>
      </c>
      <c r="D2502" s="1">
        <v>2.5000000000000001E-2</v>
      </c>
      <c r="E2502" s="1">
        <v>8.5000000000000006E-2</v>
      </c>
      <c r="F2502" s="1">
        <v>-5</v>
      </c>
      <c r="G2502" s="1">
        <v>0</v>
      </c>
      <c r="H2502" s="1">
        <v>1.2797934555099999</v>
      </c>
      <c r="I2502" s="1">
        <v>1.6927312447</v>
      </c>
      <c r="J2502" s="1">
        <v>0.67901427275500004</v>
      </c>
      <c r="K2502" s="1">
        <v>2457.9063614900001</v>
      </c>
      <c r="L2502" s="1">
        <v>561.459926784</v>
      </c>
      <c r="M2502" s="1" t="s">
        <v>198</v>
      </c>
      <c r="N2502" s="1" t="b">
        <v>1</v>
      </c>
    </row>
    <row r="2503" spans="1:14" ht="19" customHeight="1" x14ac:dyDescent="0.3">
      <c r="A2503">
        <v>2498</v>
      </c>
      <c r="B2503" s="1">
        <v>10</v>
      </c>
      <c r="C2503" s="1">
        <v>30</v>
      </c>
      <c r="D2503" s="1">
        <v>2.5000000000000001E-2</v>
      </c>
      <c r="E2503" s="1">
        <v>8.5000000000000006E-2</v>
      </c>
      <c r="F2503" s="1">
        <v>-5</v>
      </c>
      <c r="G2503" s="1">
        <v>1</v>
      </c>
      <c r="H2503" s="1">
        <v>1.2797934555099999</v>
      </c>
      <c r="I2503" s="1">
        <v>1.26954843352</v>
      </c>
      <c r="J2503" s="1">
        <v>0.55679170365899999</v>
      </c>
      <c r="K2503" s="1">
        <v>2107.9870744999998</v>
      </c>
      <c r="L2503" s="1">
        <v>460.39713996299997</v>
      </c>
      <c r="M2503" s="1" t="s">
        <v>198</v>
      </c>
      <c r="N2503" s="1" t="b">
        <v>1</v>
      </c>
    </row>
    <row r="2504" spans="1:14" ht="19" customHeight="1" x14ac:dyDescent="0.3">
      <c r="A2504">
        <v>2499</v>
      </c>
      <c r="B2504" s="1">
        <v>10</v>
      </c>
      <c r="C2504" s="1">
        <v>30</v>
      </c>
      <c r="D2504" s="1">
        <v>2.5000000000000001E-2</v>
      </c>
      <c r="E2504" s="1">
        <v>8.5000000000000006E-2</v>
      </c>
      <c r="F2504" s="1">
        <v>0</v>
      </c>
      <c r="G2504" s="1">
        <v>0</v>
      </c>
      <c r="H2504" s="1">
        <v>1.3089151993100001</v>
      </c>
      <c r="I2504" s="1">
        <v>1.731249402</v>
      </c>
      <c r="J2504" s="1">
        <v>0.67151427275499997</v>
      </c>
      <c r="K2504" s="1">
        <v>2513.8361047100002</v>
      </c>
      <c r="L2504" s="1">
        <v>555.25836428399998</v>
      </c>
      <c r="M2504" s="1" t="s">
        <v>198</v>
      </c>
      <c r="N2504" s="1" t="b">
        <v>1</v>
      </c>
    </row>
    <row r="2505" spans="1:14" ht="19" customHeight="1" x14ac:dyDescent="0.3">
      <c r="A2505">
        <v>2500</v>
      </c>
      <c r="B2505" s="1">
        <v>10</v>
      </c>
      <c r="C2505" s="1">
        <v>30</v>
      </c>
      <c r="D2505" s="1">
        <v>2.5000000000000001E-2</v>
      </c>
      <c r="E2505" s="1">
        <v>8.5000000000000006E-2</v>
      </c>
      <c r="F2505" s="1">
        <v>0</v>
      </c>
      <c r="G2505" s="1">
        <v>1</v>
      </c>
      <c r="H2505" s="1">
        <v>1.3089151993100001</v>
      </c>
      <c r="I2505" s="1">
        <v>1.2984370515000001</v>
      </c>
      <c r="J2505" s="1">
        <v>0.550641703659</v>
      </c>
      <c r="K2505" s="1">
        <v>2155.9543923900001</v>
      </c>
      <c r="L2505" s="1">
        <v>455.31185871299999</v>
      </c>
      <c r="M2505" s="1" t="s">
        <v>198</v>
      </c>
      <c r="N2505" s="1" t="b">
        <v>1</v>
      </c>
    </row>
    <row r="2506" spans="1:14" ht="19" customHeight="1" x14ac:dyDescent="0.3">
      <c r="A2506">
        <v>2501</v>
      </c>
      <c r="B2506" s="1">
        <v>10</v>
      </c>
      <c r="C2506" s="1">
        <v>30</v>
      </c>
      <c r="D2506" s="1">
        <v>2.5000000000000001E-2</v>
      </c>
      <c r="E2506" s="1">
        <v>8.5000000000000006E-2</v>
      </c>
      <c r="F2506" s="1">
        <v>5</v>
      </c>
      <c r="G2506" s="1">
        <v>0</v>
      </c>
      <c r="H2506" s="1">
        <v>1.2797934555099999</v>
      </c>
      <c r="I2506" s="1">
        <v>1.6927312447</v>
      </c>
      <c r="J2506" s="1">
        <v>0.67901427275500004</v>
      </c>
      <c r="K2506" s="1">
        <v>2457.9063614900001</v>
      </c>
      <c r="L2506" s="1">
        <v>561.459926784</v>
      </c>
      <c r="M2506" s="1" t="s">
        <v>198</v>
      </c>
      <c r="N2506" s="1" t="b">
        <v>1</v>
      </c>
    </row>
    <row r="2507" spans="1:14" ht="19" customHeight="1" x14ac:dyDescent="0.3">
      <c r="A2507">
        <v>2502</v>
      </c>
      <c r="B2507" s="1">
        <v>10</v>
      </c>
      <c r="C2507" s="1">
        <v>30</v>
      </c>
      <c r="D2507" s="1">
        <v>2.5000000000000001E-2</v>
      </c>
      <c r="E2507" s="1">
        <v>8.5000000000000006E-2</v>
      </c>
      <c r="F2507" s="1">
        <v>5</v>
      </c>
      <c r="G2507" s="1">
        <v>1</v>
      </c>
      <c r="H2507" s="1">
        <v>1.2797934555099999</v>
      </c>
      <c r="I2507" s="1">
        <v>1.26954843352</v>
      </c>
      <c r="J2507" s="1">
        <v>0.55679170365899999</v>
      </c>
      <c r="K2507" s="1">
        <v>2107.9870744999998</v>
      </c>
      <c r="L2507" s="1">
        <v>460.39713996299997</v>
      </c>
      <c r="M2507" s="1" t="s">
        <v>198</v>
      </c>
      <c r="N2507" s="1" t="b">
        <v>1</v>
      </c>
    </row>
    <row r="2508" spans="1:14" ht="19" customHeight="1" x14ac:dyDescent="0.3">
      <c r="A2508">
        <v>2503</v>
      </c>
      <c r="B2508" s="1">
        <v>10</v>
      </c>
      <c r="C2508" s="1">
        <v>30</v>
      </c>
      <c r="D2508" s="1">
        <v>0.04</v>
      </c>
      <c r="E2508" s="1">
        <v>0.04</v>
      </c>
      <c r="F2508" s="1">
        <v>-5</v>
      </c>
      <c r="G2508" s="1">
        <v>0</v>
      </c>
      <c r="H2508" s="1">
        <v>1.3489987642700001</v>
      </c>
      <c r="I2508" s="1">
        <v>1.79653920784</v>
      </c>
      <c r="J2508" s="1">
        <v>0.68520752957300002</v>
      </c>
      <c r="K2508" s="1">
        <v>2600.9667106900001</v>
      </c>
      <c r="L2508" s="1">
        <v>566.58097601600002</v>
      </c>
      <c r="M2508" s="1" t="s">
        <v>198</v>
      </c>
      <c r="N2508" s="1" t="b">
        <v>1</v>
      </c>
    </row>
    <row r="2509" spans="1:14" ht="19" customHeight="1" x14ac:dyDescent="0.3">
      <c r="A2509">
        <v>2504</v>
      </c>
      <c r="B2509" s="1">
        <v>10</v>
      </c>
      <c r="C2509" s="1">
        <v>30</v>
      </c>
      <c r="D2509" s="1">
        <v>0.04</v>
      </c>
      <c r="E2509" s="1">
        <v>0.04</v>
      </c>
      <c r="F2509" s="1">
        <v>-5</v>
      </c>
      <c r="G2509" s="1">
        <v>1</v>
      </c>
      <c r="H2509" s="1">
        <v>1.3489987642700001</v>
      </c>
      <c r="I2509" s="1">
        <v>1.3474044058800001</v>
      </c>
      <c r="J2509" s="1">
        <v>0.56187017424999997</v>
      </c>
      <c r="K2509" s="1">
        <v>2229.5883713200001</v>
      </c>
      <c r="L2509" s="1">
        <v>464.59640033300002</v>
      </c>
      <c r="M2509" s="1" t="s">
        <v>198</v>
      </c>
      <c r="N2509" s="1" t="b">
        <v>1</v>
      </c>
    </row>
    <row r="2510" spans="1:14" ht="19" customHeight="1" x14ac:dyDescent="0.3">
      <c r="A2510">
        <v>2505</v>
      </c>
      <c r="B2510" s="1">
        <v>10</v>
      </c>
      <c r="C2510" s="1">
        <v>30</v>
      </c>
      <c r="D2510" s="1">
        <v>0.04</v>
      </c>
      <c r="E2510" s="1">
        <v>0.04</v>
      </c>
      <c r="F2510" s="1">
        <v>0</v>
      </c>
      <c r="G2510" s="1">
        <v>0</v>
      </c>
      <c r="H2510" s="1">
        <v>1.37969527724</v>
      </c>
      <c r="I2510" s="1">
        <v>1.83741951889</v>
      </c>
      <c r="J2510" s="1">
        <v>0.67770752957299996</v>
      </c>
      <c r="K2510" s="1">
        <v>2660.1517970499999</v>
      </c>
      <c r="L2510" s="1">
        <v>560.379413516</v>
      </c>
      <c r="M2510" s="1" t="s">
        <v>198</v>
      </c>
      <c r="N2510" s="1" t="b">
        <v>1</v>
      </c>
    </row>
    <row r="2511" spans="1:14" ht="19" customHeight="1" x14ac:dyDescent="0.3">
      <c r="A2511">
        <v>2506</v>
      </c>
      <c r="B2511" s="1">
        <v>10</v>
      </c>
      <c r="C2511" s="1">
        <v>30</v>
      </c>
      <c r="D2511" s="1">
        <v>0.04</v>
      </c>
      <c r="E2511" s="1">
        <v>0.04</v>
      </c>
      <c r="F2511" s="1">
        <v>0</v>
      </c>
      <c r="G2511" s="1">
        <v>1</v>
      </c>
      <c r="H2511" s="1">
        <v>1.37969527724</v>
      </c>
      <c r="I2511" s="1">
        <v>1.37806463917</v>
      </c>
      <c r="J2511" s="1">
        <v>0.55572017424999998</v>
      </c>
      <c r="K2511" s="1">
        <v>2280.3227308800001</v>
      </c>
      <c r="L2511" s="1">
        <v>459.51111908299998</v>
      </c>
      <c r="M2511" s="1" t="s">
        <v>198</v>
      </c>
      <c r="N2511" s="1" t="b">
        <v>1</v>
      </c>
    </row>
    <row r="2512" spans="1:14" ht="19" customHeight="1" x14ac:dyDescent="0.3">
      <c r="A2512">
        <v>2507</v>
      </c>
      <c r="B2512" s="1">
        <v>10</v>
      </c>
      <c r="C2512" s="1">
        <v>30</v>
      </c>
      <c r="D2512" s="1">
        <v>0.04</v>
      </c>
      <c r="E2512" s="1">
        <v>0.04</v>
      </c>
      <c r="F2512" s="1">
        <v>5</v>
      </c>
      <c r="G2512" s="1">
        <v>0</v>
      </c>
      <c r="H2512" s="1">
        <v>1.3489987642700001</v>
      </c>
      <c r="I2512" s="1">
        <v>1.79653920784</v>
      </c>
      <c r="J2512" s="1">
        <v>0.68520752957300002</v>
      </c>
      <c r="K2512" s="1">
        <v>2600.9667106900001</v>
      </c>
      <c r="L2512" s="1">
        <v>566.58097601600002</v>
      </c>
      <c r="M2512" s="1" t="s">
        <v>198</v>
      </c>
      <c r="N2512" s="1" t="b">
        <v>1</v>
      </c>
    </row>
    <row r="2513" spans="1:14" ht="19" customHeight="1" x14ac:dyDescent="0.3">
      <c r="A2513">
        <v>2508</v>
      </c>
      <c r="B2513" s="1">
        <v>10</v>
      </c>
      <c r="C2513" s="1">
        <v>30</v>
      </c>
      <c r="D2513" s="1">
        <v>0.04</v>
      </c>
      <c r="E2513" s="1">
        <v>0.04</v>
      </c>
      <c r="F2513" s="1">
        <v>5</v>
      </c>
      <c r="G2513" s="1">
        <v>1</v>
      </c>
      <c r="H2513" s="1">
        <v>1.3489987642700001</v>
      </c>
      <c r="I2513" s="1">
        <v>1.3474044058800001</v>
      </c>
      <c r="J2513" s="1">
        <v>0.56187017424999997</v>
      </c>
      <c r="K2513" s="1">
        <v>2229.5883713200001</v>
      </c>
      <c r="L2513" s="1">
        <v>464.59640033300002</v>
      </c>
      <c r="M2513" s="1" t="s">
        <v>198</v>
      </c>
      <c r="N2513" s="1" t="b">
        <v>1</v>
      </c>
    </row>
    <row r="2514" spans="1:14" ht="19" customHeight="1" x14ac:dyDescent="0.3">
      <c r="A2514">
        <v>2509</v>
      </c>
      <c r="B2514" s="1">
        <v>10</v>
      </c>
      <c r="C2514" s="1">
        <v>30</v>
      </c>
      <c r="D2514" s="1">
        <v>0.04</v>
      </c>
      <c r="E2514" s="1">
        <v>0.06</v>
      </c>
      <c r="F2514" s="1">
        <v>-5</v>
      </c>
      <c r="G2514" s="1">
        <v>0</v>
      </c>
      <c r="H2514" s="1">
        <v>1.3901945798299999</v>
      </c>
      <c r="I2514" s="1">
        <v>1.8583329311800001</v>
      </c>
      <c r="J2514" s="1">
        <v>0.68889418700100002</v>
      </c>
      <c r="K2514" s="1">
        <v>2686.1261856599999</v>
      </c>
      <c r="L2514" s="1">
        <v>569.62938087700002</v>
      </c>
      <c r="M2514" s="1" t="s">
        <v>198</v>
      </c>
      <c r="N2514" s="1" t="b">
        <v>1</v>
      </c>
    </row>
    <row r="2515" spans="1:14" ht="19" customHeight="1" x14ac:dyDescent="0.3">
      <c r="A2515">
        <v>2510</v>
      </c>
      <c r="B2515" s="1">
        <v>10</v>
      </c>
      <c r="C2515" s="1">
        <v>30</v>
      </c>
      <c r="D2515" s="1">
        <v>0.04</v>
      </c>
      <c r="E2515" s="1">
        <v>0.06</v>
      </c>
      <c r="F2515" s="1">
        <v>-5</v>
      </c>
      <c r="G2515" s="1">
        <v>1</v>
      </c>
      <c r="H2515" s="1">
        <v>1.3901945798299999</v>
      </c>
      <c r="I2515" s="1">
        <v>1.39374969838</v>
      </c>
      <c r="J2515" s="1">
        <v>0.56489323334099995</v>
      </c>
      <c r="K2515" s="1">
        <v>2301.9739250500002</v>
      </c>
      <c r="L2515" s="1">
        <v>467.09609231899998</v>
      </c>
      <c r="M2515" s="1" t="s">
        <v>198</v>
      </c>
      <c r="N2515" s="1" t="b">
        <v>1</v>
      </c>
    </row>
    <row r="2516" spans="1:14" ht="19" customHeight="1" x14ac:dyDescent="0.3">
      <c r="A2516">
        <v>2511</v>
      </c>
      <c r="B2516" s="1">
        <v>10</v>
      </c>
      <c r="C2516" s="1">
        <v>30</v>
      </c>
      <c r="D2516" s="1">
        <v>0.04</v>
      </c>
      <c r="E2516" s="1">
        <v>0.06</v>
      </c>
      <c r="F2516" s="1">
        <v>0</v>
      </c>
      <c r="G2516" s="1">
        <v>0</v>
      </c>
      <c r="H2516" s="1">
        <v>1.4218285049899999</v>
      </c>
      <c r="I2516" s="1">
        <v>1.9006193605099999</v>
      </c>
      <c r="J2516" s="1">
        <v>0.68139418700099996</v>
      </c>
      <c r="K2516" s="1">
        <v>2747.2490787900001</v>
      </c>
      <c r="L2516" s="1">
        <v>563.42781837699999</v>
      </c>
      <c r="M2516" s="1" t="s">
        <v>198</v>
      </c>
      <c r="N2516" s="1" t="b">
        <v>1</v>
      </c>
    </row>
    <row r="2517" spans="1:14" ht="19" customHeight="1" x14ac:dyDescent="0.3">
      <c r="A2517">
        <v>2512</v>
      </c>
      <c r="B2517" s="1">
        <v>10</v>
      </c>
      <c r="C2517" s="1">
        <v>30</v>
      </c>
      <c r="D2517" s="1">
        <v>0.04</v>
      </c>
      <c r="E2517" s="1">
        <v>0.06</v>
      </c>
      <c r="F2517" s="1">
        <v>0</v>
      </c>
      <c r="G2517" s="1">
        <v>1</v>
      </c>
      <c r="H2517" s="1">
        <v>1.4218285049899999</v>
      </c>
      <c r="I2517" s="1">
        <v>1.42546452039</v>
      </c>
      <c r="J2517" s="1">
        <v>0.55874323334099996</v>
      </c>
      <c r="K2517" s="1">
        <v>2354.3554203600002</v>
      </c>
      <c r="L2517" s="1">
        <v>462.010811069</v>
      </c>
      <c r="M2517" s="1" t="s">
        <v>198</v>
      </c>
      <c r="N2517" s="1" t="b">
        <v>1</v>
      </c>
    </row>
    <row r="2518" spans="1:14" ht="19" customHeight="1" x14ac:dyDescent="0.3">
      <c r="A2518">
        <v>2513</v>
      </c>
      <c r="B2518" s="1">
        <v>10</v>
      </c>
      <c r="C2518" s="1">
        <v>30</v>
      </c>
      <c r="D2518" s="1">
        <v>0.04</v>
      </c>
      <c r="E2518" s="1">
        <v>0.06</v>
      </c>
      <c r="F2518" s="1">
        <v>5</v>
      </c>
      <c r="G2518" s="1">
        <v>0</v>
      </c>
      <c r="H2518" s="1">
        <v>1.3901945798299999</v>
      </c>
      <c r="I2518" s="1">
        <v>1.8583329311800001</v>
      </c>
      <c r="J2518" s="1">
        <v>0.68889418700100002</v>
      </c>
      <c r="K2518" s="1">
        <v>2686.1261856599999</v>
      </c>
      <c r="L2518" s="1">
        <v>569.62938087700002</v>
      </c>
      <c r="M2518" s="1" t="s">
        <v>198</v>
      </c>
      <c r="N2518" s="1" t="b">
        <v>1</v>
      </c>
    </row>
    <row r="2519" spans="1:14" ht="19" customHeight="1" x14ac:dyDescent="0.3">
      <c r="A2519">
        <v>2514</v>
      </c>
      <c r="B2519" s="1">
        <v>10</v>
      </c>
      <c r="C2519" s="1">
        <v>30</v>
      </c>
      <c r="D2519" s="1">
        <v>0.04</v>
      </c>
      <c r="E2519" s="1">
        <v>0.06</v>
      </c>
      <c r="F2519" s="1">
        <v>5</v>
      </c>
      <c r="G2519" s="1">
        <v>1</v>
      </c>
      <c r="H2519" s="1">
        <v>1.3901945798299999</v>
      </c>
      <c r="I2519" s="1">
        <v>1.39374969838</v>
      </c>
      <c r="J2519" s="1">
        <v>0.56489323334099995</v>
      </c>
      <c r="K2519" s="1">
        <v>2301.9739250500002</v>
      </c>
      <c r="L2519" s="1">
        <v>467.09609231899998</v>
      </c>
      <c r="M2519" s="1" t="s">
        <v>198</v>
      </c>
      <c r="N2519" s="1" t="b">
        <v>1</v>
      </c>
    </row>
    <row r="2520" spans="1:14" ht="19" customHeight="1" x14ac:dyDescent="0.3">
      <c r="A2520">
        <v>2515</v>
      </c>
      <c r="B2520" s="1">
        <v>10</v>
      </c>
      <c r="C2520" s="1">
        <v>30</v>
      </c>
      <c r="D2520" s="1">
        <v>0.04</v>
      </c>
      <c r="E2520" s="1">
        <v>8.5000000000000006E-2</v>
      </c>
      <c r="F2520" s="1">
        <v>-5</v>
      </c>
      <c r="G2520" s="1">
        <v>0</v>
      </c>
      <c r="H2520" s="1">
        <v>1.2848782618300001</v>
      </c>
      <c r="I2520" s="1">
        <v>1.7003584541800001</v>
      </c>
      <c r="J2520" s="1">
        <v>0.67946931748999995</v>
      </c>
      <c r="K2520" s="1">
        <v>2468.4176095600001</v>
      </c>
      <c r="L2520" s="1">
        <v>561.83619190000002</v>
      </c>
      <c r="M2520" s="1" t="s">
        <v>198</v>
      </c>
      <c r="N2520" s="1" t="b">
        <v>1</v>
      </c>
    </row>
    <row r="2521" spans="1:14" ht="19" customHeight="1" x14ac:dyDescent="0.3">
      <c r="A2521">
        <v>2516</v>
      </c>
      <c r="B2521" s="1">
        <v>10</v>
      </c>
      <c r="C2521" s="1">
        <v>30</v>
      </c>
      <c r="D2521" s="1">
        <v>0.04</v>
      </c>
      <c r="E2521" s="1">
        <v>8.5000000000000006E-2</v>
      </c>
      <c r="F2521" s="1">
        <v>-5</v>
      </c>
      <c r="G2521" s="1">
        <v>1</v>
      </c>
      <c r="H2521" s="1">
        <v>1.2848782618300001</v>
      </c>
      <c r="I2521" s="1">
        <v>1.2752688406399999</v>
      </c>
      <c r="J2521" s="1">
        <v>0.55716484034199998</v>
      </c>
      <c r="K2521" s="1">
        <v>2116.92163536</v>
      </c>
      <c r="L2521" s="1">
        <v>460.705677358</v>
      </c>
      <c r="M2521" s="1" t="s">
        <v>198</v>
      </c>
      <c r="N2521" s="1" t="b">
        <v>1</v>
      </c>
    </row>
    <row r="2522" spans="1:14" ht="19" customHeight="1" x14ac:dyDescent="0.3">
      <c r="A2522">
        <v>2517</v>
      </c>
      <c r="B2522" s="1">
        <v>10</v>
      </c>
      <c r="C2522" s="1">
        <v>30</v>
      </c>
      <c r="D2522" s="1">
        <v>0.04</v>
      </c>
      <c r="E2522" s="1">
        <v>8.5000000000000006E-2</v>
      </c>
      <c r="F2522" s="1">
        <v>0</v>
      </c>
      <c r="G2522" s="1">
        <v>0</v>
      </c>
      <c r="H2522" s="1">
        <v>1.3141157105800001</v>
      </c>
      <c r="I2522" s="1">
        <v>1.7390501689</v>
      </c>
      <c r="J2522" s="1">
        <v>0.67196931749</v>
      </c>
      <c r="K2522" s="1">
        <v>2524.5865365899999</v>
      </c>
      <c r="L2522" s="1">
        <v>555.63462939999999</v>
      </c>
      <c r="M2522" s="1" t="s">
        <v>198</v>
      </c>
      <c r="N2522" s="1" t="b">
        <v>1</v>
      </c>
    </row>
    <row r="2523" spans="1:14" ht="19" customHeight="1" x14ac:dyDescent="0.3">
      <c r="A2523">
        <v>2518</v>
      </c>
      <c r="B2523" s="1">
        <v>10</v>
      </c>
      <c r="C2523" s="1">
        <v>30</v>
      </c>
      <c r="D2523" s="1">
        <v>0.04</v>
      </c>
      <c r="E2523" s="1">
        <v>8.5000000000000006E-2</v>
      </c>
      <c r="F2523" s="1">
        <v>0</v>
      </c>
      <c r="G2523" s="1">
        <v>1</v>
      </c>
      <c r="H2523" s="1">
        <v>1.3141157105800001</v>
      </c>
      <c r="I2523" s="1">
        <v>1.3042876266800001</v>
      </c>
      <c r="J2523" s="1">
        <v>0.55101484034199999</v>
      </c>
      <c r="K2523" s="1">
        <v>2165.0922594899998</v>
      </c>
      <c r="L2523" s="1">
        <v>455.62039610800002</v>
      </c>
      <c r="M2523" s="1" t="s">
        <v>198</v>
      </c>
      <c r="N2523" s="1" t="b">
        <v>1</v>
      </c>
    </row>
    <row r="2524" spans="1:14" ht="19" customHeight="1" x14ac:dyDescent="0.3">
      <c r="A2524">
        <v>2519</v>
      </c>
      <c r="B2524" s="1">
        <v>10</v>
      </c>
      <c r="C2524" s="1">
        <v>30</v>
      </c>
      <c r="D2524" s="1">
        <v>0.04</v>
      </c>
      <c r="E2524" s="1">
        <v>8.5000000000000006E-2</v>
      </c>
      <c r="F2524" s="1">
        <v>5</v>
      </c>
      <c r="G2524" s="1">
        <v>0</v>
      </c>
      <c r="H2524" s="1">
        <v>1.2848782618300001</v>
      </c>
      <c r="I2524" s="1">
        <v>1.7003584541800001</v>
      </c>
      <c r="J2524" s="1">
        <v>0.67946931748999995</v>
      </c>
      <c r="K2524" s="1">
        <v>2468.4176095600001</v>
      </c>
      <c r="L2524" s="1">
        <v>561.83619190000002</v>
      </c>
      <c r="M2524" s="1" t="s">
        <v>198</v>
      </c>
      <c r="N2524" s="1" t="b">
        <v>1</v>
      </c>
    </row>
    <row r="2525" spans="1:14" ht="19" customHeight="1" x14ac:dyDescent="0.3">
      <c r="A2525">
        <v>2520</v>
      </c>
      <c r="B2525" s="1">
        <v>10</v>
      </c>
      <c r="C2525" s="1">
        <v>30</v>
      </c>
      <c r="D2525" s="1">
        <v>0.04</v>
      </c>
      <c r="E2525" s="1">
        <v>8.5000000000000006E-2</v>
      </c>
      <c r="F2525" s="1">
        <v>5</v>
      </c>
      <c r="G2525" s="1">
        <v>1</v>
      </c>
      <c r="H2525" s="1">
        <v>1.2848782618300001</v>
      </c>
      <c r="I2525" s="1">
        <v>1.2752688406399999</v>
      </c>
      <c r="J2525" s="1">
        <v>0.55716484034199998</v>
      </c>
      <c r="K2525" s="1">
        <v>2116.92163536</v>
      </c>
      <c r="L2525" s="1">
        <v>460.705677358</v>
      </c>
      <c r="M2525" s="1" t="s">
        <v>198</v>
      </c>
      <c r="N2525" s="1" t="b">
        <v>1</v>
      </c>
    </row>
    <row r="2526" spans="1:14" ht="19" customHeight="1" x14ac:dyDescent="0.3">
      <c r="A2526">
        <v>2521</v>
      </c>
      <c r="B2526" s="1">
        <v>10</v>
      </c>
      <c r="C2526" s="1">
        <v>30</v>
      </c>
      <c r="D2526" s="1">
        <v>5.5E-2</v>
      </c>
      <c r="E2526" s="1">
        <v>0.04</v>
      </c>
      <c r="F2526" s="1">
        <v>-5</v>
      </c>
      <c r="G2526" s="1">
        <v>0</v>
      </c>
      <c r="H2526" s="1">
        <v>1.2091136622100001</v>
      </c>
      <c r="I2526" s="1">
        <v>1.5867115547499999</v>
      </c>
      <c r="J2526" s="1">
        <v>0.672689062743</v>
      </c>
      <c r="K2526" s="1">
        <v>2311.7979762700002</v>
      </c>
      <c r="L2526" s="1">
        <v>556.229768756</v>
      </c>
      <c r="M2526" s="1" t="s">
        <v>198</v>
      </c>
      <c r="N2526" s="1" t="b">
        <v>1</v>
      </c>
    </row>
    <row r="2527" spans="1:14" ht="19" customHeight="1" x14ac:dyDescent="0.3">
      <c r="A2527">
        <v>2522</v>
      </c>
      <c r="B2527" s="1">
        <v>10</v>
      </c>
      <c r="C2527" s="1">
        <v>30</v>
      </c>
      <c r="D2527" s="1">
        <v>5.5E-2</v>
      </c>
      <c r="E2527" s="1">
        <v>0.04</v>
      </c>
      <c r="F2527" s="1">
        <v>-5</v>
      </c>
      <c r="G2527" s="1">
        <v>1</v>
      </c>
      <c r="H2527" s="1">
        <v>1.2091136622100001</v>
      </c>
      <c r="I2527" s="1">
        <v>1.1900336660599999</v>
      </c>
      <c r="J2527" s="1">
        <v>0.55160503144999995</v>
      </c>
      <c r="K2527" s="1">
        <v>1983.7949470599999</v>
      </c>
      <c r="L2527" s="1">
        <v>456.10841038000001</v>
      </c>
      <c r="M2527" s="1" t="s">
        <v>198</v>
      </c>
      <c r="N2527" s="1" t="b">
        <v>1</v>
      </c>
    </row>
    <row r="2528" spans="1:14" ht="19" customHeight="1" x14ac:dyDescent="0.3">
      <c r="A2528">
        <v>2523</v>
      </c>
      <c r="B2528" s="1">
        <v>10</v>
      </c>
      <c r="C2528" s="1">
        <v>30</v>
      </c>
      <c r="D2528" s="1">
        <v>5.5E-2</v>
      </c>
      <c r="E2528" s="1">
        <v>0.04</v>
      </c>
      <c r="F2528" s="1">
        <v>0</v>
      </c>
      <c r="G2528" s="1">
        <v>0</v>
      </c>
      <c r="H2528" s="1">
        <v>1.2366270849000001</v>
      </c>
      <c r="I2528" s="1">
        <v>1.6228172303799999</v>
      </c>
      <c r="J2528" s="1">
        <v>0.66518906274300005</v>
      </c>
      <c r="K2528" s="1">
        <v>2364.4030182000001</v>
      </c>
      <c r="L2528" s="1">
        <v>550.02820625599998</v>
      </c>
      <c r="M2528" s="1" t="s">
        <v>198</v>
      </c>
      <c r="N2528" s="1" t="b">
        <v>1</v>
      </c>
    </row>
    <row r="2529" spans="1:14" ht="19" customHeight="1" x14ac:dyDescent="0.3">
      <c r="A2529">
        <v>2524</v>
      </c>
      <c r="B2529" s="1">
        <v>10</v>
      </c>
      <c r="C2529" s="1">
        <v>30</v>
      </c>
      <c r="D2529" s="1">
        <v>5.5E-2</v>
      </c>
      <c r="E2529" s="1">
        <v>0.04</v>
      </c>
      <c r="F2529" s="1">
        <v>0</v>
      </c>
      <c r="G2529" s="1">
        <v>1</v>
      </c>
      <c r="H2529" s="1">
        <v>1.2366270849000001</v>
      </c>
      <c r="I2529" s="1">
        <v>1.2171129227899999</v>
      </c>
      <c r="J2529" s="1">
        <v>0.54545503144999996</v>
      </c>
      <c r="K2529" s="1">
        <v>2028.9362688599999</v>
      </c>
      <c r="L2529" s="1">
        <v>451.02312912999997</v>
      </c>
      <c r="M2529" s="1" t="s">
        <v>198</v>
      </c>
      <c r="N2529" s="1" t="b">
        <v>1</v>
      </c>
    </row>
    <row r="2530" spans="1:14" ht="19" customHeight="1" x14ac:dyDescent="0.3">
      <c r="A2530">
        <v>2525</v>
      </c>
      <c r="B2530" s="1">
        <v>10</v>
      </c>
      <c r="C2530" s="1">
        <v>30</v>
      </c>
      <c r="D2530" s="1">
        <v>5.5E-2</v>
      </c>
      <c r="E2530" s="1">
        <v>0.04</v>
      </c>
      <c r="F2530" s="1">
        <v>5</v>
      </c>
      <c r="G2530" s="1">
        <v>0</v>
      </c>
      <c r="H2530" s="1">
        <v>1.2091136622100001</v>
      </c>
      <c r="I2530" s="1">
        <v>1.5867115547499999</v>
      </c>
      <c r="J2530" s="1">
        <v>0.672689062743</v>
      </c>
      <c r="K2530" s="1">
        <v>2311.7979762700002</v>
      </c>
      <c r="L2530" s="1">
        <v>556.229768756</v>
      </c>
      <c r="M2530" s="1" t="s">
        <v>198</v>
      </c>
      <c r="N2530" s="1" t="b">
        <v>1</v>
      </c>
    </row>
    <row r="2531" spans="1:14" ht="19" customHeight="1" x14ac:dyDescent="0.3">
      <c r="A2531">
        <v>2526</v>
      </c>
      <c r="B2531" s="1">
        <v>10</v>
      </c>
      <c r="C2531" s="1">
        <v>30</v>
      </c>
      <c r="D2531" s="1">
        <v>5.5E-2</v>
      </c>
      <c r="E2531" s="1">
        <v>0.04</v>
      </c>
      <c r="F2531" s="1">
        <v>5</v>
      </c>
      <c r="G2531" s="1">
        <v>1</v>
      </c>
      <c r="H2531" s="1">
        <v>1.2091136622100001</v>
      </c>
      <c r="I2531" s="1">
        <v>1.1900336660599999</v>
      </c>
      <c r="J2531" s="1">
        <v>0.55160503144999995</v>
      </c>
      <c r="K2531" s="1">
        <v>1983.7949470599999</v>
      </c>
      <c r="L2531" s="1">
        <v>456.10841038000001</v>
      </c>
      <c r="M2531" s="1" t="s">
        <v>198</v>
      </c>
      <c r="N2531" s="1" t="b">
        <v>1</v>
      </c>
    </row>
    <row r="2532" spans="1:14" ht="19" customHeight="1" x14ac:dyDescent="0.3">
      <c r="A2532">
        <v>2527</v>
      </c>
      <c r="B2532" s="1">
        <v>10</v>
      </c>
      <c r="C2532" s="1">
        <v>30</v>
      </c>
      <c r="D2532" s="1">
        <v>5.5E-2</v>
      </c>
      <c r="E2532" s="1">
        <v>0.06</v>
      </c>
      <c r="F2532" s="1">
        <v>-5</v>
      </c>
      <c r="G2532" s="1">
        <v>0</v>
      </c>
      <c r="H2532" s="1">
        <v>1.2367432619200001</v>
      </c>
      <c r="I2532" s="1">
        <v>1.6281559543099999</v>
      </c>
      <c r="J2532" s="1">
        <v>0.67516166505999997</v>
      </c>
      <c r="K2532" s="1">
        <v>2368.9135394099999</v>
      </c>
      <c r="L2532" s="1">
        <v>558.27430179700002</v>
      </c>
      <c r="M2532" s="1" t="s">
        <v>198</v>
      </c>
      <c r="N2532" s="1" t="b">
        <v>1</v>
      </c>
    </row>
    <row r="2533" spans="1:14" ht="19" customHeight="1" x14ac:dyDescent="0.3">
      <c r="A2533">
        <v>2528</v>
      </c>
      <c r="B2533" s="1">
        <v>10</v>
      </c>
      <c r="C2533" s="1">
        <v>30</v>
      </c>
      <c r="D2533" s="1">
        <v>5.5E-2</v>
      </c>
      <c r="E2533" s="1">
        <v>0.06</v>
      </c>
      <c r="F2533" s="1">
        <v>-5</v>
      </c>
      <c r="G2533" s="1">
        <v>1</v>
      </c>
      <c r="H2533" s="1">
        <v>1.2367432619200001</v>
      </c>
      <c r="I2533" s="1">
        <v>1.2211169657300001</v>
      </c>
      <c r="J2533" s="1">
        <v>0.55363256534899996</v>
      </c>
      <c r="K2533" s="1">
        <v>2032.34317573</v>
      </c>
      <c r="L2533" s="1">
        <v>457.78492747299998</v>
      </c>
      <c r="M2533" s="1" t="s">
        <v>198</v>
      </c>
      <c r="N2533" s="1" t="b">
        <v>1</v>
      </c>
    </row>
    <row r="2534" spans="1:14" ht="19" customHeight="1" x14ac:dyDescent="0.3">
      <c r="A2534">
        <v>2529</v>
      </c>
      <c r="B2534" s="1">
        <v>10</v>
      </c>
      <c r="C2534" s="1">
        <v>30</v>
      </c>
      <c r="D2534" s="1">
        <v>5.5E-2</v>
      </c>
      <c r="E2534" s="1">
        <v>0.06</v>
      </c>
      <c r="F2534" s="1">
        <v>0</v>
      </c>
      <c r="G2534" s="1">
        <v>0</v>
      </c>
      <c r="H2534" s="1">
        <v>1.26488539709</v>
      </c>
      <c r="I2534" s="1">
        <v>1.66520469867</v>
      </c>
      <c r="J2534" s="1">
        <v>0.66766166506000002</v>
      </c>
      <c r="K2534" s="1">
        <v>2422.8182479400002</v>
      </c>
      <c r="L2534" s="1">
        <v>552.072739297</v>
      </c>
      <c r="M2534" s="1" t="s">
        <v>198</v>
      </c>
      <c r="N2534" s="1" t="b">
        <v>1</v>
      </c>
    </row>
    <row r="2535" spans="1:14" ht="19" customHeight="1" x14ac:dyDescent="0.3">
      <c r="A2535">
        <v>2530</v>
      </c>
      <c r="B2535" s="1">
        <v>10</v>
      </c>
      <c r="C2535" s="1">
        <v>30</v>
      </c>
      <c r="D2535" s="1">
        <v>5.5E-2</v>
      </c>
      <c r="E2535" s="1">
        <v>0.06</v>
      </c>
      <c r="F2535" s="1">
        <v>0</v>
      </c>
      <c r="G2535" s="1">
        <v>1</v>
      </c>
      <c r="H2535" s="1">
        <v>1.26488539709</v>
      </c>
      <c r="I2535" s="1">
        <v>1.2489035239999999</v>
      </c>
      <c r="J2535" s="1">
        <v>0.54748256534899997</v>
      </c>
      <c r="K2535" s="1">
        <v>2078.5892141300001</v>
      </c>
      <c r="L2535" s="1">
        <v>452.699646223</v>
      </c>
      <c r="M2535" s="1" t="s">
        <v>198</v>
      </c>
      <c r="N2535" s="1" t="b">
        <v>1</v>
      </c>
    </row>
    <row r="2536" spans="1:14" ht="19" customHeight="1" x14ac:dyDescent="0.3">
      <c r="A2536">
        <v>2531</v>
      </c>
      <c r="B2536" s="1">
        <v>10</v>
      </c>
      <c r="C2536" s="1">
        <v>30</v>
      </c>
      <c r="D2536" s="1">
        <v>5.5E-2</v>
      </c>
      <c r="E2536" s="1">
        <v>0.06</v>
      </c>
      <c r="F2536" s="1">
        <v>5</v>
      </c>
      <c r="G2536" s="1">
        <v>0</v>
      </c>
      <c r="H2536" s="1">
        <v>1.2367432619200001</v>
      </c>
      <c r="I2536" s="1">
        <v>1.6281559543099999</v>
      </c>
      <c r="J2536" s="1">
        <v>0.67516166505999997</v>
      </c>
      <c r="K2536" s="1">
        <v>2368.9135394099999</v>
      </c>
      <c r="L2536" s="1">
        <v>558.27430179700002</v>
      </c>
      <c r="M2536" s="1" t="s">
        <v>198</v>
      </c>
      <c r="N2536" s="1" t="b">
        <v>1</v>
      </c>
    </row>
    <row r="2537" spans="1:14" ht="19" customHeight="1" x14ac:dyDescent="0.3">
      <c r="A2537">
        <v>2532</v>
      </c>
      <c r="B2537" s="1">
        <v>10</v>
      </c>
      <c r="C2537" s="1">
        <v>30</v>
      </c>
      <c r="D2537" s="1">
        <v>5.5E-2</v>
      </c>
      <c r="E2537" s="1">
        <v>0.06</v>
      </c>
      <c r="F2537" s="1">
        <v>5</v>
      </c>
      <c r="G2537" s="1">
        <v>1</v>
      </c>
      <c r="H2537" s="1">
        <v>1.2367432619200001</v>
      </c>
      <c r="I2537" s="1">
        <v>1.2211169657300001</v>
      </c>
      <c r="J2537" s="1">
        <v>0.55363256534899996</v>
      </c>
      <c r="K2537" s="1">
        <v>2032.34317573</v>
      </c>
      <c r="L2537" s="1">
        <v>457.78492747299998</v>
      </c>
      <c r="M2537" s="1" t="s">
        <v>198</v>
      </c>
      <c r="N2537" s="1" t="b">
        <v>1</v>
      </c>
    </row>
    <row r="2538" spans="1:14" ht="19" customHeight="1" x14ac:dyDescent="0.3">
      <c r="A2538">
        <v>2533</v>
      </c>
      <c r="B2538" s="1">
        <v>10</v>
      </c>
      <c r="C2538" s="1">
        <v>30</v>
      </c>
      <c r="D2538" s="1">
        <v>5.5E-2</v>
      </c>
      <c r="E2538" s="1">
        <v>8.5000000000000006E-2</v>
      </c>
      <c r="F2538" s="1">
        <v>-5</v>
      </c>
      <c r="G2538" s="1">
        <v>0</v>
      </c>
      <c r="H2538" s="1">
        <v>1.1661087163999999</v>
      </c>
      <c r="I2538" s="1">
        <v>1.52220413604</v>
      </c>
      <c r="J2538" s="1">
        <v>0.66884050432200004</v>
      </c>
      <c r="K2538" s="1">
        <v>2222.8986898600001</v>
      </c>
      <c r="L2538" s="1">
        <v>553.04749201100003</v>
      </c>
      <c r="M2538" s="1" t="s">
        <v>198</v>
      </c>
      <c r="N2538" s="1" t="b">
        <v>1</v>
      </c>
    </row>
    <row r="2539" spans="1:14" ht="19" customHeight="1" x14ac:dyDescent="0.3">
      <c r="A2539">
        <v>2534</v>
      </c>
      <c r="B2539" s="1">
        <v>10</v>
      </c>
      <c r="C2539" s="1">
        <v>30</v>
      </c>
      <c r="D2539" s="1">
        <v>5.5E-2</v>
      </c>
      <c r="E2539" s="1">
        <v>8.5000000000000006E-2</v>
      </c>
      <c r="F2539" s="1">
        <v>-5</v>
      </c>
      <c r="G2539" s="1">
        <v>1</v>
      </c>
      <c r="H2539" s="1">
        <v>1.1661087163999999</v>
      </c>
      <c r="I2539" s="1">
        <v>1.14165310203</v>
      </c>
      <c r="J2539" s="1">
        <v>0.548449213544</v>
      </c>
      <c r="K2539" s="1">
        <v>1908.2305536199999</v>
      </c>
      <c r="L2539" s="1">
        <v>453.49894344900002</v>
      </c>
      <c r="M2539" s="1" t="s">
        <v>198</v>
      </c>
      <c r="N2539" s="1" t="b">
        <v>1</v>
      </c>
    </row>
    <row r="2540" spans="1:14" ht="19" customHeight="1" x14ac:dyDescent="0.3">
      <c r="A2540">
        <v>2535</v>
      </c>
      <c r="B2540" s="1">
        <v>10</v>
      </c>
      <c r="C2540" s="1">
        <v>30</v>
      </c>
      <c r="D2540" s="1">
        <v>5.5E-2</v>
      </c>
      <c r="E2540" s="1">
        <v>8.5000000000000006E-2</v>
      </c>
      <c r="F2540" s="1">
        <v>0</v>
      </c>
      <c r="G2540" s="1">
        <v>0</v>
      </c>
      <c r="H2540" s="1">
        <v>1.1926435600800001</v>
      </c>
      <c r="I2540" s="1">
        <v>1.55684194316</v>
      </c>
      <c r="J2540" s="1">
        <v>0.66134050432199998</v>
      </c>
      <c r="K2540" s="1">
        <v>2273.4808254899999</v>
      </c>
      <c r="L2540" s="1">
        <v>546.84592951100001</v>
      </c>
      <c r="M2540" s="1" t="s">
        <v>198</v>
      </c>
      <c r="N2540" s="1" t="b">
        <v>1</v>
      </c>
    </row>
    <row r="2541" spans="1:14" ht="19" customHeight="1" x14ac:dyDescent="0.3">
      <c r="A2541">
        <v>2536</v>
      </c>
      <c r="B2541" s="1">
        <v>10</v>
      </c>
      <c r="C2541" s="1">
        <v>30</v>
      </c>
      <c r="D2541" s="1">
        <v>5.5E-2</v>
      </c>
      <c r="E2541" s="1">
        <v>8.5000000000000006E-2</v>
      </c>
      <c r="F2541" s="1">
        <v>0</v>
      </c>
      <c r="G2541" s="1">
        <v>1</v>
      </c>
      <c r="H2541" s="1">
        <v>1.1926435600800001</v>
      </c>
      <c r="I2541" s="1">
        <v>1.16763145737</v>
      </c>
      <c r="J2541" s="1">
        <v>0.54229921354400001</v>
      </c>
      <c r="K2541" s="1">
        <v>1951.6524050600001</v>
      </c>
      <c r="L2541" s="1">
        <v>448.41366219899999</v>
      </c>
      <c r="M2541" s="1" t="s">
        <v>198</v>
      </c>
      <c r="N2541" s="1" t="b">
        <v>1</v>
      </c>
    </row>
    <row r="2542" spans="1:14" ht="19" customHeight="1" x14ac:dyDescent="0.3">
      <c r="A2542">
        <v>2537</v>
      </c>
      <c r="B2542" s="1">
        <v>10</v>
      </c>
      <c r="C2542" s="1">
        <v>30</v>
      </c>
      <c r="D2542" s="1">
        <v>5.5E-2</v>
      </c>
      <c r="E2542" s="1">
        <v>8.5000000000000006E-2</v>
      </c>
      <c r="F2542" s="1">
        <v>5</v>
      </c>
      <c r="G2542" s="1">
        <v>0</v>
      </c>
      <c r="H2542" s="1">
        <v>1.1661087163999999</v>
      </c>
      <c r="I2542" s="1">
        <v>1.52220413604</v>
      </c>
      <c r="J2542" s="1">
        <v>0.66884050432200004</v>
      </c>
      <c r="K2542" s="1">
        <v>2222.8986898600001</v>
      </c>
      <c r="L2542" s="1">
        <v>553.04749201100003</v>
      </c>
      <c r="M2542" s="1" t="s">
        <v>198</v>
      </c>
      <c r="N2542" s="1" t="b">
        <v>1</v>
      </c>
    </row>
    <row r="2543" spans="1:14" ht="19" customHeight="1" x14ac:dyDescent="0.3">
      <c r="A2543">
        <v>2538</v>
      </c>
      <c r="B2543" s="1">
        <v>10</v>
      </c>
      <c r="C2543" s="1">
        <v>30</v>
      </c>
      <c r="D2543" s="1">
        <v>5.5E-2</v>
      </c>
      <c r="E2543" s="1">
        <v>8.5000000000000006E-2</v>
      </c>
      <c r="F2543" s="1">
        <v>5</v>
      </c>
      <c r="G2543" s="1">
        <v>1</v>
      </c>
      <c r="H2543" s="1">
        <v>1.1661087163999999</v>
      </c>
      <c r="I2543" s="1">
        <v>1.14165310203</v>
      </c>
      <c r="J2543" s="1">
        <v>0.548449213544</v>
      </c>
      <c r="K2543" s="1">
        <v>1908.2305536199999</v>
      </c>
      <c r="L2543" s="1">
        <v>453.49894344900002</v>
      </c>
      <c r="M2543" s="1" t="s">
        <v>198</v>
      </c>
      <c r="N2543" s="1" t="b">
        <v>1</v>
      </c>
    </row>
    <row r="2544" spans="1:14" ht="19" customHeight="1" x14ac:dyDescent="0.3">
      <c r="A2544">
        <v>2539</v>
      </c>
      <c r="B2544" s="1">
        <v>10</v>
      </c>
      <c r="C2544" s="1">
        <v>50</v>
      </c>
      <c r="D2544" s="1">
        <v>2.5000000000000001E-2</v>
      </c>
      <c r="E2544" s="1">
        <v>0.04</v>
      </c>
      <c r="F2544" s="1">
        <v>-5</v>
      </c>
      <c r="G2544" s="1">
        <v>0</v>
      </c>
      <c r="H2544" s="1">
        <v>1.34300995082</v>
      </c>
      <c r="I2544" s="1">
        <v>1.78755598766</v>
      </c>
      <c r="J2544" s="1">
        <v>0.68467158427599994</v>
      </c>
      <c r="K2544" s="1">
        <v>7190.5186399499999</v>
      </c>
      <c r="L2544" s="1">
        <v>1572.60504513</v>
      </c>
      <c r="M2544" s="1" t="s">
        <v>198</v>
      </c>
      <c r="N2544" s="1" t="b">
        <v>1</v>
      </c>
    </row>
    <row r="2545" spans="1:14" ht="19" customHeight="1" x14ac:dyDescent="0.3">
      <c r="A2545">
        <v>2540</v>
      </c>
      <c r="B2545" s="1">
        <v>10</v>
      </c>
      <c r="C2545" s="1">
        <v>50</v>
      </c>
      <c r="D2545" s="1">
        <v>2.5000000000000001E-2</v>
      </c>
      <c r="E2545" s="1">
        <v>0.04</v>
      </c>
      <c r="F2545" s="1">
        <v>-5</v>
      </c>
      <c r="G2545" s="1">
        <v>1</v>
      </c>
      <c r="H2545" s="1">
        <v>1.34300995082</v>
      </c>
      <c r="I2545" s="1">
        <v>1.34066699075</v>
      </c>
      <c r="J2545" s="1">
        <v>0.56143069910700005</v>
      </c>
      <c r="K2545" s="1">
        <v>6164.0704751599997</v>
      </c>
      <c r="L2545" s="1">
        <v>1289.5361370099999</v>
      </c>
      <c r="M2545" s="1" t="s">
        <v>198</v>
      </c>
      <c r="N2545" s="1" t="b">
        <v>1</v>
      </c>
    </row>
    <row r="2546" spans="1:14" ht="19" customHeight="1" x14ac:dyDescent="0.3">
      <c r="A2546">
        <v>2541</v>
      </c>
      <c r="B2546" s="1">
        <v>10</v>
      </c>
      <c r="C2546" s="1">
        <v>50</v>
      </c>
      <c r="D2546" s="1">
        <v>2.5000000000000001E-2</v>
      </c>
      <c r="E2546" s="1">
        <v>0.04</v>
      </c>
      <c r="F2546" s="1">
        <v>0</v>
      </c>
      <c r="G2546" s="1">
        <v>0</v>
      </c>
      <c r="H2546" s="1">
        <v>1.37357018813</v>
      </c>
      <c r="I2546" s="1">
        <v>1.8282318852299999</v>
      </c>
      <c r="J2546" s="1">
        <v>0.67717158427599999</v>
      </c>
      <c r="K2546" s="1">
        <v>7354.1391372600001</v>
      </c>
      <c r="L2546" s="1">
        <v>1555.37848263</v>
      </c>
      <c r="M2546" s="1" t="s">
        <v>198</v>
      </c>
      <c r="N2546" s="1" t="b">
        <v>1</v>
      </c>
    </row>
    <row r="2547" spans="1:14" ht="19" customHeight="1" x14ac:dyDescent="0.3">
      <c r="A2547">
        <v>2542</v>
      </c>
      <c r="B2547" s="1">
        <v>10</v>
      </c>
      <c r="C2547" s="1">
        <v>50</v>
      </c>
      <c r="D2547" s="1">
        <v>2.5000000000000001E-2</v>
      </c>
      <c r="E2547" s="1">
        <v>0.04</v>
      </c>
      <c r="F2547" s="1">
        <v>0</v>
      </c>
      <c r="G2547" s="1">
        <v>1</v>
      </c>
      <c r="H2547" s="1">
        <v>1.37357018813</v>
      </c>
      <c r="I2547" s="1">
        <v>1.3711739139200001</v>
      </c>
      <c r="J2547" s="1">
        <v>0.55528069910699995</v>
      </c>
      <c r="K2547" s="1">
        <v>6304.3341094099997</v>
      </c>
      <c r="L2547" s="1">
        <v>1275.4103557599999</v>
      </c>
      <c r="M2547" s="1" t="s">
        <v>198</v>
      </c>
      <c r="N2547" s="1" t="b">
        <v>1</v>
      </c>
    </row>
    <row r="2548" spans="1:14" ht="19" customHeight="1" x14ac:dyDescent="0.3">
      <c r="A2548">
        <v>2543</v>
      </c>
      <c r="B2548" s="1">
        <v>10</v>
      </c>
      <c r="C2548" s="1">
        <v>50</v>
      </c>
      <c r="D2548" s="1">
        <v>2.5000000000000001E-2</v>
      </c>
      <c r="E2548" s="1">
        <v>0.04</v>
      </c>
      <c r="F2548" s="1">
        <v>5</v>
      </c>
      <c r="G2548" s="1">
        <v>0</v>
      </c>
      <c r="H2548" s="1">
        <v>1.34300995082</v>
      </c>
      <c r="I2548" s="1">
        <v>1.78755598766</v>
      </c>
      <c r="J2548" s="1">
        <v>0.68467158427599994</v>
      </c>
      <c r="K2548" s="1">
        <v>7190.5186399499999</v>
      </c>
      <c r="L2548" s="1">
        <v>1572.60504513</v>
      </c>
      <c r="M2548" s="1" t="s">
        <v>198</v>
      </c>
      <c r="N2548" s="1" t="b">
        <v>1</v>
      </c>
    </row>
    <row r="2549" spans="1:14" ht="19" customHeight="1" x14ac:dyDescent="0.3">
      <c r="A2549">
        <v>2544</v>
      </c>
      <c r="B2549" s="1">
        <v>10</v>
      </c>
      <c r="C2549" s="1">
        <v>50</v>
      </c>
      <c r="D2549" s="1">
        <v>2.5000000000000001E-2</v>
      </c>
      <c r="E2549" s="1">
        <v>0.04</v>
      </c>
      <c r="F2549" s="1">
        <v>5</v>
      </c>
      <c r="G2549" s="1">
        <v>1</v>
      </c>
      <c r="H2549" s="1">
        <v>1.34300995082</v>
      </c>
      <c r="I2549" s="1">
        <v>1.34066699075</v>
      </c>
      <c r="J2549" s="1">
        <v>0.56143069910700005</v>
      </c>
      <c r="K2549" s="1">
        <v>6164.0704751599997</v>
      </c>
      <c r="L2549" s="1">
        <v>1289.5361370099999</v>
      </c>
      <c r="M2549" s="1" t="s">
        <v>198</v>
      </c>
      <c r="N2549" s="1" t="b">
        <v>1</v>
      </c>
    </row>
    <row r="2550" spans="1:14" ht="19" customHeight="1" x14ac:dyDescent="0.3">
      <c r="A2550">
        <v>2545</v>
      </c>
      <c r="B2550" s="1">
        <v>10</v>
      </c>
      <c r="C2550" s="1">
        <v>50</v>
      </c>
      <c r="D2550" s="1">
        <v>2.5000000000000001E-2</v>
      </c>
      <c r="E2550" s="1">
        <v>0.06</v>
      </c>
      <c r="F2550" s="1">
        <v>-5</v>
      </c>
      <c r="G2550" s="1">
        <v>0</v>
      </c>
      <c r="H2550" s="1">
        <v>1.3836249644600001</v>
      </c>
      <c r="I2550" s="1">
        <v>1.8484785081099999</v>
      </c>
      <c r="J2550" s="1">
        <v>0.68830626512100002</v>
      </c>
      <c r="K2550" s="1">
        <v>7423.7376635600003</v>
      </c>
      <c r="L2550" s="1">
        <v>1580.9534527000001</v>
      </c>
      <c r="M2550" s="1" t="s">
        <v>198</v>
      </c>
      <c r="N2550" s="1" t="b">
        <v>1</v>
      </c>
    </row>
    <row r="2551" spans="1:14" ht="19" customHeight="1" x14ac:dyDescent="0.3">
      <c r="A2551">
        <v>2546</v>
      </c>
      <c r="B2551" s="1">
        <v>10</v>
      </c>
      <c r="C2551" s="1">
        <v>50</v>
      </c>
      <c r="D2551" s="1">
        <v>2.5000000000000001E-2</v>
      </c>
      <c r="E2551" s="1">
        <v>0.06</v>
      </c>
      <c r="F2551" s="1">
        <v>-5</v>
      </c>
      <c r="G2551" s="1">
        <v>1</v>
      </c>
      <c r="H2551" s="1">
        <v>1.3836249644600001</v>
      </c>
      <c r="I2551" s="1">
        <v>1.3863588810900001</v>
      </c>
      <c r="J2551" s="1">
        <v>0.56441113740000004</v>
      </c>
      <c r="K2551" s="1">
        <v>6362.30664523</v>
      </c>
      <c r="L2551" s="1">
        <v>1296.38183121</v>
      </c>
      <c r="M2551" s="1" t="s">
        <v>198</v>
      </c>
      <c r="N2551" s="1" t="b">
        <v>1</v>
      </c>
    </row>
    <row r="2552" spans="1:14" ht="19" customHeight="1" x14ac:dyDescent="0.3">
      <c r="A2552">
        <v>2547</v>
      </c>
      <c r="B2552" s="1">
        <v>10</v>
      </c>
      <c r="C2552" s="1">
        <v>50</v>
      </c>
      <c r="D2552" s="1">
        <v>2.5000000000000001E-2</v>
      </c>
      <c r="E2552" s="1">
        <v>0.06</v>
      </c>
      <c r="F2552" s="1">
        <v>0</v>
      </c>
      <c r="G2552" s="1">
        <v>0</v>
      </c>
      <c r="H2552" s="1">
        <v>1.41510939779</v>
      </c>
      <c r="I2552" s="1">
        <v>1.8905406997200001</v>
      </c>
      <c r="J2552" s="1">
        <v>0.68080626512099995</v>
      </c>
      <c r="K2552" s="1">
        <v>7592.6650677199996</v>
      </c>
      <c r="L2552" s="1">
        <v>1563.7268902000001</v>
      </c>
      <c r="M2552" s="1" t="s">
        <v>198</v>
      </c>
      <c r="N2552" s="1" t="b">
        <v>1</v>
      </c>
    </row>
    <row r="2553" spans="1:14" ht="19" customHeight="1" x14ac:dyDescent="0.3">
      <c r="A2553">
        <v>2548</v>
      </c>
      <c r="B2553" s="1">
        <v>10</v>
      </c>
      <c r="C2553" s="1">
        <v>50</v>
      </c>
      <c r="D2553" s="1">
        <v>2.5000000000000001E-2</v>
      </c>
      <c r="E2553" s="1">
        <v>0.06</v>
      </c>
      <c r="F2553" s="1">
        <v>0</v>
      </c>
      <c r="G2553" s="1">
        <v>1</v>
      </c>
      <c r="H2553" s="1">
        <v>1.41510939779</v>
      </c>
      <c r="I2553" s="1">
        <v>1.4179055247900001</v>
      </c>
      <c r="J2553" s="1">
        <v>0.55826113740000005</v>
      </c>
      <c r="K2553" s="1">
        <v>6507.0811503000004</v>
      </c>
      <c r="L2553" s="1">
        <v>1282.2560499599999</v>
      </c>
      <c r="M2553" s="1" t="s">
        <v>198</v>
      </c>
      <c r="N2553" s="1" t="b">
        <v>1</v>
      </c>
    </row>
    <row r="2554" spans="1:14" ht="19" customHeight="1" x14ac:dyDescent="0.3">
      <c r="A2554">
        <v>2549</v>
      </c>
      <c r="B2554" s="1">
        <v>10</v>
      </c>
      <c r="C2554" s="1">
        <v>50</v>
      </c>
      <c r="D2554" s="1">
        <v>2.5000000000000001E-2</v>
      </c>
      <c r="E2554" s="1">
        <v>0.06</v>
      </c>
      <c r="F2554" s="1">
        <v>5</v>
      </c>
      <c r="G2554" s="1">
        <v>0</v>
      </c>
      <c r="H2554" s="1">
        <v>1.3836249644600001</v>
      </c>
      <c r="I2554" s="1">
        <v>1.8484785081099999</v>
      </c>
      <c r="J2554" s="1">
        <v>0.68830626512100002</v>
      </c>
      <c r="K2554" s="1">
        <v>7423.7376635600003</v>
      </c>
      <c r="L2554" s="1">
        <v>1580.9534527000001</v>
      </c>
      <c r="M2554" s="1" t="s">
        <v>198</v>
      </c>
      <c r="N2554" s="1" t="b">
        <v>1</v>
      </c>
    </row>
    <row r="2555" spans="1:14" ht="19" customHeight="1" x14ac:dyDescent="0.3">
      <c r="A2555">
        <v>2550</v>
      </c>
      <c r="B2555" s="1">
        <v>10</v>
      </c>
      <c r="C2555" s="1">
        <v>50</v>
      </c>
      <c r="D2555" s="1">
        <v>2.5000000000000001E-2</v>
      </c>
      <c r="E2555" s="1">
        <v>0.06</v>
      </c>
      <c r="F2555" s="1">
        <v>5</v>
      </c>
      <c r="G2555" s="1">
        <v>1</v>
      </c>
      <c r="H2555" s="1">
        <v>1.3836249644600001</v>
      </c>
      <c r="I2555" s="1">
        <v>1.3863588810900001</v>
      </c>
      <c r="J2555" s="1">
        <v>0.56441113740000004</v>
      </c>
      <c r="K2555" s="1">
        <v>6362.30664523</v>
      </c>
      <c r="L2555" s="1">
        <v>1296.38183121</v>
      </c>
      <c r="M2555" s="1" t="s">
        <v>198</v>
      </c>
      <c r="N2555" s="1" t="b">
        <v>1</v>
      </c>
    </row>
    <row r="2556" spans="1:14" ht="19" customHeight="1" x14ac:dyDescent="0.3">
      <c r="A2556">
        <v>2551</v>
      </c>
      <c r="B2556" s="1">
        <v>10</v>
      </c>
      <c r="C2556" s="1">
        <v>50</v>
      </c>
      <c r="D2556" s="1">
        <v>2.5000000000000001E-2</v>
      </c>
      <c r="E2556" s="1">
        <v>8.5000000000000006E-2</v>
      </c>
      <c r="F2556" s="1">
        <v>-5</v>
      </c>
      <c r="G2556" s="1">
        <v>0</v>
      </c>
      <c r="H2556" s="1">
        <v>1.2797934555099999</v>
      </c>
      <c r="I2556" s="1">
        <v>1.6927312447</v>
      </c>
      <c r="J2556" s="1">
        <v>0.67901427275500004</v>
      </c>
      <c r="K2556" s="1">
        <v>6827.51767079</v>
      </c>
      <c r="L2556" s="1">
        <v>1559.61090773</v>
      </c>
      <c r="M2556" s="1" t="s">
        <v>198</v>
      </c>
      <c r="N2556" s="1" t="b">
        <v>1</v>
      </c>
    </row>
    <row r="2557" spans="1:14" ht="19" customHeight="1" x14ac:dyDescent="0.3">
      <c r="A2557">
        <v>2552</v>
      </c>
      <c r="B2557" s="1">
        <v>10</v>
      </c>
      <c r="C2557" s="1">
        <v>50</v>
      </c>
      <c r="D2557" s="1">
        <v>2.5000000000000001E-2</v>
      </c>
      <c r="E2557" s="1">
        <v>8.5000000000000006E-2</v>
      </c>
      <c r="F2557" s="1">
        <v>-5</v>
      </c>
      <c r="G2557" s="1">
        <v>1</v>
      </c>
      <c r="H2557" s="1">
        <v>1.2797934555099999</v>
      </c>
      <c r="I2557" s="1">
        <v>1.26954843352</v>
      </c>
      <c r="J2557" s="1">
        <v>0.55679170365899999</v>
      </c>
      <c r="K2557" s="1">
        <v>5855.5196513800001</v>
      </c>
      <c r="L2557" s="1">
        <v>1278.88094434</v>
      </c>
      <c r="M2557" s="1" t="s">
        <v>198</v>
      </c>
      <c r="N2557" s="1" t="b">
        <v>1</v>
      </c>
    </row>
    <row r="2558" spans="1:14" ht="19" customHeight="1" x14ac:dyDescent="0.3">
      <c r="A2558">
        <v>2553</v>
      </c>
      <c r="B2558" s="1">
        <v>10</v>
      </c>
      <c r="C2558" s="1">
        <v>50</v>
      </c>
      <c r="D2558" s="1">
        <v>2.5000000000000001E-2</v>
      </c>
      <c r="E2558" s="1">
        <v>8.5000000000000006E-2</v>
      </c>
      <c r="F2558" s="1">
        <v>0</v>
      </c>
      <c r="G2558" s="1">
        <v>0</v>
      </c>
      <c r="H2558" s="1">
        <v>1.3089151993100001</v>
      </c>
      <c r="I2558" s="1">
        <v>1.731249402</v>
      </c>
      <c r="J2558" s="1">
        <v>0.67151427275499997</v>
      </c>
      <c r="K2558" s="1">
        <v>6982.8780686500004</v>
      </c>
      <c r="L2558" s="1">
        <v>1542.38434523</v>
      </c>
      <c r="M2558" s="1" t="s">
        <v>198</v>
      </c>
      <c r="N2558" s="1" t="b">
        <v>1</v>
      </c>
    </row>
    <row r="2559" spans="1:14" ht="19" customHeight="1" x14ac:dyDescent="0.3">
      <c r="A2559">
        <v>2554</v>
      </c>
      <c r="B2559" s="1">
        <v>10</v>
      </c>
      <c r="C2559" s="1">
        <v>50</v>
      </c>
      <c r="D2559" s="1">
        <v>2.5000000000000001E-2</v>
      </c>
      <c r="E2559" s="1">
        <v>8.5000000000000006E-2</v>
      </c>
      <c r="F2559" s="1">
        <v>0</v>
      </c>
      <c r="G2559" s="1">
        <v>1</v>
      </c>
      <c r="H2559" s="1">
        <v>1.3089151993100001</v>
      </c>
      <c r="I2559" s="1">
        <v>1.2984370515000001</v>
      </c>
      <c r="J2559" s="1">
        <v>0.550641703659</v>
      </c>
      <c r="K2559" s="1">
        <v>5988.7622011000003</v>
      </c>
      <c r="L2559" s="1">
        <v>1264.75516309</v>
      </c>
      <c r="M2559" s="1" t="s">
        <v>198</v>
      </c>
      <c r="N2559" s="1" t="b">
        <v>1</v>
      </c>
    </row>
    <row r="2560" spans="1:14" ht="19" customHeight="1" x14ac:dyDescent="0.3">
      <c r="A2560">
        <v>2555</v>
      </c>
      <c r="B2560" s="1">
        <v>10</v>
      </c>
      <c r="C2560" s="1">
        <v>50</v>
      </c>
      <c r="D2560" s="1">
        <v>2.5000000000000001E-2</v>
      </c>
      <c r="E2560" s="1">
        <v>8.5000000000000006E-2</v>
      </c>
      <c r="F2560" s="1">
        <v>5</v>
      </c>
      <c r="G2560" s="1">
        <v>0</v>
      </c>
      <c r="H2560" s="1">
        <v>1.2797934555099999</v>
      </c>
      <c r="I2560" s="1">
        <v>1.6927312447</v>
      </c>
      <c r="J2560" s="1">
        <v>0.67901427275500004</v>
      </c>
      <c r="K2560" s="1">
        <v>6827.51767079</v>
      </c>
      <c r="L2560" s="1">
        <v>1559.61090773</v>
      </c>
      <c r="M2560" s="1" t="s">
        <v>198</v>
      </c>
      <c r="N2560" s="1" t="b">
        <v>1</v>
      </c>
    </row>
    <row r="2561" spans="1:14" ht="19" customHeight="1" x14ac:dyDescent="0.3">
      <c r="A2561">
        <v>2556</v>
      </c>
      <c r="B2561" s="1">
        <v>10</v>
      </c>
      <c r="C2561" s="1">
        <v>50</v>
      </c>
      <c r="D2561" s="1">
        <v>2.5000000000000001E-2</v>
      </c>
      <c r="E2561" s="1">
        <v>8.5000000000000006E-2</v>
      </c>
      <c r="F2561" s="1">
        <v>5</v>
      </c>
      <c r="G2561" s="1">
        <v>1</v>
      </c>
      <c r="H2561" s="1">
        <v>1.2797934555099999</v>
      </c>
      <c r="I2561" s="1">
        <v>1.26954843352</v>
      </c>
      <c r="J2561" s="1">
        <v>0.55679170365899999</v>
      </c>
      <c r="K2561" s="1">
        <v>5855.5196513800001</v>
      </c>
      <c r="L2561" s="1">
        <v>1278.88094434</v>
      </c>
      <c r="M2561" s="1" t="s">
        <v>198</v>
      </c>
      <c r="N2561" s="1" t="b">
        <v>1</v>
      </c>
    </row>
    <row r="2562" spans="1:14" ht="19" customHeight="1" x14ac:dyDescent="0.3">
      <c r="A2562">
        <v>2557</v>
      </c>
      <c r="B2562" s="1">
        <v>10</v>
      </c>
      <c r="C2562" s="1">
        <v>50</v>
      </c>
      <c r="D2562" s="1">
        <v>0.04</v>
      </c>
      <c r="E2562" s="1">
        <v>0.04</v>
      </c>
      <c r="F2562" s="1">
        <v>-5</v>
      </c>
      <c r="G2562" s="1">
        <v>0</v>
      </c>
      <c r="H2562" s="1">
        <v>1.3489987642700001</v>
      </c>
      <c r="I2562" s="1">
        <v>1.79653920784</v>
      </c>
      <c r="J2562" s="1">
        <v>0.68520752957300002</v>
      </c>
      <c r="K2562" s="1">
        <v>7224.9075296999999</v>
      </c>
      <c r="L2562" s="1">
        <v>1573.8360444899999</v>
      </c>
      <c r="M2562" s="1" t="s">
        <v>198</v>
      </c>
      <c r="N2562" s="1" t="b">
        <v>1</v>
      </c>
    </row>
    <row r="2563" spans="1:14" ht="19" customHeight="1" x14ac:dyDescent="0.3">
      <c r="A2563">
        <v>2558</v>
      </c>
      <c r="B2563" s="1">
        <v>10</v>
      </c>
      <c r="C2563" s="1">
        <v>50</v>
      </c>
      <c r="D2563" s="1">
        <v>0.04</v>
      </c>
      <c r="E2563" s="1">
        <v>0.04</v>
      </c>
      <c r="F2563" s="1">
        <v>-5</v>
      </c>
      <c r="G2563" s="1">
        <v>1</v>
      </c>
      <c r="H2563" s="1">
        <v>1.3489987642700001</v>
      </c>
      <c r="I2563" s="1">
        <v>1.3474044058800001</v>
      </c>
      <c r="J2563" s="1">
        <v>0.56187017424999997</v>
      </c>
      <c r="K2563" s="1">
        <v>6193.3010314499998</v>
      </c>
      <c r="L2563" s="1">
        <v>1290.54555648</v>
      </c>
      <c r="M2563" s="1" t="s">
        <v>198</v>
      </c>
      <c r="N2563" s="1" t="b">
        <v>1</v>
      </c>
    </row>
    <row r="2564" spans="1:14" ht="19" customHeight="1" x14ac:dyDescent="0.3">
      <c r="A2564">
        <v>2559</v>
      </c>
      <c r="B2564" s="1">
        <v>10</v>
      </c>
      <c r="C2564" s="1">
        <v>50</v>
      </c>
      <c r="D2564" s="1">
        <v>0.04</v>
      </c>
      <c r="E2564" s="1">
        <v>0.04</v>
      </c>
      <c r="F2564" s="1">
        <v>0</v>
      </c>
      <c r="G2564" s="1">
        <v>0</v>
      </c>
      <c r="H2564" s="1">
        <v>1.37969527724</v>
      </c>
      <c r="I2564" s="1">
        <v>1.83741951889</v>
      </c>
      <c r="J2564" s="1">
        <v>0.67770752957299996</v>
      </c>
      <c r="K2564" s="1">
        <v>7389.3105473699998</v>
      </c>
      <c r="L2564" s="1">
        <v>1556.6094819899999</v>
      </c>
      <c r="M2564" s="1" t="s">
        <v>198</v>
      </c>
      <c r="N2564" s="1" t="b">
        <v>1</v>
      </c>
    </row>
    <row r="2565" spans="1:14" ht="19" customHeight="1" x14ac:dyDescent="0.3">
      <c r="A2565">
        <v>2560</v>
      </c>
      <c r="B2565" s="1">
        <v>10</v>
      </c>
      <c r="C2565" s="1">
        <v>50</v>
      </c>
      <c r="D2565" s="1">
        <v>0.04</v>
      </c>
      <c r="E2565" s="1">
        <v>0.04</v>
      </c>
      <c r="F2565" s="1">
        <v>0</v>
      </c>
      <c r="G2565" s="1">
        <v>1</v>
      </c>
      <c r="H2565" s="1">
        <v>1.37969527724</v>
      </c>
      <c r="I2565" s="1">
        <v>1.37806463917</v>
      </c>
      <c r="J2565" s="1">
        <v>0.55572017424999998</v>
      </c>
      <c r="K2565" s="1">
        <v>6334.2298080099999</v>
      </c>
      <c r="L2565" s="1">
        <v>1276.4197752299999</v>
      </c>
      <c r="M2565" s="1" t="s">
        <v>198</v>
      </c>
      <c r="N2565" s="1" t="b">
        <v>1</v>
      </c>
    </row>
    <row r="2566" spans="1:14" ht="19" customHeight="1" x14ac:dyDescent="0.3">
      <c r="A2566">
        <v>2561</v>
      </c>
      <c r="B2566" s="1">
        <v>10</v>
      </c>
      <c r="C2566" s="1">
        <v>50</v>
      </c>
      <c r="D2566" s="1">
        <v>0.04</v>
      </c>
      <c r="E2566" s="1">
        <v>0.04</v>
      </c>
      <c r="F2566" s="1">
        <v>5</v>
      </c>
      <c r="G2566" s="1">
        <v>0</v>
      </c>
      <c r="H2566" s="1">
        <v>1.3489987642700001</v>
      </c>
      <c r="I2566" s="1">
        <v>1.79653920784</v>
      </c>
      <c r="J2566" s="1">
        <v>0.68520752957300002</v>
      </c>
      <c r="K2566" s="1">
        <v>7224.9075296999999</v>
      </c>
      <c r="L2566" s="1">
        <v>1573.8360444899999</v>
      </c>
      <c r="M2566" s="1" t="s">
        <v>198</v>
      </c>
      <c r="N2566" s="1" t="b">
        <v>1</v>
      </c>
    </row>
    <row r="2567" spans="1:14" ht="19" customHeight="1" x14ac:dyDescent="0.3">
      <c r="A2567">
        <v>2562</v>
      </c>
      <c r="B2567" s="1">
        <v>10</v>
      </c>
      <c r="C2567" s="1">
        <v>50</v>
      </c>
      <c r="D2567" s="1">
        <v>0.04</v>
      </c>
      <c r="E2567" s="1">
        <v>0.04</v>
      </c>
      <c r="F2567" s="1">
        <v>5</v>
      </c>
      <c r="G2567" s="1">
        <v>1</v>
      </c>
      <c r="H2567" s="1">
        <v>1.3489987642700001</v>
      </c>
      <c r="I2567" s="1">
        <v>1.3474044058800001</v>
      </c>
      <c r="J2567" s="1">
        <v>0.56187017424999997</v>
      </c>
      <c r="K2567" s="1">
        <v>6193.3010314499998</v>
      </c>
      <c r="L2567" s="1">
        <v>1290.54555648</v>
      </c>
      <c r="M2567" s="1" t="s">
        <v>198</v>
      </c>
      <c r="N2567" s="1" t="b">
        <v>1</v>
      </c>
    </row>
    <row r="2568" spans="1:14" ht="19" customHeight="1" x14ac:dyDescent="0.3">
      <c r="A2568">
        <v>2563</v>
      </c>
      <c r="B2568" s="1">
        <v>10</v>
      </c>
      <c r="C2568" s="1">
        <v>50</v>
      </c>
      <c r="D2568" s="1">
        <v>0.04</v>
      </c>
      <c r="E2568" s="1">
        <v>0.06</v>
      </c>
      <c r="F2568" s="1">
        <v>-5</v>
      </c>
      <c r="G2568" s="1">
        <v>0</v>
      </c>
      <c r="H2568" s="1">
        <v>1.3901945798299999</v>
      </c>
      <c r="I2568" s="1">
        <v>1.8583329311800001</v>
      </c>
      <c r="J2568" s="1">
        <v>0.68889418700100002</v>
      </c>
      <c r="K2568" s="1">
        <v>7461.4616268399996</v>
      </c>
      <c r="L2568" s="1">
        <v>1582.30383577</v>
      </c>
      <c r="M2568" s="1" t="s">
        <v>198</v>
      </c>
      <c r="N2568" s="1" t="b">
        <v>1</v>
      </c>
    </row>
    <row r="2569" spans="1:14" ht="19" customHeight="1" x14ac:dyDescent="0.3">
      <c r="A2569">
        <v>2564</v>
      </c>
      <c r="B2569" s="1">
        <v>10</v>
      </c>
      <c r="C2569" s="1">
        <v>50</v>
      </c>
      <c r="D2569" s="1">
        <v>0.04</v>
      </c>
      <c r="E2569" s="1">
        <v>0.06</v>
      </c>
      <c r="F2569" s="1">
        <v>-5</v>
      </c>
      <c r="G2569" s="1">
        <v>1</v>
      </c>
      <c r="H2569" s="1">
        <v>1.3901945798299999</v>
      </c>
      <c r="I2569" s="1">
        <v>1.39374969838</v>
      </c>
      <c r="J2569" s="1">
        <v>0.56489323334099995</v>
      </c>
      <c r="K2569" s="1">
        <v>6394.3720140100004</v>
      </c>
      <c r="L2569" s="1">
        <v>1297.4891453299999</v>
      </c>
      <c r="M2569" s="1" t="s">
        <v>198</v>
      </c>
      <c r="N2569" s="1" t="b">
        <v>1</v>
      </c>
    </row>
    <row r="2570" spans="1:14" ht="19" customHeight="1" x14ac:dyDescent="0.3">
      <c r="A2570">
        <v>2565</v>
      </c>
      <c r="B2570" s="1">
        <v>10</v>
      </c>
      <c r="C2570" s="1">
        <v>50</v>
      </c>
      <c r="D2570" s="1">
        <v>0.04</v>
      </c>
      <c r="E2570" s="1">
        <v>0.06</v>
      </c>
      <c r="F2570" s="1">
        <v>0</v>
      </c>
      <c r="G2570" s="1">
        <v>0</v>
      </c>
      <c r="H2570" s="1">
        <v>1.4218285049899999</v>
      </c>
      <c r="I2570" s="1">
        <v>1.9006193605099999</v>
      </c>
      <c r="J2570" s="1">
        <v>0.68139418700099996</v>
      </c>
      <c r="K2570" s="1">
        <v>7631.2474410699997</v>
      </c>
      <c r="L2570" s="1">
        <v>1565.07727327</v>
      </c>
      <c r="M2570" s="1" t="s">
        <v>198</v>
      </c>
      <c r="N2570" s="1" t="b">
        <v>1</v>
      </c>
    </row>
    <row r="2571" spans="1:14" ht="19" customHeight="1" x14ac:dyDescent="0.3">
      <c r="A2571">
        <v>2566</v>
      </c>
      <c r="B2571" s="1">
        <v>10</v>
      </c>
      <c r="C2571" s="1">
        <v>50</v>
      </c>
      <c r="D2571" s="1">
        <v>0.04</v>
      </c>
      <c r="E2571" s="1">
        <v>0.06</v>
      </c>
      <c r="F2571" s="1">
        <v>0</v>
      </c>
      <c r="G2571" s="1">
        <v>1</v>
      </c>
      <c r="H2571" s="1">
        <v>1.4218285049899999</v>
      </c>
      <c r="I2571" s="1">
        <v>1.42546452039</v>
      </c>
      <c r="J2571" s="1">
        <v>0.55874323334099996</v>
      </c>
      <c r="K2571" s="1">
        <v>6539.8761676499998</v>
      </c>
      <c r="L2571" s="1">
        <v>1283.3633640800001</v>
      </c>
      <c r="M2571" s="1" t="s">
        <v>198</v>
      </c>
      <c r="N2571" s="1" t="b">
        <v>1</v>
      </c>
    </row>
    <row r="2572" spans="1:14" ht="19" customHeight="1" x14ac:dyDescent="0.3">
      <c r="A2572">
        <v>2567</v>
      </c>
      <c r="B2572" s="1">
        <v>10</v>
      </c>
      <c r="C2572" s="1">
        <v>50</v>
      </c>
      <c r="D2572" s="1">
        <v>0.04</v>
      </c>
      <c r="E2572" s="1">
        <v>0.06</v>
      </c>
      <c r="F2572" s="1">
        <v>5</v>
      </c>
      <c r="G2572" s="1">
        <v>0</v>
      </c>
      <c r="H2572" s="1">
        <v>1.3901945798299999</v>
      </c>
      <c r="I2572" s="1">
        <v>1.8583329311800001</v>
      </c>
      <c r="J2572" s="1">
        <v>0.68889418700100002</v>
      </c>
      <c r="K2572" s="1">
        <v>7461.4616268399996</v>
      </c>
      <c r="L2572" s="1">
        <v>1582.30383577</v>
      </c>
      <c r="M2572" s="1" t="s">
        <v>198</v>
      </c>
      <c r="N2572" s="1" t="b">
        <v>1</v>
      </c>
    </row>
    <row r="2573" spans="1:14" ht="19" customHeight="1" x14ac:dyDescent="0.3">
      <c r="A2573">
        <v>2568</v>
      </c>
      <c r="B2573" s="1">
        <v>10</v>
      </c>
      <c r="C2573" s="1">
        <v>50</v>
      </c>
      <c r="D2573" s="1">
        <v>0.04</v>
      </c>
      <c r="E2573" s="1">
        <v>0.06</v>
      </c>
      <c r="F2573" s="1">
        <v>5</v>
      </c>
      <c r="G2573" s="1">
        <v>1</v>
      </c>
      <c r="H2573" s="1">
        <v>1.3901945798299999</v>
      </c>
      <c r="I2573" s="1">
        <v>1.39374969838</v>
      </c>
      <c r="J2573" s="1">
        <v>0.56489323334099995</v>
      </c>
      <c r="K2573" s="1">
        <v>6394.3720140100004</v>
      </c>
      <c r="L2573" s="1">
        <v>1297.4891453299999</v>
      </c>
      <c r="M2573" s="1" t="s">
        <v>198</v>
      </c>
      <c r="N2573" s="1" t="b">
        <v>1</v>
      </c>
    </row>
    <row r="2574" spans="1:14" ht="19" customHeight="1" x14ac:dyDescent="0.3">
      <c r="A2574">
        <v>2569</v>
      </c>
      <c r="B2574" s="1">
        <v>10</v>
      </c>
      <c r="C2574" s="1">
        <v>50</v>
      </c>
      <c r="D2574" s="1">
        <v>0.04</v>
      </c>
      <c r="E2574" s="1">
        <v>8.5000000000000006E-2</v>
      </c>
      <c r="F2574" s="1">
        <v>-5</v>
      </c>
      <c r="G2574" s="1">
        <v>0</v>
      </c>
      <c r="H2574" s="1">
        <v>1.2848782618300001</v>
      </c>
      <c r="I2574" s="1">
        <v>1.7003584541800001</v>
      </c>
      <c r="J2574" s="1">
        <v>0.67946931748999995</v>
      </c>
      <c r="K2574" s="1">
        <v>6856.7155820999997</v>
      </c>
      <c r="L2574" s="1">
        <v>1560.6560886100001</v>
      </c>
      <c r="M2574" s="1" t="s">
        <v>198</v>
      </c>
      <c r="N2574" s="1" t="b">
        <v>1</v>
      </c>
    </row>
    <row r="2575" spans="1:14" ht="19" customHeight="1" x14ac:dyDescent="0.3">
      <c r="A2575">
        <v>2570</v>
      </c>
      <c r="B2575" s="1">
        <v>10</v>
      </c>
      <c r="C2575" s="1">
        <v>50</v>
      </c>
      <c r="D2575" s="1">
        <v>0.04</v>
      </c>
      <c r="E2575" s="1">
        <v>8.5000000000000006E-2</v>
      </c>
      <c r="F2575" s="1">
        <v>-5</v>
      </c>
      <c r="G2575" s="1">
        <v>1</v>
      </c>
      <c r="H2575" s="1">
        <v>1.2848782618300001</v>
      </c>
      <c r="I2575" s="1">
        <v>1.2752688406399999</v>
      </c>
      <c r="J2575" s="1">
        <v>0.55716484034199998</v>
      </c>
      <c r="K2575" s="1">
        <v>5880.3378759899997</v>
      </c>
      <c r="L2575" s="1">
        <v>1279.7379926599999</v>
      </c>
      <c r="M2575" s="1" t="s">
        <v>198</v>
      </c>
      <c r="N2575" s="1" t="b">
        <v>1</v>
      </c>
    </row>
    <row r="2576" spans="1:14" ht="19" customHeight="1" x14ac:dyDescent="0.3">
      <c r="A2576">
        <v>2571</v>
      </c>
      <c r="B2576" s="1">
        <v>10</v>
      </c>
      <c r="C2576" s="1">
        <v>50</v>
      </c>
      <c r="D2576" s="1">
        <v>0.04</v>
      </c>
      <c r="E2576" s="1">
        <v>8.5000000000000006E-2</v>
      </c>
      <c r="F2576" s="1">
        <v>0</v>
      </c>
      <c r="G2576" s="1">
        <v>0</v>
      </c>
      <c r="H2576" s="1">
        <v>1.3141157105800001</v>
      </c>
      <c r="I2576" s="1">
        <v>1.7390501689</v>
      </c>
      <c r="J2576" s="1">
        <v>0.67196931749</v>
      </c>
      <c r="K2576" s="1">
        <v>7012.7403794299998</v>
      </c>
      <c r="L2576" s="1">
        <v>1543.4295261100001</v>
      </c>
      <c r="M2576" s="1" t="s">
        <v>198</v>
      </c>
      <c r="N2576" s="1" t="b">
        <v>1</v>
      </c>
    </row>
    <row r="2577" spans="1:14" ht="19" customHeight="1" x14ac:dyDescent="0.3">
      <c r="A2577">
        <v>2572</v>
      </c>
      <c r="B2577" s="1">
        <v>10</v>
      </c>
      <c r="C2577" s="1">
        <v>50</v>
      </c>
      <c r="D2577" s="1">
        <v>0.04</v>
      </c>
      <c r="E2577" s="1">
        <v>8.5000000000000006E-2</v>
      </c>
      <c r="F2577" s="1">
        <v>0</v>
      </c>
      <c r="G2577" s="1">
        <v>1</v>
      </c>
      <c r="H2577" s="1">
        <v>1.3141157105800001</v>
      </c>
      <c r="I2577" s="1">
        <v>1.3042876266800001</v>
      </c>
      <c r="J2577" s="1">
        <v>0.55101484034199999</v>
      </c>
      <c r="K2577" s="1">
        <v>6014.1451652599999</v>
      </c>
      <c r="L2577" s="1">
        <v>1265.6122114100001</v>
      </c>
      <c r="M2577" s="1" t="s">
        <v>198</v>
      </c>
      <c r="N2577" s="1" t="b">
        <v>1</v>
      </c>
    </row>
    <row r="2578" spans="1:14" ht="19" customHeight="1" x14ac:dyDescent="0.3">
      <c r="A2578">
        <v>2573</v>
      </c>
      <c r="B2578" s="1">
        <v>10</v>
      </c>
      <c r="C2578" s="1">
        <v>50</v>
      </c>
      <c r="D2578" s="1">
        <v>0.04</v>
      </c>
      <c r="E2578" s="1">
        <v>8.5000000000000006E-2</v>
      </c>
      <c r="F2578" s="1">
        <v>5</v>
      </c>
      <c r="G2578" s="1">
        <v>0</v>
      </c>
      <c r="H2578" s="1">
        <v>1.2848782618300001</v>
      </c>
      <c r="I2578" s="1">
        <v>1.7003584541800001</v>
      </c>
      <c r="J2578" s="1">
        <v>0.67946931748999995</v>
      </c>
      <c r="K2578" s="1">
        <v>6856.7155820999997</v>
      </c>
      <c r="L2578" s="1">
        <v>1560.6560886100001</v>
      </c>
      <c r="M2578" s="1" t="s">
        <v>198</v>
      </c>
      <c r="N2578" s="1" t="b">
        <v>1</v>
      </c>
    </row>
    <row r="2579" spans="1:14" ht="19" customHeight="1" x14ac:dyDescent="0.3">
      <c r="A2579">
        <v>2574</v>
      </c>
      <c r="B2579" s="1">
        <v>10</v>
      </c>
      <c r="C2579" s="1">
        <v>50</v>
      </c>
      <c r="D2579" s="1">
        <v>0.04</v>
      </c>
      <c r="E2579" s="1">
        <v>8.5000000000000006E-2</v>
      </c>
      <c r="F2579" s="1">
        <v>5</v>
      </c>
      <c r="G2579" s="1">
        <v>1</v>
      </c>
      <c r="H2579" s="1">
        <v>1.2848782618300001</v>
      </c>
      <c r="I2579" s="1">
        <v>1.2752688406399999</v>
      </c>
      <c r="J2579" s="1">
        <v>0.55716484034199998</v>
      </c>
      <c r="K2579" s="1">
        <v>5880.3378759899997</v>
      </c>
      <c r="L2579" s="1">
        <v>1279.7379926599999</v>
      </c>
      <c r="M2579" s="1" t="s">
        <v>198</v>
      </c>
      <c r="N2579" s="1" t="b">
        <v>1</v>
      </c>
    </row>
    <row r="2580" spans="1:14" ht="19" customHeight="1" x14ac:dyDescent="0.3">
      <c r="A2580">
        <v>2575</v>
      </c>
      <c r="B2580" s="1">
        <v>10</v>
      </c>
      <c r="C2580" s="1">
        <v>50</v>
      </c>
      <c r="D2580" s="1">
        <v>5.5E-2</v>
      </c>
      <c r="E2580" s="1">
        <v>0.04</v>
      </c>
      <c r="F2580" s="1">
        <v>-5</v>
      </c>
      <c r="G2580" s="1">
        <v>0</v>
      </c>
      <c r="H2580" s="1">
        <v>1.2091136622100001</v>
      </c>
      <c r="I2580" s="1">
        <v>1.5867115547499999</v>
      </c>
      <c r="J2580" s="1">
        <v>0.672689062743</v>
      </c>
      <c r="K2580" s="1">
        <v>6421.6610451899996</v>
      </c>
      <c r="L2580" s="1">
        <v>1545.0826909899999</v>
      </c>
      <c r="M2580" s="1" t="s">
        <v>198</v>
      </c>
      <c r="N2580" s="1" t="b">
        <v>1</v>
      </c>
    </row>
    <row r="2581" spans="1:14" ht="19" customHeight="1" x14ac:dyDescent="0.3">
      <c r="A2581">
        <v>2576</v>
      </c>
      <c r="B2581" s="1">
        <v>10</v>
      </c>
      <c r="C2581" s="1">
        <v>50</v>
      </c>
      <c r="D2581" s="1">
        <v>5.5E-2</v>
      </c>
      <c r="E2581" s="1">
        <v>0.04</v>
      </c>
      <c r="F2581" s="1">
        <v>-5</v>
      </c>
      <c r="G2581" s="1">
        <v>1</v>
      </c>
      <c r="H2581" s="1">
        <v>1.2091136622100001</v>
      </c>
      <c r="I2581" s="1">
        <v>1.1900336660599999</v>
      </c>
      <c r="J2581" s="1">
        <v>0.55160503144999995</v>
      </c>
      <c r="K2581" s="1">
        <v>5510.5415196200001</v>
      </c>
      <c r="L2581" s="1">
        <v>1266.96780661</v>
      </c>
      <c r="M2581" s="1" t="s">
        <v>198</v>
      </c>
      <c r="N2581" s="1" t="b">
        <v>1</v>
      </c>
    </row>
    <row r="2582" spans="1:14" ht="19" customHeight="1" x14ac:dyDescent="0.3">
      <c r="A2582">
        <v>2577</v>
      </c>
      <c r="B2582" s="1">
        <v>10</v>
      </c>
      <c r="C2582" s="1">
        <v>50</v>
      </c>
      <c r="D2582" s="1">
        <v>5.5E-2</v>
      </c>
      <c r="E2582" s="1">
        <v>0.04</v>
      </c>
      <c r="F2582" s="1">
        <v>0</v>
      </c>
      <c r="G2582" s="1">
        <v>0</v>
      </c>
      <c r="H2582" s="1">
        <v>1.2366270849000001</v>
      </c>
      <c r="I2582" s="1">
        <v>1.6228172303799999</v>
      </c>
      <c r="J2582" s="1">
        <v>0.66518906274300005</v>
      </c>
      <c r="K2582" s="1">
        <v>6567.7861616700002</v>
      </c>
      <c r="L2582" s="1">
        <v>1527.8561284899999</v>
      </c>
      <c r="M2582" s="1" t="s">
        <v>198</v>
      </c>
      <c r="N2582" s="1" t="b">
        <v>1</v>
      </c>
    </row>
    <row r="2583" spans="1:14" ht="19" customHeight="1" x14ac:dyDescent="0.3">
      <c r="A2583">
        <v>2578</v>
      </c>
      <c r="B2583" s="1">
        <v>10</v>
      </c>
      <c r="C2583" s="1">
        <v>50</v>
      </c>
      <c r="D2583" s="1">
        <v>5.5E-2</v>
      </c>
      <c r="E2583" s="1">
        <v>0.04</v>
      </c>
      <c r="F2583" s="1">
        <v>0</v>
      </c>
      <c r="G2583" s="1">
        <v>1</v>
      </c>
      <c r="H2583" s="1">
        <v>1.2366270849000001</v>
      </c>
      <c r="I2583" s="1">
        <v>1.2171129227899999</v>
      </c>
      <c r="J2583" s="1">
        <v>0.54545503144999996</v>
      </c>
      <c r="K2583" s="1">
        <v>5635.9340801600001</v>
      </c>
      <c r="L2583" s="1">
        <v>1252.84202536</v>
      </c>
      <c r="M2583" s="1" t="s">
        <v>198</v>
      </c>
      <c r="N2583" s="1" t="b">
        <v>1</v>
      </c>
    </row>
    <row r="2584" spans="1:14" ht="19" customHeight="1" x14ac:dyDescent="0.3">
      <c r="A2584">
        <v>2579</v>
      </c>
      <c r="B2584" s="1">
        <v>10</v>
      </c>
      <c r="C2584" s="1">
        <v>50</v>
      </c>
      <c r="D2584" s="1">
        <v>5.5E-2</v>
      </c>
      <c r="E2584" s="1">
        <v>0.04</v>
      </c>
      <c r="F2584" s="1">
        <v>5</v>
      </c>
      <c r="G2584" s="1">
        <v>0</v>
      </c>
      <c r="H2584" s="1">
        <v>1.2091136622100001</v>
      </c>
      <c r="I2584" s="1">
        <v>1.5867115547499999</v>
      </c>
      <c r="J2584" s="1">
        <v>0.672689062743</v>
      </c>
      <c r="K2584" s="1">
        <v>6421.6610451899996</v>
      </c>
      <c r="L2584" s="1">
        <v>1545.0826909899999</v>
      </c>
      <c r="M2584" s="1" t="s">
        <v>198</v>
      </c>
      <c r="N2584" s="1" t="b">
        <v>1</v>
      </c>
    </row>
    <row r="2585" spans="1:14" ht="19" customHeight="1" x14ac:dyDescent="0.3">
      <c r="A2585">
        <v>2580</v>
      </c>
      <c r="B2585" s="1">
        <v>10</v>
      </c>
      <c r="C2585" s="1">
        <v>50</v>
      </c>
      <c r="D2585" s="1">
        <v>5.5E-2</v>
      </c>
      <c r="E2585" s="1">
        <v>0.04</v>
      </c>
      <c r="F2585" s="1">
        <v>5</v>
      </c>
      <c r="G2585" s="1">
        <v>1</v>
      </c>
      <c r="H2585" s="1">
        <v>1.2091136622100001</v>
      </c>
      <c r="I2585" s="1">
        <v>1.1900336660599999</v>
      </c>
      <c r="J2585" s="1">
        <v>0.55160503144999995</v>
      </c>
      <c r="K2585" s="1">
        <v>5510.5415196200001</v>
      </c>
      <c r="L2585" s="1">
        <v>1266.96780661</v>
      </c>
      <c r="M2585" s="1" t="s">
        <v>198</v>
      </c>
      <c r="N2585" s="1" t="b">
        <v>1</v>
      </c>
    </row>
    <row r="2586" spans="1:14" ht="19" customHeight="1" x14ac:dyDescent="0.3">
      <c r="A2586">
        <v>2581</v>
      </c>
      <c r="B2586" s="1">
        <v>10</v>
      </c>
      <c r="C2586" s="1">
        <v>50</v>
      </c>
      <c r="D2586" s="1">
        <v>5.5E-2</v>
      </c>
      <c r="E2586" s="1">
        <v>0.06</v>
      </c>
      <c r="F2586" s="1">
        <v>-5</v>
      </c>
      <c r="G2586" s="1">
        <v>0</v>
      </c>
      <c r="H2586" s="1">
        <v>1.2367432619200001</v>
      </c>
      <c r="I2586" s="1">
        <v>1.6281559543099999</v>
      </c>
      <c r="J2586" s="1">
        <v>0.67516166505999997</v>
      </c>
      <c r="K2586" s="1">
        <v>6580.3153872599996</v>
      </c>
      <c r="L2586" s="1">
        <v>1550.7619494400001</v>
      </c>
      <c r="M2586" s="1" t="s">
        <v>198</v>
      </c>
      <c r="N2586" s="1" t="b">
        <v>1</v>
      </c>
    </row>
    <row r="2587" spans="1:14" ht="19" customHeight="1" x14ac:dyDescent="0.3">
      <c r="A2587">
        <v>2582</v>
      </c>
      <c r="B2587" s="1">
        <v>10</v>
      </c>
      <c r="C2587" s="1">
        <v>50</v>
      </c>
      <c r="D2587" s="1">
        <v>5.5E-2</v>
      </c>
      <c r="E2587" s="1">
        <v>0.06</v>
      </c>
      <c r="F2587" s="1">
        <v>-5</v>
      </c>
      <c r="G2587" s="1">
        <v>1</v>
      </c>
      <c r="H2587" s="1">
        <v>1.2367432619200001</v>
      </c>
      <c r="I2587" s="1">
        <v>1.2211169657300001</v>
      </c>
      <c r="J2587" s="1">
        <v>0.55363256534899996</v>
      </c>
      <c r="K2587" s="1">
        <v>5645.3977103699999</v>
      </c>
      <c r="L2587" s="1">
        <v>1271.62479854</v>
      </c>
      <c r="M2587" s="1" t="s">
        <v>198</v>
      </c>
      <c r="N2587" s="1" t="b">
        <v>1</v>
      </c>
    </row>
    <row r="2588" spans="1:14" ht="19" customHeight="1" x14ac:dyDescent="0.3">
      <c r="A2588">
        <v>2583</v>
      </c>
      <c r="B2588" s="1">
        <v>10</v>
      </c>
      <c r="C2588" s="1">
        <v>50</v>
      </c>
      <c r="D2588" s="1">
        <v>5.5E-2</v>
      </c>
      <c r="E2588" s="1">
        <v>0.06</v>
      </c>
      <c r="F2588" s="1">
        <v>0</v>
      </c>
      <c r="G2588" s="1">
        <v>0</v>
      </c>
      <c r="H2588" s="1">
        <v>1.26488539709</v>
      </c>
      <c r="I2588" s="1">
        <v>1.66520469867</v>
      </c>
      <c r="J2588" s="1">
        <v>0.66766166506000002</v>
      </c>
      <c r="K2588" s="1">
        <v>6730.05068871</v>
      </c>
      <c r="L2588" s="1">
        <v>1533.5353869400001</v>
      </c>
      <c r="M2588" s="1" t="s">
        <v>198</v>
      </c>
      <c r="N2588" s="1" t="b">
        <v>1</v>
      </c>
    </row>
    <row r="2589" spans="1:14" ht="19" customHeight="1" x14ac:dyDescent="0.3">
      <c r="A2589">
        <v>2584</v>
      </c>
      <c r="B2589" s="1">
        <v>10</v>
      </c>
      <c r="C2589" s="1">
        <v>50</v>
      </c>
      <c r="D2589" s="1">
        <v>5.5E-2</v>
      </c>
      <c r="E2589" s="1">
        <v>0.06</v>
      </c>
      <c r="F2589" s="1">
        <v>0</v>
      </c>
      <c r="G2589" s="1">
        <v>1</v>
      </c>
      <c r="H2589" s="1">
        <v>1.26488539709</v>
      </c>
      <c r="I2589" s="1">
        <v>1.2489035239999999</v>
      </c>
      <c r="J2589" s="1">
        <v>0.54748256534899997</v>
      </c>
      <c r="K2589" s="1">
        <v>5773.8589281499999</v>
      </c>
      <c r="L2589" s="1">
        <v>1257.49901729</v>
      </c>
      <c r="M2589" s="1" t="s">
        <v>198</v>
      </c>
      <c r="N2589" s="1" t="b">
        <v>1</v>
      </c>
    </row>
    <row r="2590" spans="1:14" ht="19" customHeight="1" x14ac:dyDescent="0.3">
      <c r="A2590">
        <v>2585</v>
      </c>
      <c r="B2590" s="1">
        <v>10</v>
      </c>
      <c r="C2590" s="1">
        <v>50</v>
      </c>
      <c r="D2590" s="1">
        <v>5.5E-2</v>
      </c>
      <c r="E2590" s="1">
        <v>0.06</v>
      </c>
      <c r="F2590" s="1">
        <v>5</v>
      </c>
      <c r="G2590" s="1">
        <v>0</v>
      </c>
      <c r="H2590" s="1">
        <v>1.2367432619200001</v>
      </c>
      <c r="I2590" s="1">
        <v>1.6281559543099999</v>
      </c>
      <c r="J2590" s="1">
        <v>0.67516166505999997</v>
      </c>
      <c r="K2590" s="1">
        <v>6580.3153872599996</v>
      </c>
      <c r="L2590" s="1">
        <v>1550.7619494400001</v>
      </c>
      <c r="M2590" s="1" t="s">
        <v>198</v>
      </c>
      <c r="N2590" s="1" t="b">
        <v>1</v>
      </c>
    </row>
    <row r="2591" spans="1:14" ht="19" customHeight="1" x14ac:dyDescent="0.3">
      <c r="A2591">
        <v>2586</v>
      </c>
      <c r="B2591" s="1">
        <v>10</v>
      </c>
      <c r="C2591" s="1">
        <v>50</v>
      </c>
      <c r="D2591" s="1">
        <v>5.5E-2</v>
      </c>
      <c r="E2591" s="1">
        <v>0.06</v>
      </c>
      <c r="F2591" s="1">
        <v>5</v>
      </c>
      <c r="G2591" s="1">
        <v>1</v>
      </c>
      <c r="H2591" s="1">
        <v>1.2367432619200001</v>
      </c>
      <c r="I2591" s="1">
        <v>1.2211169657300001</v>
      </c>
      <c r="J2591" s="1">
        <v>0.55363256534899996</v>
      </c>
      <c r="K2591" s="1">
        <v>5645.3977103699999</v>
      </c>
      <c r="L2591" s="1">
        <v>1271.62479854</v>
      </c>
      <c r="M2591" s="1" t="s">
        <v>198</v>
      </c>
      <c r="N2591" s="1" t="b">
        <v>1</v>
      </c>
    </row>
    <row r="2592" spans="1:14" ht="19" customHeight="1" x14ac:dyDescent="0.3">
      <c r="A2592">
        <v>2587</v>
      </c>
      <c r="B2592" s="1">
        <v>10</v>
      </c>
      <c r="C2592" s="1">
        <v>50</v>
      </c>
      <c r="D2592" s="1">
        <v>5.5E-2</v>
      </c>
      <c r="E2592" s="1">
        <v>8.5000000000000006E-2</v>
      </c>
      <c r="F2592" s="1">
        <v>-5</v>
      </c>
      <c r="G2592" s="1">
        <v>0</v>
      </c>
      <c r="H2592" s="1">
        <v>1.1661087163999999</v>
      </c>
      <c r="I2592" s="1">
        <v>1.52220413604</v>
      </c>
      <c r="J2592" s="1">
        <v>0.66884050432200004</v>
      </c>
      <c r="K2592" s="1">
        <v>6174.7185829500004</v>
      </c>
      <c r="L2592" s="1">
        <v>1536.24303336</v>
      </c>
      <c r="M2592" s="1" t="s">
        <v>198</v>
      </c>
      <c r="N2592" s="1" t="b">
        <v>1</v>
      </c>
    </row>
    <row r="2593" spans="1:14" ht="19" customHeight="1" x14ac:dyDescent="0.3">
      <c r="A2593">
        <v>2588</v>
      </c>
      <c r="B2593" s="1">
        <v>10</v>
      </c>
      <c r="C2593" s="1">
        <v>50</v>
      </c>
      <c r="D2593" s="1">
        <v>5.5E-2</v>
      </c>
      <c r="E2593" s="1">
        <v>8.5000000000000006E-2</v>
      </c>
      <c r="F2593" s="1">
        <v>-5</v>
      </c>
      <c r="G2593" s="1">
        <v>1</v>
      </c>
      <c r="H2593" s="1">
        <v>1.1661087163999999</v>
      </c>
      <c r="I2593" s="1">
        <v>1.14165310203</v>
      </c>
      <c r="J2593" s="1">
        <v>0.548449213544</v>
      </c>
      <c r="K2593" s="1">
        <v>5300.6404267099997</v>
      </c>
      <c r="L2593" s="1">
        <v>1259.71928736</v>
      </c>
      <c r="M2593" s="1" t="s">
        <v>198</v>
      </c>
      <c r="N2593" s="1" t="b">
        <v>1</v>
      </c>
    </row>
    <row r="2594" spans="1:14" ht="19" customHeight="1" x14ac:dyDescent="0.3">
      <c r="A2594">
        <v>2589</v>
      </c>
      <c r="B2594" s="1">
        <v>10</v>
      </c>
      <c r="C2594" s="1">
        <v>50</v>
      </c>
      <c r="D2594" s="1">
        <v>5.5E-2</v>
      </c>
      <c r="E2594" s="1">
        <v>8.5000000000000006E-2</v>
      </c>
      <c r="F2594" s="1">
        <v>0</v>
      </c>
      <c r="G2594" s="1">
        <v>0</v>
      </c>
      <c r="H2594" s="1">
        <v>1.1926435600800001</v>
      </c>
      <c r="I2594" s="1">
        <v>1.55684194316</v>
      </c>
      <c r="J2594" s="1">
        <v>0.66134050432199998</v>
      </c>
      <c r="K2594" s="1">
        <v>6315.2245152599999</v>
      </c>
      <c r="L2594" s="1">
        <v>1519.01647086</v>
      </c>
      <c r="M2594" s="1" t="s">
        <v>198</v>
      </c>
      <c r="N2594" s="1" t="b">
        <v>1</v>
      </c>
    </row>
    <row r="2595" spans="1:14" ht="19" customHeight="1" x14ac:dyDescent="0.3">
      <c r="A2595">
        <v>2590</v>
      </c>
      <c r="B2595" s="1">
        <v>10</v>
      </c>
      <c r="C2595" s="1">
        <v>50</v>
      </c>
      <c r="D2595" s="1">
        <v>5.5E-2</v>
      </c>
      <c r="E2595" s="1">
        <v>8.5000000000000006E-2</v>
      </c>
      <c r="F2595" s="1">
        <v>0</v>
      </c>
      <c r="G2595" s="1">
        <v>1</v>
      </c>
      <c r="H2595" s="1">
        <v>1.1926435600800001</v>
      </c>
      <c r="I2595" s="1">
        <v>1.16763145737</v>
      </c>
      <c r="J2595" s="1">
        <v>0.54229921354400001</v>
      </c>
      <c r="K2595" s="1">
        <v>5421.2566807100002</v>
      </c>
      <c r="L2595" s="1">
        <v>1245.5935061099999</v>
      </c>
      <c r="M2595" s="1" t="s">
        <v>198</v>
      </c>
      <c r="N2595" s="1" t="b">
        <v>1</v>
      </c>
    </row>
    <row r="2596" spans="1:14" ht="19" customHeight="1" x14ac:dyDescent="0.3">
      <c r="A2596">
        <v>2591</v>
      </c>
      <c r="B2596" s="1">
        <v>10</v>
      </c>
      <c r="C2596" s="1">
        <v>50</v>
      </c>
      <c r="D2596" s="1">
        <v>5.5E-2</v>
      </c>
      <c r="E2596" s="1">
        <v>8.5000000000000006E-2</v>
      </c>
      <c r="F2596" s="1">
        <v>5</v>
      </c>
      <c r="G2596" s="1">
        <v>0</v>
      </c>
      <c r="H2596" s="1">
        <v>1.1661087163999999</v>
      </c>
      <c r="I2596" s="1">
        <v>1.52220413604</v>
      </c>
      <c r="J2596" s="1">
        <v>0.66884050432200004</v>
      </c>
      <c r="K2596" s="1">
        <v>6174.7185829500004</v>
      </c>
      <c r="L2596" s="1">
        <v>1536.24303336</v>
      </c>
      <c r="M2596" s="1" t="s">
        <v>198</v>
      </c>
      <c r="N2596" s="1" t="b">
        <v>1</v>
      </c>
    </row>
    <row r="2597" spans="1:14" ht="19" customHeight="1" x14ac:dyDescent="0.3">
      <c r="A2597">
        <v>2592</v>
      </c>
      <c r="B2597" s="1">
        <v>10</v>
      </c>
      <c r="C2597" s="1">
        <v>50</v>
      </c>
      <c r="D2597" s="1">
        <v>5.5E-2</v>
      </c>
      <c r="E2597" s="1">
        <v>8.5000000000000006E-2</v>
      </c>
      <c r="F2597" s="1">
        <v>5</v>
      </c>
      <c r="G2597" s="1">
        <v>1</v>
      </c>
      <c r="H2597" s="1">
        <v>1.1661087163999999</v>
      </c>
      <c r="I2597" s="1">
        <v>1.14165310203</v>
      </c>
      <c r="J2597" s="1">
        <v>0.548449213544</v>
      </c>
      <c r="K2597" s="1">
        <v>5300.6404267099997</v>
      </c>
      <c r="L2597" s="1">
        <v>1259.71928736</v>
      </c>
      <c r="M2597" s="1" t="s">
        <v>198</v>
      </c>
      <c r="N2597" s="1" t="b">
        <v>1</v>
      </c>
    </row>
    <row r="2598" spans="1:14" ht="19" customHeight="1" x14ac:dyDescent="0.3">
      <c r="A2598">
        <v>2593</v>
      </c>
      <c r="B2598" s="1">
        <v>10</v>
      </c>
      <c r="C2598" s="1">
        <v>70</v>
      </c>
      <c r="D2598" s="1">
        <v>2.5000000000000001E-2</v>
      </c>
      <c r="E2598" s="1">
        <v>0.04</v>
      </c>
      <c r="F2598" s="1">
        <v>-5</v>
      </c>
      <c r="G2598" s="1">
        <v>0</v>
      </c>
      <c r="H2598" s="1">
        <v>1.34300995082</v>
      </c>
      <c r="I2598" s="1">
        <v>1.78755598766</v>
      </c>
      <c r="J2598" s="1">
        <v>0.68467158427599994</v>
      </c>
      <c r="K2598" s="1">
        <v>14093.4165343</v>
      </c>
      <c r="L2598" s="1">
        <v>3082.30588846</v>
      </c>
      <c r="M2598" s="1" t="s">
        <v>198</v>
      </c>
      <c r="N2598" s="1" t="b">
        <v>1</v>
      </c>
    </row>
    <row r="2599" spans="1:14" ht="19" customHeight="1" x14ac:dyDescent="0.3">
      <c r="A2599">
        <v>2594</v>
      </c>
      <c r="B2599" s="1">
        <v>10</v>
      </c>
      <c r="C2599" s="1">
        <v>70</v>
      </c>
      <c r="D2599" s="1">
        <v>2.5000000000000001E-2</v>
      </c>
      <c r="E2599" s="1">
        <v>0.04</v>
      </c>
      <c r="F2599" s="1">
        <v>-5</v>
      </c>
      <c r="G2599" s="1">
        <v>1</v>
      </c>
      <c r="H2599" s="1">
        <v>1.34300995082</v>
      </c>
      <c r="I2599" s="1">
        <v>1.34066699075</v>
      </c>
      <c r="J2599" s="1">
        <v>0.56143069910700005</v>
      </c>
      <c r="K2599" s="1">
        <v>12081.578131300001</v>
      </c>
      <c r="L2599" s="1">
        <v>2527.4908285400002</v>
      </c>
      <c r="M2599" s="1" t="s">
        <v>198</v>
      </c>
      <c r="N2599" s="1" t="b">
        <v>1</v>
      </c>
    </row>
    <row r="2600" spans="1:14" ht="19" customHeight="1" x14ac:dyDescent="0.3">
      <c r="A2600">
        <v>2595</v>
      </c>
      <c r="B2600" s="1">
        <v>10</v>
      </c>
      <c r="C2600" s="1">
        <v>70</v>
      </c>
      <c r="D2600" s="1">
        <v>2.5000000000000001E-2</v>
      </c>
      <c r="E2600" s="1">
        <v>0.04</v>
      </c>
      <c r="F2600" s="1">
        <v>0</v>
      </c>
      <c r="G2600" s="1">
        <v>0</v>
      </c>
      <c r="H2600" s="1">
        <v>1.37357018813</v>
      </c>
      <c r="I2600" s="1">
        <v>1.8282318852299999</v>
      </c>
      <c r="J2600" s="1">
        <v>0.67717158427599999</v>
      </c>
      <c r="K2600" s="1">
        <v>14414.112709000001</v>
      </c>
      <c r="L2600" s="1">
        <v>3048.5418259600001</v>
      </c>
      <c r="M2600" s="1" t="s">
        <v>198</v>
      </c>
      <c r="N2600" s="1" t="b">
        <v>1</v>
      </c>
    </row>
    <row r="2601" spans="1:14" ht="19" customHeight="1" x14ac:dyDescent="0.3">
      <c r="A2601">
        <v>2596</v>
      </c>
      <c r="B2601" s="1">
        <v>10</v>
      </c>
      <c r="C2601" s="1">
        <v>70</v>
      </c>
      <c r="D2601" s="1">
        <v>2.5000000000000001E-2</v>
      </c>
      <c r="E2601" s="1">
        <v>0.04</v>
      </c>
      <c r="F2601" s="1">
        <v>0</v>
      </c>
      <c r="G2601" s="1">
        <v>1</v>
      </c>
      <c r="H2601" s="1">
        <v>1.37357018813</v>
      </c>
      <c r="I2601" s="1">
        <v>1.3711739139200001</v>
      </c>
      <c r="J2601" s="1">
        <v>0.55528069910699995</v>
      </c>
      <c r="K2601" s="1">
        <v>12356.494854500001</v>
      </c>
      <c r="L2601" s="1">
        <v>2499.8042972899998</v>
      </c>
      <c r="M2601" s="1" t="s">
        <v>198</v>
      </c>
      <c r="N2601" s="1" t="b">
        <v>1</v>
      </c>
    </row>
    <row r="2602" spans="1:14" ht="19" customHeight="1" x14ac:dyDescent="0.3">
      <c r="A2602">
        <v>2597</v>
      </c>
      <c r="B2602" s="1">
        <v>10</v>
      </c>
      <c r="C2602" s="1">
        <v>70</v>
      </c>
      <c r="D2602" s="1">
        <v>2.5000000000000001E-2</v>
      </c>
      <c r="E2602" s="1">
        <v>0.04</v>
      </c>
      <c r="F2602" s="1">
        <v>5</v>
      </c>
      <c r="G2602" s="1">
        <v>0</v>
      </c>
      <c r="H2602" s="1">
        <v>1.34300995082</v>
      </c>
      <c r="I2602" s="1">
        <v>1.78755598766</v>
      </c>
      <c r="J2602" s="1">
        <v>0.68467158427599994</v>
      </c>
      <c r="K2602" s="1">
        <v>14093.4165343</v>
      </c>
      <c r="L2602" s="1">
        <v>3082.30588846</v>
      </c>
      <c r="M2602" s="1" t="s">
        <v>198</v>
      </c>
      <c r="N2602" s="1" t="b">
        <v>1</v>
      </c>
    </row>
    <row r="2603" spans="1:14" ht="19" customHeight="1" x14ac:dyDescent="0.3">
      <c r="A2603">
        <v>2598</v>
      </c>
      <c r="B2603" s="1">
        <v>10</v>
      </c>
      <c r="C2603" s="1">
        <v>70</v>
      </c>
      <c r="D2603" s="1">
        <v>2.5000000000000001E-2</v>
      </c>
      <c r="E2603" s="1">
        <v>0.04</v>
      </c>
      <c r="F2603" s="1">
        <v>5</v>
      </c>
      <c r="G2603" s="1">
        <v>1</v>
      </c>
      <c r="H2603" s="1">
        <v>1.34300995082</v>
      </c>
      <c r="I2603" s="1">
        <v>1.34066699075</v>
      </c>
      <c r="J2603" s="1">
        <v>0.56143069910700005</v>
      </c>
      <c r="K2603" s="1">
        <v>12081.578131300001</v>
      </c>
      <c r="L2603" s="1">
        <v>2527.4908285400002</v>
      </c>
      <c r="M2603" s="1" t="s">
        <v>198</v>
      </c>
      <c r="N2603" s="1" t="b">
        <v>1</v>
      </c>
    </row>
    <row r="2604" spans="1:14" ht="19" customHeight="1" x14ac:dyDescent="0.3">
      <c r="A2604">
        <v>2599</v>
      </c>
      <c r="B2604" s="1">
        <v>10</v>
      </c>
      <c r="C2604" s="1">
        <v>70</v>
      </c>
      <c r="D2604" s="1">
        <v>2.5000000000000001E-2</v>
      </c>
      <c r="E2604" s="1">
        <v>0.06</v>
      </c>
      <c r="F2604" s="1">
        <v>-5</v>
      </c>
      <c r="G2604" s="1">
        <v>0</v>
      </c>
      <c r="H2604" s="1">
        <v>1.3836249644600001</v>
      </c>
      <c r="I2604" s="1">
        <v>1.8484785081099999</v>
      </c>
      <c r="J2604" s="1">
        <v>0.68830626512100002</v>
      </c>
      <c r="K2604" s="1">
        <v>14550.5258206</v>
      </c>
      <c r="L2604" s="1">
        <v>3098.6687672899998</v>
      </c>
      <c r="M2604" s="1" t="s">
        <v>198</v>
      </c>
      <c r="N2604" s="1" t="b">
        <v>1</v>
      </c>
    </row>
    <row r="2605" spans="1:14" ht="19" customHeight="1" x14ac:dyDescent="0.3">
      <c r="A2605">
        <v>2600</v>
      </c>
      <c r="B2605" s="1">
        <v>10</v>
      </c>
      <c r="C2605" s="1">
        <v>70</v>
      </c>
      <c r="D2605" s="1">
        <v>2.5000000000000001E-2</v>
      </c>
      <c r="E2605" s="1">
        <v>0.06</v>
      </c>
      <c r="F2605" s="1">
        <v>-5</v>
      </c>
      <c r="G2605" s="1">
        <v>1</v>
      </c>
      <c r="H2605" s="1">
        <v>1.3836249644600001</v>
      </c>
      <c r="I2605" s="1">
        <v>1.3863588810900001</v>
      </c>
      <c r="J2605" s="1">
        <v>0.56441113740000004</v>
      </c>
      <c r="K2605" s="1">
        <v>12470.121024599999</v>
      </c>
      <c r="L2605" s="1">
        <v>2540.9083891800001</v>
      </c>
      <c r="M2605" s="1" t="s">
        <v>198</v>
      </c>
      <c r="N2605" s="1" t="b">
        <v>1</v>
      </c>
    </row>
    <row r="2606" spans="1:14" ht="19" customHeight="1" x14ac:dyDescent="0.3">
      <c r="A2606">
        <v>2601</v>
      </c>
      <c r="B2606" s="1">
        <v>10</v>
      </c>
      <c r="C2606" s="1">
        <v>70</v>
      </c>
      <c r="D2606" s="1">
        <v>2.5000000000000001E-2</v>
      </c>
      <c r="E2606" s="1">
        <v>0.06</v>
      </c>
      <c r="F2606" s="1">
        <v>0</v>
      </c>
      <c r="G2606" s="1">
        <v>0</v>
      </c>
      <c r="H2606" s="1">
        <v>1.41510939779</v>
      </c>
      <c r="I2606" s="1">
        <v>1.8905406997200001</v>
      </c>
      <c r="J2606" s="1">
        <v>0.68080626512099995</v>
      </c>
      <c r="K2606" s="1">
        <v>14881.623532699999</v>
      </c>
      <c r="L2606" s="1">
        <v>3064.9047047899999</v>
      </c>
      <c r="M2606" s="1" t="s">
        <v>198</v>
      </c>
      <c r="N2606" s="1" t="b">
        <v>1</v>
      </c>
    </row>
    <row r="2607" spans="1:14" ht="19" customHeight="1" x14ac:dyDescent="0.3">
      <c r="A2607">
        <v>2602</v>
      </c>
      <c r="B2607" s="1">
        <v>10</v>
      </c>
      <c r="C2607" s="1">
        <v>70</v>
      </c>
      <c r="D2607" s="1">
        <v>2.5000000000000001E-2</v>
      </c>
      <c r="E2607" s="1">
        <v>0.06</v>
      </c>
      <c r="F2607" s="1">
        <v>0</v>
      </c>
      <c r="G2607" s="1">
        <v>1</v>
      </c>
      <c r="H2607" s="1">
        <v>1.41510939779</v>
      </c>
      <c r="I2607" s="1">
        <v>1.4179055247900001</v>
      </c>
      <c r="J2607" s="1">
        <v>0.55826113740000005</v>
      </c>
      <c r="K2607" s="1">
        <v>12753.8790546</v>
      </c>
      <c r="L2607" s="1">
        <v>2513.2218579300002</v>
      </c>
      <c r="M2607" s="1" t="s">
        <v>198</v>
      </c>
      <c r="N2607" s="1" t="b">
        <v>1</v>
      </c>
    </row>
    <row r="2608" spans="1:14" ht="19" customHeight="1" x14ac:dyDescent="0.3">
      <c r="A2608">
        <v>2603</v>
      </c>
      <c r="B2608" s="1">
        <v>10</v>
      </c>
      <c r="C2608" s="1">
        <v>70</v>
      </c>
      <c r="D2608" s="1">
        <v>2.5000000000000001E-2</v>
      </c>
      <c r="E2608" s="1">
        <v>0.06</v>
      </c>
      <c r="F2608" s="1">
        <v>5</v>
      </c>
      <c r="G2608" s="1">
        <v>0</v>
      </c>
      <c r="H2608" s="1">
        <v>1.3836249644600001</v>
      </c>
      <c r="I2608" s="1">
        <v>1.8484785081099999</v>
      </c>
      <c r="J2608" s="1">
        <v>0.68830626512100002</v>
      </c>
      <c r="K2608" s="1">
        <v>14550.5258206</v>
      </c>
      <c r="L2608" s="1">
        <v>3098.6687672899998</v>
      </c>
      <c r="M2608" s="1" t="s">
        <v>198</v>
      </c>
      <c r="N2608" s="1" t="b">
        <v>1</v>
      </c>
    </row>
    <row r="2609" spans="1:14" ht="19" customHeight="1" x14ac:dyDescent="0.3">
      <c r="A2609">
        <v>2604</v>
      </c>
      <c r="B2609" s="1">
        <v>10</v>
      </c>
      <c r="C2609" s="1">
        <v>70</v>
      </c>
      <c r="D2609" s="1">
        <v>2.5000000000000001E-2</v>
      </c>
      <c r="E2609" s="1">
        <v>0.06</v>
      </c>
      <c r="F2609" s="1">
        <v>5</v>
      </c>
      <c r="G2609" s="1">
        <v>1</v>
      </c>
      <c r="H2609" s="1">
        <v>1.3836249644600001</v>
      </c>
      <c r="I2609" s="1">
        <v>1.3863588810900001</v>
      </c>
      <c r="J2609" s="1">
        <v>0.56441113740000004</v>
      </c>
      <c r="K2609" s="1">
        <v>12470.121024599999</v>
      </c>
      <c r="L2609" s="1">
        <v>2540.9083891800001</v>
      </c>
      <c r="M2609" s="1" t="s">
        <v>198</v>
      </c>
      <c r="N2609" s="1" t="b">
        <v>1</v>
      </c>
    </row>
    <row r="2610" spans="1:14" ht="19" customHeight="1" x14ac:dyDescent="0.3">
      <c r="A2610">
        <v>2605</v>
      </c>
      <c r="B2610" s="1">
        <v>10</v>
      </c>
      <c r="C2610" s="1">
        <v>70</v>
      </c>
      <c r="D2610" s="1">
        <v>2.5000000000000001E-2</v>
      </c>
      <c r="E2610" s="1">
        <v>8.5000000000000006E-2</v>
      </c>
      <c r="F2610" s="1">
        <v>-5</v>
      </c>
      <c r="G2610" s="1">
        <v>0</v>
      </c>
      <c r="H2610" s="1">
        <v>1.2797934555099999</v>
      </c>
      <c r="I2610" s="1">
        <v>1.6927312447</v>
      </c>
      <c r="J2610" s="1">
        <v>0.67901427275500004</v>
      </c>
      <c r="K2610" s="1">
        <v>13381.9346348</v>
      </c>
      <c r="L2610" s="1">
        <v>3056.8373791600002</v>
      </c>
      <c r="M2610" s="1" t="s">
        <v>198</v>
      </c>
      <c r="N2610" s="1" t="b">
        <v>1</v>
      </c>
    </row>
    <row r="2611" spans="1:14" ht="19" customHeight="1" x14ac:dyDescent="0.3">
      <c r="A2611">
        <v>2606</v>
      </c>
      <c r="B2611" s="1">
        <v>10</v>
      </c>
      <c r="C2611" s="1">
        <v>70</v>
      </c>
      <c r="D2611" s="1">
        <v>2.5000000000000001E-2</v>
      </c>
      <c r="E2611" s="1">
        <v>8.5000000000000006E-2</v>
      </c>
      <c r="F2611" s="1">
        <v>-5</v>
      </c>
      <c r="G2611" s="1">
        <v>1</v>
      </c>
      <c r="H2611" s="1">
        <v>1.2797934555099999</v>
      </c>
      <c r="I2611" s="1">
        <v>1.26954843352</v>
      </c>
      <c r="J2611" s="1">
        <v>0.55679170365899999</v>
      </c>
      <c r="K2611" s="1">
        <v>11476.818516699999</v>
      </c>
      <c r="L2611" s="1">
        <v>2506.6066509100001</v>
      </c>
      <c r="M2611" s="1" t="s">
        <v>198</v>
      </c>
      <c r="N2611" s="1" t="b">
        <v>1</v>
      </c>
    </row>
    <row r="2612" spans="1:14" ht="19" customHeight="1" x14ac:dyDescent="0.3">
      <c r="A2612">
        <v>2607</v>
      </c>
      <c r="B2612" s="1">
        <v>10</v>
      </c>
      <c r="C2612" s="1">
        <v>70</v>
      </c>
      <c r="D2612" s="1">
        <v>2.5000000000000001E-2</v>
      </c>
      <c r="E2612" s="1">
        <v>8.5000000000000006E-2</v>
      </c>
      <c r="F2612" s="1">
        <v>0</v>
      </c>
      <c r="G2612" s="1">
        <v>0</v>
      </c>
      <c r="H2612" s="1">
        <v>1.3089151993100001</v>
      </c>
      <c r="I2612" s="1">
        <v>1.731249402</v>
      </c>
      <c r="J2612" s="1">
        <v>0.67151427275499997</v>
      </c>
      <c r="K2612" s="1">
        <v>13686.441014599999</v>
      </c>
      <c r="L2612" s="1">
        <v>3023.0733166599998</v>
      </c>
      <c r="M2612" s="1" t="s">
        <v>198</v>
      </c>
      <c r="N2612" s="1" t="b">
        <v>1</v>
      </c>
    </row>
    <row r="2613" spans="1:14" ht="19" customHeight="1" x14ac:dyDescent="0.3">
      <c r="A2613">
        <v>2608</v>
      </c>
      <c r="B2613" s="1">
        <v>10</v>
      </c>
      <c r="C2613" s="1">
        <v>70</v>
      </c>
      <c r="D2613" s="1">
        <v>2.5000000000000001E-2</v>
      </c>
      <c r="E2613" s="1">
        <v>8.5000000000000006E-2</v>
      </c>
      <c r="F2613" s="1">
        <v>0</v>
      </c>
      <c r="G2613" s="1">
        <v>1</v>
      </c>
      <c r="H2613" s="1">
        <v>1.3089151993100001</v>
      </c>
      <c r="I2613" s="1">
        <v>1.2984370515000001</v>
      </c>
      <c r="J2613" s="1">
        <v>0.550641703659</v>
      </c>
      <c r="K2613" s="1">
        <v>11737.973914099999</v>
      </c>
      <c r="L2613" s="1">
        <v>2478.9201196600002</v>
      </c>
      <c r="M2613" s="1" t="s">
        <v>198</v>
      </c>
      <c r="N2613" s="1" t="b">
        <v>1</v>
      </c>
    </row>
    <row r="2614" spans="1:14" ht="19" customHeight="1" x14ac:dyDescent="0.3">
      <c r="A2614">
        <v>2609</v>
      </c>
      <c r="B2614" s="1">
        <v>10</v>
      </c>
      <c r="C2614" s="1">
        <v>70</v>
      </c>
      <c r="D2614" s="1">
        <v>2.5000000000000001E-2</v>
      </c>
      <c r="E2614" s="1">
        <v>8.5000000000000006E-2</v>
      </c>
      <c r="F2614" s="1">
        <v>5</v>
      </c>
      <c r="G2614" s="1">
        <v>0</v>
      </c>
      <c r="H2614" s="1">
        <v>1.2797934555099999</v>
      </c>
      <c r="I2614" s="1">
        <v>1.6927312447</v>
      </c>
      <c r="J2614" s="1">
        <v>0.67901427275500004</v>
      </c>
      <c r="K2614" s="1">
        <v>13381.9346348</v>
      </c>
      <c r="L2614" s="1">
        <v>3056.8373791600002</v>
      </c>
      <c r="M2614" s="1" t="s">
        <v>198</v>
      </c>
      <c r="N2614" s="1" t="b">
        <v>1</v>
      </c>
    </row>
    <row r="2615" spans="1:14" ht="19" customHeight="1" x14ac:dyDescent="0.3">
      <c r="A2615">
        <v>2610</v>
      </c>
      <c r="B2615" s="1">
        <v>10</v>
      </c>
      <c r="C2615" s="1">
        <v>70</v>
      </c>
      <c r="D2615" s="1">
        <v>2.5000000000000001E-2</v>
      </c>
      <c r="E2615" s="1">
        <v>8.5000000000000006E-2</v>
      </c>
      <c r="F2615" s="1">
        <v>5</v>
      </c>
      <c r="G2615" s="1">
        <v>1</v>
      </c>
      <c r="H2615" s="1">
        <v>1.2797934555099999</v>
      </c>
      <c r="I2615" s="1">
        <v>1.26954843352</v>
      </c>
      <c r="J2615" s="1">
        <v>0.55679170365899999</v>
      </c>
      <c r="K2615" s="1">
        <v>11476.818516699999</v>
      </c>
      <c r="L2615" s="1">
        <v>2506.6066509100001</v>
      </c>
      <c r="M2615" s="1" t="s">
        <v>198</v>
      </c>
      <c r="N2615" s="1" t="b">
        <v>1</v>
      </c>
    </row>
    <row r="2616" spans="1:14" ht="19" customHeight="1" x14ac:dyDescent="0.3">
      <c r="A2616">
        <v>2611</v>
      </c>
      <c r="B2616" s="1">
        <v>10</v>
      </c>
      <c r="C2616" s="1">
        <v>70</v>
      </c>
      <c r="D2616" s="1">
        <v>0.04</v>
      </c>
      <c r="E2616" s="1">
        <v>0.04</v>
      </c>
      <c r="F2616" s="1">
        <v>-5</v>
      </c>
      <c r="G2616" s="1">
        <v>0</v>
      </c>
      <c r="H2616" s="1">
        <v>1.3489987642700001</v>
      </c>
      <c r="I2616" s="1">
        <v>1.79653920784</v>
      </c>
      <c r="J2616" s="1">
        <v>0.68520752957300002</v>
      </c>
      <c r="K2616" s="1">
        <v>14160.818758199999</v>
      </c>
      <c r="L2616" s="1">
        <v>3084.7186471999999</v>
      </c>
      <c r="M2616" s="1" t="s">
        <v>198</v>
      </c>
      <c r="N2616" s="1" t="b">
        <v>1</v>
      </c>
    </row>
    <row r="2617" spans="1:14" ht="19" customHeight="1" x14ac:dyDescent="0.3">
      <c r="A2617">
        <v>2612</v>
      </c>
      <c r="B2617" s="1">
        <v>10</v>
      </c>
      <c r="C2617" s="1">
        <v>70</v>
      </c>
      <c r="D2617" s="1">
        <v>0.04</v>
      </c>
      <c r="E2617" s="1">
        <v>0.04</v>
      </c>
      <c r="F2617" s="1">
        <v>-5</v>
      </c>
      <c r="G2617" s="1">
        <v>1</v>
      </c>
      <c r="H2617" s="1">
        <v>1.3489987642700001</v>
      </c>
      <c r="I2617" s="1">
        <v>1.3474044058800001</v>
      </c>
      <c r="J2617" s="1">
        <v>0.56187017424999997</v>
      </c>
      <c r="K2617" s="1">
        <v>12138.8700216</v>
      </c>
      <c r="L2617" s="1">
        <v>2529.4692906999999</v>
      </c>
      <c r="M2617" s="1" t="s">
        <v>198</v>
      </c>
      <c r="N2617" s="1" t="b">
        <v>1</v>
      </c>
    </row>
    <row r="2618" spans="1:14" ht="19" customHeight="1" x14ac:dyDescent="0.3">
      <c r="A2618">
        <v>2613</v>
      </c>
      <c r="B2618" s="1">
        <v>10</v>
      </c>
      <c r="C2618" s="1">
        <v>70</v>
      </c>
      <c r="D2618" s="1">
        <v>0.04</v>
      </c>
      <c r="E2618" s="1">
        <v>0.04</v>
      </c>
      <c r="F2618" s="1">
        <v>0</v>
      </c>
      <c r="G2618" s="1">
        <v>0</v>
      </c>
      <c r="H2618" s="1">
        <v>1.37969527724</v>
      </c>
      <c r="I2618" s="1">
        <v>1.83741951889</v>
      </c>
      <c r="J2618" s="1">
        <v>0.67770752957299996</v>
      </c>
      <c r="K2618" s="1">
        <v>14483.0486728</v>
      </c>
      <c r="L2618" s="1">
        <v>3050.9545846999999</v>
      </c>
      <c r="M2618" s="1" t="s">
        <v>198</v>
      </c>
      <c r="N2618" s="1" t="b">
        <v>1</v>
      </c>
    </row>
    <row r="2619" spans="1:14" ht="19" customHeight="1" x14ac:dyDescent="0.3">
      <c r="A2619">
        <v>2614</v>
      </c>
      <c r="B2619" s="1">
        <v>10</v>
      </c>
      <c r="C2619" s="1">
        <v>70</v>
      </c>
      <c r="D2619" s="1">
        <v>0.04</v>
      </c>
      <c r="E2619" s="1">
        <v>0.04</v>
      </c>
      <c r="F2619" s="1">
        <v>0</v>
      </c>
      <c r="G2619" s="1">
        <v>1</v>
      </c>
      <c r="H2619" s="1">
        <v>1.37969527724</v>
      </c>
      <c r="I2619" s="1">
        <v>1.37806463917</v>
      </c>
      <c r="J2619" s="1">
        <v>0.55572017424999998</v>
      </c>
      <c r="K2619" s="1">
        <v>12415.0904237</v>
      </c>
      <c r="L2619" s="1">
        <v>2501.78275945</v>
      </c>
      <c r="M2619" s="1" t="s">
        <v>198</v>
      </c>
      <c r="N2619" s="1" t="b">
        <v>1</v>
      </c>
    </row>
    <row r="2620" spans="1:14" ht="19" customHeight="1" x14ac:dyDescent="0.3">
      <c r="A2620">
        <v>2615</v>
      </c>
      <c r="B2620" s="1">
        <v>10</v>
      </c>
      <c r="C2620" s="1">
        <v>70</v>
      </c>
      <c r="D2620" s="1">
        <v>0.04</v>
      </c>
      <c r="E2620" s="1">
        <v>0.04</v>
      </c>
      <c r="F2620" s="1">
        <v>5</v>
      </c>
      <c r="G2620" s="1">
        <v>0</v>
      </c>
      <c r="H2620" s="1">
        <v>1.3489987642700001</v>
      </c>
      <c r="I2620" s="1">
        <v>1.79653920784</v>
      </c>
      <c r="J2620" s="1">
        <v>0.68520752957300002</v>
      </c>
      <c r="K2620" s="1">
        <v>14160.818758199999</v>
      </c>
      <c r="L2620" s="1">
        <v>3084.7186471999999</v>
      </c>
      <c r="M2620" s="1" t="s">
        <v>198</v>
      </c>
      <c r="N2620" s="1" t="b">
        <v>1</v>
      </c>
    </row>
    <row r="2621" spans="1:14" ht="19" customHeight="1" x14ac:dyDescent="0.3">
      <c r="A2621">
        <v>2616</v>
      </c>
      <c r="B2621" s="1">
        <v>10</v>
      </c>
      <c r="C2621" s="1">
        <v>70</v>
      </c>
      <c r="D2621" s="1">
        <v>0.04</v>
      </c>
      <c r="E2621" s="1">
        <v>0.04</v>
      </c>
      <c r="F2621" s="1">
        <v>5</v>
      </c>
      <c r="G2621" s="1">
        <v>1</v>
      </c>
      <c r="H2621" s="1">
        <v>1.3489987642700001</v>
      </c>
      <c r="I2621" s="1">
        <v>1.3474044058800001</v>
      </c>
      <c r="J2621" s="1">
        <v>0.56187017424999997</v>
      </c>
      <c r="K2621" s="1">
        <v>12138.8700216</v>
      </c>
      <c r="L2621" s="1">
        <v>2529.4692906999999</v>
      </c>
      <c r="M2621" s="1" t="s">
        <v>198</v>
      </c>
      <c r="N2621" s="1" t="b">
        <v>1</v>
      </c>
    </row>
    <row r="2622" spans="1:14" ht="19" customHeight="1" x14ac:dyDescent="0.3">
      <c r="A2622">
        <v>2617</v>
      </c>
      <c r="B2622" s="1">
        <v>10</v>
      </c>
      <c r="C2622" s="1">
        <v>70</v>
      </c>
      <c r="D2622" s="1">
        <v>0.04</v>
      </c>
      <c r="E2622" s="1">
        <v>0.06</v>
      </c>
      <c r="F2622" s="1">
        <v>-5</v>
      </c>
      <c r="G2622" s="1">
        <v>0</v>
      </c>
      <c r="H2622" s="1">
        <v>1.3901945798299999</v>
      </c>
      <c r="I2622" s="1">
        <v>1.8583329311800001</v>
      </c>
      <c r="J2622" s="1">
        <v>0.68889418700100002</v>
      </c>
      <c r="K2622" s="1">
        <v>14624.4647886</v>
      </c>
      <c r="L2622" s="1">
        <v>3101.3155181100001</v>
      </c>
      <c r="M2622" s="1" t="s">
        <v>198</v>
      </c>
      <c r="N2622" s="1" t="b">
        <v>1</v>
      </c>
    </row>
    <row r="2623" spans="1:14" ht="19" customHeight="1" x14ac:dyDescent="0.3">
      <c r="A2623">
        <v>2618</v>
      </c>
      <c r="B2623" s="1">
        <v>10</v>
      </c>
      <c r="C2623" s="1">
        <v>70</v>
      </c>
      <c r="D2623" s="1">
        <v>0.04</v>
      </c>
      <c r="E2623" s="1">
        <v>0.06</v>
      </c>
      <c r="F2623" s="1">
        <v>-5</v>
      </c>
      <c r="G2623" s="1">
        <v>1</v>
      </c>
      <c r="H2623" s="1">
        <v>1.3901945798299999</v>
      </c>
      <c r="I2623" s="1">
        <v>1.39374969838</v>
      </c>
      <c r="J2623" s="1">
        <v>0.56489323334099995</v>
      </c>
      <c r="K2623" s="1">
        <v>12532.9691475</v>
      </c>
      <c r="L2623" s="1">
        <v>2543.0787248500001</v>
      </c>
      <c r="M2623" s="1" t="s">
        <v>198</v>
      </c>
      <c r="N2623" s="1" t="b">
        <v>1</v>
      </c>
    </row>
    <row r="2624" spans="1:14" ht="19" customHeight="1" x14ac:dyDescent="0.3">
      <c r="A2624">
        <v>2619</v>
      </c>
      <c r="B2624" s="1">
        <v>10</v>
      </c>
      <c r="C2624" s="1">
        <v>70</v>
      </c>
      <c r="D2624" s="1">
        <v>0.04</v>
      </c>
      <c r="E2624" s="1">
        <v>0.06</v>
      </c>
      <c r="F2624" s="1">
        <v>0</v>
      </c>
      <c r="G2624" s="1">
        <v>0</v>
      </c>
      <c r="H2624" s="1">
        <v>1.4218285049899999</v>
      </c>
      <c r="I2624" s="1">
        <v>1.9006193605099999</v>
      </c>
      <c r="J2624" s="1">
        <v>0.68139418700099996</v>
      </c>
      <c r="K2624" s="1">
        <v>14957.244984499999</v>
      </c>
      <c r="L2624" s="1">
        <v>3067.5514556100002</v>
      </c>
      <c r="M2624" s="1" t="s">
        <v>198</v>
      </c>
      <c r="N2624" s="1" t="b">
        <v>1</v>
      </c>
    </row>
    <row r="2625" spans="1:14" ht="19" customHeight="1" x14ac:dyDescent="0.3">
      <c r="A2625">
        <v>2620</v>
      </c>
      <c r="B2625" s="1">
        <v>10</v>
      </c>
      <c r="C2625" s="1">
        <v>70</v>
      </c>
      <c r="D2625" s="1">
        <v>0.04</v>
      </c>
      <c r="E2625" s="1">
        <v>0.06</v>
      </c>
      <c r="F2625" s="1">
        <v>0</v>
      </c>
      <c r="G2625" s="1">
        <v>1</v>
      </c>
      <c r="H2625" s="1">
        <v>1.4218285049899999</v>
      </c>
      <c r="I2625" s="1">
        <v>1.42546452039</v>
      </c>
      <c r="J2625" s="1">
        <v>0.55874323334099996</v>
      </c>
      <c r="K2625" s="1">
        <v>12818.157288599999</v>
      </c>
      <c r="L2625" s="1">
        <v>2515.3921936000002</v>
      </c>
      <c r="M2625" s="1" t="s">
        <v>198</v>
      </c>
      <c r="N2625" s="1" t="b">
        <v>1</v>
      </c>
    </row>
    <row r="2626" spans="1:14" ht="19" customHeight="1" x14ac:dyDescent="0.3">
      <c r="A2626">
        <v>2621</v>
      </c>
      <c r="B2626" s="1">
        <v>10</v>
      </c>
      <c r="C2626" s="1">
        <v>70</v>
      </c>
      <c r="D2626" s="1">
        <v>0.04</v>
      </c>
      <c r="E2626" s="1">
        <v>0.06</v>
      </c>
      <c r="F2626" s="1">
        <v>5</v>
      </c>
      <c r="G2626" s="1">
        <v>0</v>
      </c>
      <c r="H2626" s="1">
        <v>1.3901945798299999</v>
      </c>
      <c r="I2626" s="1">
        <v>1.8583329311800001</v>
      </c>
      <c r="J2626" s="1">
        <v>0.68889418700100002</v>
      </c>
      <c r="K2626" s="1">
        <v>14624.4647886</v>
      </c>
      <c r="L2626" s="1">
        <v>3101.3155181100001</v>
      </c>
      <c r="M2626" s="1" t="s">
        <v>198</v>
      </c>
      <c r="N2626" s="1" t="b">
        <v>1</v>
      </c>
    </row>
    <row r="2627" spans="1:14" ht="19" customHeight="1" x14ac:dyDescent="0.3">
      <c r="A2627">
        <v>2622</v>
      </c>
      <c r="B2627" s="1">
        <v>10</v>
      </c>
      <c r="C2627" s="1">
        <v>70</v>
      </c>
      <c r="D2627" s="1">
        <v>0.04</v>
      </c>
      <c r="E2627" s="1">
        <v>0.06</v>
      </c>
      <c r="F2627" s="1">
        <v>5</v>
      </c>
      <c r="G2627" s="1">
        <v>1</v>
      </c>
      <c r="H2627" s="1">
        <v>1.3901945798299999</v>
      </c>
      <c r="I2627" s="1">
        <v>1.39374969838</v>
      </c>
      <c r="J2627" s="1">
        <v>0.56489323334099995</v>
      </c>
      <c r="K2627" s="1">
        <v>12532.9691475</v>
      </c>
      <c r="L2627" s="1">
        <v>2543.0787248500001</v>
      </c>
      <c r="M2627" s="1" t="s">
        <v>198</v>
      </c>
      <c r="N2627" s="1" t="b">
        <v>1</v>
      </c>
    </row>
    <row r="2628" spans="1:14" ht="19" customHeight="1" x14ac:dyDescent="0.3">
      <c r="A2628">
        <v>2623</v>
      </c>
      <c r="B2628" s="1">
        <v>10</v>
      </c>
      <c r="C2628" s="1">
        <v>70</v>
      </c>
      <c r="D2628" s="1">
        <v>0.04</v>
      </c>
      <c r="E2628" s="1">
        <v>8.5000000000000006E-2</v>
      </c>
      <c r="F2628" s="1">
        <v>-5</v>
      </c>
      <c r="G2628" s="1">
        <v>0</v>
      </c>
      <c r="H2628" s="1">
        <v>1.2848782618300001</v>
      </c>
      <c r="I2628" s="1">
        <v>1.7003584541800001</v>
      </c>
      <c r="J2628" s="1">
        <v>0.67946931748999995</v>
      </c>
      <c r="K2628" s="1">
        <v>13439.162540900001</v>
      </c>
      <c r="L2628" s="1">
        <v>3058.8859336800001</v>
      </c>
      <c r="M2628" s="1" t="s">
        <v>198</v>
      </c>
      <c r="N2628" s="1" t="b">
        <v>1</v>
      </c>
    </row>
    <row r="2629" spans="1:14" ht="19" customHeight="1" x14ac:dyDescent="0.3">
      <c r="A2629">
        <v>2624</v>
      </c>
      <c r="B2629" s="1">
        <v>10</v>
      </c>
      <c r="C2629" s="1">
        <v>70</v>
      </c>
      <c r="D2629" s="1">
        <v>0.04</v>
      </c>
      <c r="E2629" s="1">
        <v>8.5000000000000006E-2</v>
      </c>
      <c r="F2629" s="1">
        <v>-5</v>
      </c>
      <c r="G2629" s="1">
        <v>1</v>
      </c>
      <c r="H2629" s="1">
        <v>1.2848782618300001</v>
      </c>
      <c r="I2629" s="1">
        <v>1.2752688406399999</v>
      </c>
      <c r="J2629" s="1">
        <v>0.55716484034199998</v>
      </c>
      <c r="K2629" s="1">
        <v>11525.462236900001</v>
      </c>
      <c r="L2629" s="1">
        <v>2508.2864656100001</v>
      </c>
      <c r="M2629" s="1" t="s">
        <v>198</v>
      </c>
      <c r="N2629" s="1" t="b">
        <v>1</v>
      </c>
    </row>
    <row r="2630" spans="1:14" ht="19" customHeight="1" x14ac:dyDescent="0.3">
      <c r="A2630">
        <v>2625</v>
      </c>
      <c r="B2630" s="1">
        <v>10</v>
      </c>
      <c r="C2630" s="1">
        <v>70</v>
      </c>
      <c r="D2630" s="1">
        <v>0.04</v>
      </c>
      <c r="E2630" s="1">
        <v>8.5000000000000006E-2</v>
      </c>
      <c r="F2630" s="1">
        <v>0</v>
      </c>
      <c r="G2630" s="1">
        <v>0</v>
      </c>
      <c r="H2630" s="1">
        <v>1.3141157105800001</v>
      </c>
      <c r="I2630" s="1">
        <v>1.7390501689</v>
      </c>
      <c r="J2630" s="1">
        <v>0.67196931749</v>
      </c>
      <c r="K2630" s="1">
        <v>13744.971143700001</v>
      </c>
      <c r="L2630" s="1">
        <v>3025.1218711800002</v>
      </c>
      <c r="M2630" s="1" t="s">
        <v>198</v>
      </c>
      <c r="N2630" s="1" t="b">
        <v>1</v>
      </c>
    </row>
    <row r="2631" spans="1:14" ht="19" customHeight="1" x14ac:dyDescent="0.3">
      <c r="A2631">
        <v>2626</v>
      </c>
      <c r="B2631" s="1">
        <v>10</v>
      </c>
      <c r="C2631" s="1">
        <v>70</v>
      </c>
      <c r="D2631" s="1">
        <v>0.04</v>
      </c>
      <c r="E2631" s="1">
        <v>8.5000000000000006E-2</v>
      </c>
      <c r="F2631" s="1">
        <v>0</v>
      </c>
      <c r="G2631" s="1">
        <v>1</v>
      </c>
      <c r="H2631" s="1">
        <v>1.3141157105800001</v>
      </c>
      <c r="I2631" s="1">
        <v>1.3042876266800001</v>
      </c>
      <c r="J2631" s="1">
        <v>0.55101484034199999</v>
      </c>
      <c r="K2631" s="1">
        <v>11787.7245239</v>
      </c>
      <c r="L2631" s="1">
        <v>2480.5999343600001</v>
      </c>
      <c r="M2631" s="1" t="s">
        <v>198</v>
      </c>
      <c r="N2631" s="1" t="b">
        <v>1</v>
      </c>
    </row>
    <row r="2632" spans="1:14" ht="19" customHeight="1" x14ac:dyDescent="0.3">
      <c r="A2632">
        <v>2627</v>
      </c>
      <c r="B2632" s="1">
        <v>10</v>
      </c>
      <c r="C2632" s="1">
        <v>70</v>
      </c>
      <c r="D2632" s="1">
        <v>0.04</v>
      </c>
      <c r="E2632" s="1">
        <v>8.5000000000000006E-2</v>
      </c>
      <c r="F2632" s="1">
        <v>5</v>
      </c>
      <c r="G2632" s="1">
        <v>0</v>
      </c>
      <c r="H2632" s="1">
        <v>1.2848782618300001</v>
      </c>
      <c r="I2632" s="1">
        <v>1.7003584541800001</v>
      </c>
      <c r="J2632" s="1">
        <v>0.67946931748999995</v>
      </c>
      <c r="K2632" s="1">
        <v>13439.162540900001</v>
      </c>
      <c r="L2632" s="1">
        <v>3058.8859336800001</v>
      </c>
      <c r="M2632" s="1" t="s">
        <v>198</v>
      </c>
      <c r="N2632" s="1" t="b">
        <v>1</v>
      </c>
    </row>
    <row r="2633" spans="1:14" ht="19" customHeight="1" x14ac:dyDescent="0.3">
      <c r="A2633">
        <v>2628</v>
      </c>
      <c r="B2633" s="1">
        <v>10</v>
      </c>
      <c r="C2633" s="1">
        <v>70</v>
      </c>
      <c r="D2633" s="1">
        <v>0.04</v>
      </c>
      <c r="E2633" s="1">
        <v>8.5000000000000006E-2</v>
      </c>
      <c r="F2633" s="1">
        <v>5</v>
      </c>
      <c r="G2633" s="1">
        <v>1</v>
      </c>
      <c r="H2633" s="1">
        <v>1.2848782618300001</v>
      </c>
      <c r="I2633" s="1">
        <v>1.2752688406399999</v>
      </c>
      <c r="J2633" s="1">
        <v>0.55716484034199998</v>
      </c>
      <c r="K2633" s="1">
        <v>11525.462236900001</v>
      </c>
      <c r="L2633" s="1">
        <v>2508.2864656100001</v>
      </c>
      <c r="M2633" s="1" t="s">
        <v>198</v>
      </c>
      <c r="N2633" s="1" t="b">
        <v>1</v>
      </c>
    </row>
    <row r="2634" spans="1:14" ht="19" customHeight="1" x14ac:dyDescent="0.3">
      <c r="A2634">
        <v>2629</v>
      </c>
      <c r="B2634" s="1">
        <v>10</v>
      </c>
      <c r="C2634" s="1">
        <v>70</v>
      </c>
      <c r="D2634" s="1">
        <v>5.5E-2</v>
      </c>
      <c r="E2634" s="1">
        <v>0.04</v>
      </c>
      <c r="F2634" s="1">
        <v>-5</v>
      </c>
      <c r="G2634" s="1">
        <v>0</v>
      </c>
      <c r="H2634" s="1">
        <v>1.2091136622100001</v>
      </c>
      <c r="I2634" s="1">
        <v>1.5867115547499999</v>
      </c>
      <c r="J2634" s="1">
        <v>0.672689062743</v>
      </c>
      <c r="K2634" s="1">
        <v>12586.4556486</v>
      </c>
      <c r="L2634" s="1">
        <v>3028.3620743400002</v>
      </c>
      <c r="M2634" s="1" t="s">
        <v>198</v>
      </c>
      <c r="N2634" s="1" t="b">
        <v>1</v>
      </c>
    </row>
    <row r="2635" spans="1:14" ht="19" customHeight="1" x14ac:dyDescent="0.3">
      <c r="A2635">
        <v>2630</v>
      </c>
      <c r="B2635" s="1">
        <v>10</v>
      </c>
      <c r="C2635" s="1">
        <v>70</v>
      </c>
      <c r="D2635" s="1">
        <v>5.5E-2</v>
      </c>
      <c r="E2635" s="1">
        <v>0.04</v>
      </c>
      <c r="F2635" s="1">
        <v>-5</v>
      </c>
      <c r="G2635" s="1">
        <v>1</v>
      </c>
      <c r="H2635" s="1">
        <v>1.2091136622100001</v>
      </c>
      <c r="I2635" s="1">
        <v>1.1900336660599999</v>
      </c>
      <c r="J2635" s="1">
        <v>0.55160503144999995</v>
      </c>
      <c r="K2635" s="1">
        <v>10800.6613784</v>
      </c>
      <c r="L2635" s="1">
        <v>2483.2569009600002</v>
      </c>
      <c r="M2635" s="1" t="s">
        <v>198</v>
      </c>
      <c r="N2635" s="1" t="b">
        <v>1</v>
      </c>
    </row>
    <row r="2636" spans="1:14" ht="19" customHeight="1" x14ac:dyDescent="0.3">
      <c r="A2636">
        <v>2631</v>
      </c>
      <c r="B2636" s="1">
        <v>10</v>
      </c>
      <c r="C2636" s="1">
        <v>70</v>
      </c>
      <c r="D2636" s="1">
        <v>5.5E-2</v>
      </c>
      <c r="E2636" s="1">
        <v>0.04</v>
      </c>
      <c r="F2636" s="1">
        <v>0</v>
      </c>
      <c r="G2636" s="1">
        <v>0</v>
      </c>
      <c r="H2636" s="1">
        <v>1.2366270849000001</v>
      </c>
      <c r="I2636" s="1">
        <v>1.6228172303799999</v>
      </c>
      <c r="J2636" s="1">
        <v>0.66518906274300005</v>
      </c>
      <c r="K2636" s="1">
        <v>12872.8608769</v>
      </c>
      <c r="L2636" s="1">
        <v>2994.5980118399998</v>
      </c>
      <c r="M2636" s="1" t="s">
        <v>198</v>
      </c>
      <c r="N2636" s="1" t="b">
        <v>1</v>
      </c>
    </row>
    <row r="2637" spans="1:14" ht="19" customHeight="1" x14ac:dyDescent="0.3">
      <c r="A2637">
        <v>2632</v>
      </c>
      <c r="B2637" s="1">
        <v>10</v>
      </c>
      <c r="C2637" s="1">
        <v>70</v>
      </c>
      <c r="D2637" s="1">
        <v>5.5E-2</v>
      </c>
      <c r="E2637" s="1">
        <v>0.04</v>
      </c>
      <c r="F2637" s="1">
        <v>0</v>
      </c>
      <c r="G2637" s="1">
        <v>1</v>
      </c>
      <c r="H2637" s="1">
        <v>1.2366270849000001</v>
      </c>
      <c r="I2637" s="1">
        <v>1.2171129227899999</v>
      </c>
      <c r="J2637" s="1">
        <v>0.54545503144999996</v>
      </c>
      <c r="K2637" s="1">
        <v>11046.4307971</v>
      </c>
      <c r="L2637" s="1">
        <v>2455.5703697099998</v>
      </c>
      <c r="M2637" s="1" t="s">
        <v>198</v>
      </c>
      <c r="N2637" s="1" t="b">
        <v>1</v>
      </c>
    </row>
    <row r="2638" spans="1:14" ht="19" customHeight="1" x14ac:dyDescent="0.3">
      <c r="A2638">
        <v>2633</v>
      </c>
      <c r="B2638" s="1">
        <v>10</v>
      </c>
      <c r="C2638" s="1">
        <v>70</v>
      </c>
      <c r="D2638" s="1">
        <v>5.5E-2</v>
      </c>
      <c r="E2638" s="1">
        <v>0.04</v>
      </c>
      <c r="F2638" s="1">
        <v>5</v>
      </c>
      <c r="G2638" s="1">
        <v>0</v>
      </c>
      <c r="H2638" s="1">
        <v>1.2091136622100001</v>
      </c>
      <c r="I2638" s="1">
        <v>1.5867115547499999</v>
      </c>
      <c r="J2638" s="1">
        <v>0.672689062743</v>
      </c>
      <c r="K2638" s="1">
        <v>12586.4556486</v>
      </c>
      <c r="L2638" s="1">
        <v>3028.3620743400002</v>
      </c>
      <c r="M2638" s="1" t="s">
        <v>198</v>
      </c>
      <c r="N2638" s="1" t="b">
        <v>1</v>
      </c>
    </row>
    <row r="2639" spans="1:14" ht="19" customHeight="1" x14ac:dyDescent="0.3">
      <c r="A2639">
        <v>2634</v>
      </c>
      <c r="B2639" s="1">
        <v>10</v>
      </c>
      <c r="C2639" s="1">
        <v>70</v>
      </c>
      <c r="D2639" s="1">
        <v>5.5E-2</v>
      </c>
      <c r="E2639" s="1">
        <v>0.04</v>
      </c>
      <c r="F2639" s="1">
        <v>5</v>
      </c>
      <c r="G2639" s="1">
        <v>1</v>
      </c>
      <c r="H2639" s="1">
        <v>1.2091136622100001</v>
      </c>
      <c r="I2639" s="1">
        <v>1.1900336660599999</v>
      </c>
      <c r="J2639" s="1">
        <v>0.55160503144999995</v>
      </c>
      <c r="K2639" s="1">
        <v>10800.6613784</v>
      </c>
      <c r="L2639" s="1">
        <v>2483.2569009600002</v>
      </c>
      <c r="M2639" s="1" t="s">
        <v>198</v>
      </c>
      <c r="N2639" s="1" t="b">
        <v>1</v>
      </c>
    </row>
    <row r="2640" spans="1:14" ht="19" customHeight="1" x14ac:dyDescent="0.3">
      <c r="A2640">
        <v>2635</v>
      </c>
      <c r="B2640" s="1">
        <v>10</v>
      </c>
      <c r="C2640" s="1">
        <v>70</v>
      </c>
      <c r="D2640" s="1">
        <v>5.5E-2</v>
      </c>
      <c r="E2640" s="1">
        <v>0.06</v>
      </c>
      <c r="F2640" s="1">
        <v>-5</v>
      </c>
      <c r="G2640" s="1">
        <v>0</v>
      </c>
      <c r="H2640" s="1">
        <v>1.2367432619200001</v>
      </c>
      <c r="I2640" s="1">
        <v>1.6281559543099999</v>
      </c>
      <c r="J2640" s="1">
        <v>0.67516166505999997</v>
      </c>
      <c r="K2640" s="1">
        <v>12897.418159000001</v>
      </c>
      <c r="L2640" s="1">
        <v>3039.4934208899999</v>
      </c>
      <c r="M2640" s="1" t="s">
        <v>198</v>
      </c>
      <c r="N2640" s="1" t="b">
        <v>1</v>
      </c>
    </row>
    <row r="2641" spans="1:14" ht="19" customHeight="1" x14ac:dyDescent="0.3">
      <c r="A2641">
        <v>2636</v>
      </c>
      <c r="B2641" s="1">
        <v>10</v>
      </c>
      <c r="C2641" s="1">
        <v>70</v>
      </c>
      <c r="D2641" s="1">
        <v>5.5E-2</v>
      </c>
      <c r="E2641" s="1">
        <v>0.06</v>
      </c>
      <c r="F2641" s="1">
        <v>-5</v>
      </c>
      <c r="G2641" s="1">
        <v>1</v>
      </c>
      <c r="H2641" s="1">
        <v>1.2367432619200001</v>
      </c>
      <c r="I2641" s="1">
        <v>1.2211169657300001</v>
      </c>
      <c r="J2641" s="1">
        <v>0.55363256534899996</v>
      </c>
      <c r="K2641" s="1">
        <v>11064.9795123</v>
      </c>
      <c r="L2641" s="1">
        <v>2492.3846051300002</v>
      </c>
      <c r="M2641" s="1" t="s">
        <v>198</v>
      </c>
      <c r="N2641" s="1" t="b">
        <v>1</v>
      </c>
    </row>
    <row r="2642" spans="1:14" ht="19" customHeight="1" x14ac:dyDescent="0.3">
      <c r="A2642">
        <v>2637</v>
      </c>
      <c r="B2642" s="1">
        <v>10</v>
      </c>
      <c r="C2642" s="1">
        <v>70</v>
      </c>
      <c r="D2642" s="1">
        <v>5.5E-2</v>
      </c>
      <c r="E2642" s="1">
        <v>0.06</v>
      </c>
      <c r="F2642" s="1">
        <v>0</v>
      </c>
      <c r="G2642" s="1">
        <v>0</v>
      </c>
      <c r="H2642" s="1">
        <v>1.26488539709</v>
      </c>
      <c r="I2642" s="1">
        <v>1.66520469867</v>
      </c>
      <c r="J2642" s="1">
        <v>0.66766166506000002</v>
      </c>
      <c r="K2642" s="1">
        <v>13190.899349900001</v>
      </c>
      <c r="L2642" s="1">
        <v>3005.72935839</v>
      </c>
      <c r="M2642" s="1" t="s">
        <v>198</v>
      </c>
      <c r="N2642" s="1" t="b">
        <v>1</v>
      </c>
    </row>
    <row r="2643" spans="1:14" ht="19" customHeight="1" x14ac:dyDescent="0.3">
      <c r="A2643">
        <v>2638</v>
      </c>
      <c r="B2643" s="1">
        <v>10</v>
      </c>
      <c r="C2643" s="1">
        <v>70</v>
      </c>
      <c r="D2643" s="1">
        <v>5.5E-2</v>
      </c>
      <c r="E2643" s="1">
        <v>0.06</v>
      </c>
      <c r="F2643" s="1">
        <v>0</v>
      </c>
      <c r="G2643" s="1">
        <v>1</v>
      </c>
      <c r="H2643" s="1">
        <v>1.26488539709</v>
      </c>
      <c r="I2643" s="1">
        <v>1.2489035239999999</v>
      </c>
      <c r="J2643" s="1">
        <v>0.54748256534899997</v>
      </c>
      <c r="K2643" s="1">
        <v>11316.7634992</v>
      </c>
      <c r="L2643" s="1">
        <v>2464.6980738799998</v>
      </c>
      <c r="M2643" s="1" t="s">
        <v>198</v>
      </c>
      <c r="N2643" s="1" t="b">
        <v>1</v>
      </c>
    </row>
    <row r="2644" spans="1:14" ht="19" customHeight="1" x14ac:dyDescent="0.3">
      <c r="A2644">
        <v>2639</v>
      </c>
      <c r="B2644" s="1">
        <v>10</v>
      </c>
      <c r="C2644" s="1">
        <v>70</v>
      </c>
      <c r="D2644" s="1">
        <v>5.5E-2</v>
      </c>
      <c r="E2644" s="1">
        <v>0.06</v>
      </c>
      <c r="F2644" s="1">
        <v>5</v>
      </c>
      <c r="G2644" s="1">
        <v>0</v>
      </c>
      <c r="H2644" s="1">
        <v>1.2367432619200001</v>
      </c>
      <c r="I2644" s="1">
        <v>1.6281559543099999</v>
      </c>
      <c r="J2644" s="1">
        <v>0.67516166505999997</v>
      </c>
      <c r="K2644" s="1">
        <v>12897.418159000001</v>
      </c>
      <c r="L2644" s="1">
        <v>3039.4934208899999</v>
      </c>
      <c r="M2644" s="1" t="s">
        <v>198</v>
      </c>
      <c r="N2644" s="1" t="b">
        <v>1</v>
      </c>
    </row>
    <row r="2645" spans="1:14" ht="19" customHeight="1" x14ac:dyDescent="0.3">
      <c r="A2645">
        <v>2640</v>
      </c>
      <c r="B2645" s="1">
        <v>10</v>
      </c>
      <c r="C2645" s="1">
        <v>70</v>
      </c>
      <c r="D2645" s="1">
        <v>5.5E-2</v>
      </c>
      <c r="E2645" s="1">
        <v>0.06</v>
      </c>
      <c r="F2645" s="1">
        <v>5</v>
      </c>
      <c r="G2645" s="1">
        <v>1</v>
      </c>
      <c r="H2645" s="1">
        <v>1.2367432619200001</v>
      </c>
      <c r="I2645" s="1">
        <v>1.2211169657300001</v>
      </c>
      <c r="J2645" s="1">
        <v>0.55363256534899996</v>
      </c>
      <c r="K2645" s="1">
        <v>11064.9795123</v>
      </c>
      <c r="L2645" s="1">
        <v>2492.3846051300002</v>
      </c>
      <c r="M2645" s="1" t="s">
        <v>198</v>
      </c>
      <c r="N2645" s="1" t="b">
        <v>1</v>
      </c>
    </row>
    <row r="2646" spans="1:14" ht="19" customHeight="1" x14ac:dyDescent="0.3">
      <c r="A2646">
        <v>2641</v>
      </c>
      <c r="B2646" s="1">
        <v>10</v>
      </c>
      <c r="C2646" s="1">
        <v>70</v>
      </c>
      <c r="D2646" s="1">
        <v>5.5E-2</v>
      </c>
      <c r="E2646" s="1">
        <v>8.5000000000000006E-2</v>
      </c>
      <c r="F2646" s="1">
        <v>-5</v>
      </c>
      <c r="G2646" s="1">
        <v>0</v>
      </c>
      <c r="H2646" s="1">
        <v>1.1661087163999999</v>
      </c>
      <c r="I2646" s="1">
        <v>1.52220413604</v>
      </c>
      <c r="J2646" s="1">
        <v>0.66884050432200004</v>
      </c>
      <c r="K2646" s="1">
        <v>12102.4484226</v>
      </c>
      <c r="L2646" s="1">
        <v>3011.03634539</v>
      </c>
      <c r="M2646" s="1" t="s">
        <v>198</v>
      </c>
      <c r="N2646" s="1" t="b">
        <v>1</v>
      </c>
    </row>
    <row r="2647" spans="1:14" ht="19" customHeight="1" x14ac:dyDescent="0.3">
      <c r="A2647">
        <v>2642</v>
      </c>
      <c r="B2647" s="1">
        <v>10</v>
      </c>
      <c r="C2647" s="1">
        <v>70</v>
      </c>
      <c r="D2647" s="1">
        <v>5.5E-2</v>
      </c>
      <c r="E2647" s="1">
        <v>8.5000000000000006E-2</v>
      </c>
      <c r="F2647" s="1">
        <v>-5</v>
      </c>
      <c r="G2647" s="1">
        <v>1</v>
      </c>
      <c r="H2647" s="1">
        <v>1.1661087163999999</v>
      </c>
      <c r="I2647" s="1">
        <v>1.14165310203</v>
      </c>
      <c r="J2647" s="1">
        <v>0.548449213544</v>
      </c>
      <c r="K2647" s="1">
        <v>10389.2552364</v>
      </c>
      <c r="L2647" s="1">
        <v>2469.0498032199998</v>
      </c>
      <c r="M2647" s="1" t="s">
        <v>198</v>
      </c>
      <c r="N2647" s="1" t="b">
        <v>1</v>
      </c>
    </row>
    <row r="2648" spans="1:14" ht="19" customHeight="1" x14ac:dyDescent="0.3">
      <c r="A2648">
        <v>2643</v>
      </c>
      <c r="B2648" s="1">
        <v>10</v>
      </c>
      <c r="C2648" s="1">
        <v>70</v>
      </c>
      <c r="D2648" s="1">
        <v>5.5E-2</v>
      </c>
      <c r="E2648" s="1">
        <v>8.5000000000000006E-2</v>
      </c>
      <c r="F2648" s="1">
        <v>0</v>
      </c>
      <c r="G2648" s="1">
        <v>0</v>
      </c>
      <c r="H2648" s="1">
        <v>1.1926435600800001</v>
      </c>
      <c r="I2648" s="1">
        <v>1.55684194316</v>
      </c>
      <c r="J2648" s="1">
        <v>0.66134050432199998</v>
      </c>
      <c r="K2648" s="1">
        <v>12377.8400499</v>
      </c>
      <c r="L2648" s="1">
        <v>2977.27228289</v>
      </c>
      <c r="M2648" s="1" t="s">
        <v>198</v>
      </c>
      <c r="N2648" s="1" t="b">
        <v>1</v>
      </c>
    </row>
    <row r="2649" spans="1:14" ht="19" customHeight="1" x14ac:dyDescent="0.3">
      <c r="A2649">
        <v>2644</v>
      </c>
      <c r="B2649" s="1">
        <v>10</v>
      </c>
      <c r="C2649" s="1">
        <v>70</v>
      </c>
      <c r="D2649" s="1">
        <v>5.5E-2</v>
      </c>
      <c r="E2649" s="1">
        <v>8.5000000000000006E-2</v>
      </c>
      <c r="F2649" s="1">
        <v>0</v>
      </c>
      <c r="G2649" s="1">
        <v>1</v>
      </c>
      <c r="H2649" s="1">
        <v>1.1926435600800001</v>
      </c>
      <c r="I2649" s="1">
        <v>1.16763145737</v>
      </c>
      <c r="J2649" s="1">
        <v>0.54229921354400001</v>
      </c>
      <c r="K2649" s="1">
        <v>10625.663094199999</v>
      </c>
      <c r="L2649" s="1">
        <v>2441.3632719699999</v>
      </c>
      <c r="M2649" s="1" t="s">
        <v>198</v>
      </c>
      <c r="N2649" s="1" t="b">
        <v>1</v>
      </c>
    </row>
    <row r="2650" spans="1:14" ht="19" customHeight="1" x14ac:dyDescent="0.3">
      <c r="A2650">
        <v>2645</v>
      </c>
      <c r="B2650" s="1">
        <v>10</v>
      </c>
      <c r="C2650" s="1">
        <v>70</v>
      </c>
      <c r="D2650" s="1">
        <v>5.5E-2</v>
      </c>
      <c r="E2650" s="1">
        <v>8.5000000000000006E-2</v>
      </c>
      <c r="F2650" s="1">
        <v>5</v>
      </c>
      <c r="G2650" s="1">
        <v>0</v>
      </c>
      <c r="H2650" s="1">
        <v>1.1661087163999999</v>
      </c>
      <c r="I2650" s="1">
        <v>1.52220413604</v>
      </c>
      <c r="J2650" s="1">
        <v>0.66884050432200004</v>
      </c>
      <c r="K2650" s="1">
        <v>12102.4484226</v>
      </c>
      <c r="L2650" s="1">
        <v>3011.03634539</v>
      </c>
      <c r="M2650" s="1" t="s">
        <v>198</v>
      </c>
      <c r="N2650" s="1" t="b">
        <v>1</v>
      </c>
    </row>
    <row r="2651" spans="1:14" ht="19" customHeight="1" x14ac:dyDescent="0.3">
      <c r="A2651">
        <v>2646</v>
      </c>
      <c r="B2651" s="1">
        <v>10</v>
      </c>
      <c r="C2651" s="1">
        <v>70</v>
      </c>
      <c r="D2651" s="1">
        <v>5.5E-2</v>
      </c>
      <c r="E2651" s="1">
        <v>8.5000000000000006E-2</v>
      </c>
      <c r="F2651" s="1">
        <v>5</v>
      </c>
      <c r="G2651" s="1">
        <v>1</v>
      </c>
      <c r="H2651" s="1">
        <v>1.1661087163999999</v>
      </c>
      <c r="I2651" s="1">
        <v>1.14165310203</v>
      </c>
      <c r="J2651" s="1">
        <v>0.548449213544</v>
      </c>
      <c r="K2651" s="1">
        <v>10389.2552364</v>
      </c>
      <c r="L2651" s="1">
        <v>2469.0498032199998</v>
      </c>
      <c r="M2651" s="1" t="s">
        <v>198</v>
      </c>
      <c r="N2651" s="1" t="b">
        <v>1</v>
      </c>
    </row>
    <row r="2652" spans="1:14" ht="19" customHeight="1" x14ac:dyDescent="0.3">
      <c r="A2652">
        <v>2647</v>
      </c>
      <c r="B2652" s="1">
        <v>10</v>
      </c>
      <c r="C2652" s="1">
        <v>90</v>
      </c>
      <c r="D2652" s="1">
        <v>2.5000000000000001E-2</v>
      </c>
      <c r="E2652" s="1">
        <v>0.04</v>
      </c>
      <c r="F2652" s="1">
        <v>-5</v>
      </c>
      <c r="G2652" s="1">
        <v>0</v>
      </c>
      <c r="H2652" s="1">
        <v>1.34300995082</v>
      </c>
      <c r="I2652" s="1">
        <v>1.78755598766</v>
      </c>
      <c r="J2652" s="1">
        <v>0.68467158427599994</v>
      </c>
      <c r="K2652" s="1">
        <v>23297.2803934</v>
      </c>
      <c r="L2652" s="1">
        <v>5095.2403462399998</v>
      </c>
      <c r="M2652" s="1" t="s">
        <v>198</v>
      </c>
      <c r="N2652" s="1" t="b">
        <v>1</v>
      </c>
    </row>
    <row r="2653" spans="1:14" ht="19" customHeight="1" x14ac:dyDescent="0.3">
      <c r="A2653">
        <v>2648</v>
      </c>
      <c r="B2653" s="1">
        <v>10</v>
      </c>
      <c r="C2653" s="1">
        <v>90</v>
      </c>
      <c r="D2653" s="1">
        <v>2.5000000000000001E-2</v>
      </c>
      <c r="E2653" s="1">
        <v>0.04</v>
      </c>
      <c r="F2653" s="1">
        <v>-5</v>
      </c>
      <c r="G2653" s="1">
        <v>1</v>
      </c>
      <c r="H2653" s="1">
        <v>1.34300995082</v>
      </c>
      <c r="I2653" s="1">
        <v>1.34066699075</v>
      </c>
      <c r="J2653" s="1">
        <v>0.56143069910700005</v>
      </c>
      <c r="K2653" s="1">
        <v>19971.588339499998</v>
      </c>
      <c r="L2653" s="1">
        <v>4178.09708391</v>
      </c>
      <c r="M2653" s="1" t="s">
        <v>198</v>
      </c>
      <c r="N2653" s="1" t="b">
        <v>1</v>
      </c>
    </row>
    <row r="2654" spans="1:14" ht="19" customHeight="1" x14ac:dyDescent="0.3">
      <c r="A2654">
        <v>2649</v>
      </c>
      <c r="B2654" s="1">
        <v>10</v>
      </c>
      <c r="C2654" s="1">
        <v>90</v>
      </c>
      <c r="D2654" s="1">
        <v>2.5000000000000001E-2</v>
      </c>
      <c r="E2654" s="1">
        <v>0.04</v>
      </c>
      <c r="F2654" s="1">
        <v>0</v>
      </c>
      <c r="G2654" s="1">
        <v>0</v>
      </c>
      <c r="H2654" s="1">
        <v>1.37357018813</v>
      </c>
      <c r="I2654" s="1">
        <v>1.8282318852299999</v>
      </c>
      <c r="J2654" s="1">
        <v>0.67717158427599999</v>
      </c>
      <c r="K2654" s="1">
        <v>23827.410804700001</v>
      </c>
      <c r="L2654" s="1">
        <v>5039.4262837400001</v>
      </c>
      <c r="M2654" s="1" t="s">
        <v>198</v>
      </c>
      <c r="N2654" s="1" t="b">
        <v>1</v>
      </c>
    </row>
    <row r="2655" spans="1:14" ht="19" customHeight="1" x14ac:dyDescent="0.3">
      <c r="A2655">
        <v>2650</v>
      </c>
      <c r="B2655" s="1">
        <v>10</v>
      </c>
      <c r="C2655" s="1">
        <v>90</v>
      </c>
      <c r="D2655" s="1">
        <v>2.5000000000000001E-2</v>
      </c>
      <c r="E2655" s="1">
        <v>0.04</v>
      </c>
      <c r="F2655" s="1">
        <v>0</v>
      </c>
      <c r="G2655" s="1">
        <v>1</v>
      </c>
      <c r="H2655" s="1">
        <v>1.37357018813</v>
      </c>
      <c r="I2655" s="1">
        <v>1.3711739139200001</v>
      </c>
      <c r="J2655" s="1">
        <v>0.55528069910699995</v>
      </c>
      <c r="K2655" s="1">
        <v>20426.042514500001</v>
      </c>
      <c r="L2655" s="1">
        <v>4132.3295526600004</v>
      </c>
      <c r="M2655" s="1" t="s">
        <v>198</v>
      </c>
      <c r="N2655" s="1" t="b">
        <v>1</v>
      </c>
    </row>
    <row r="2656" spans="1:14" ht="19" customHeight="1" x14ac:dyDescent="0.3">
      <c r="A2656">
        <v>2651</v>
      </c>
      <c r="B2656" s="1">
        <v>10</v>
      </c>
      <c r="C2656" s="1">
        <v>90</v>
      </c>
      <c r="D2656" s="1">
        <v>2.5000000000000001E-2</v>
      </c>
      <c r="E2656" s="1">
        <v>0.04</v>
      </c>
      <c r="F2656" s="1">
        <v>5</v>
      </c>
      <c r="G2656" s="1">
        <v>0</v>
      </c>
      <c r="H2656" s="1">
        <v>1.34300995082</v>
      </c>
      <c r="I2656" s="1">
        <v>1.78755598766</v>
      </c>
      <c r="J2656" s="1">
        <v>0.68467158427599994</v>
      </c>
      <c r="K2656" s="1">
        <v>23297.2803934</v>
      </c>
      <c r="L2656" s="1">
        <v>5095.2403462399998</v>
      </c>
      <c r="M2656" s="1" t="s">
        <v>198</v>
      </c>
      <c r="N2656" s="1" t="b">
        <v>1</v>
      </c>
    </row>
    <row r="2657" spans="1:14" ht="19" customHeight="1" x14ac:dyDescent="0.3">
      <c r="A2657">
        <v>2652</v>
      </c>
      <c r="B2657" s="1">
        <v>10</v>
      </c>
      <c r="C2657" s="1">
        <v>90</v>
      </c>
      <c r="D2657" s="1">
        <v>2.5000000000000001E-2</v>
      </c>
      <c r="E2657" s="1">
        <v>0.04</v>
      </c>
      <c r="F2657" s="1">
        <v>5</v>
      </c>
      <c r="G2657" s="1">
        <v>1</v>
      </c>
      <c r="H2657" s="1">
        <v>1.34300995082</v>
      </c>
      <c r="I2657" s="1">
        <v>1.34066699075</v>
      </c>
      <c r="J2657" s="1">
        <v>0.56143069910700005</v>
      </c>
      <c r="K2657" s="1">
        <v>19971.588339499998</v>
      </c>
      <c r="L2657" s="1">
        <v>4178.09708391</v>
      </c>
      <c r="M2657" s="1" t="s">
        <v>198</v>
      </c>
      <c r="N2657" s="1" t="b">
        <v>1</v>
      </c>
    </row>
    <row r="2658" spans="1:14" ht="19" customHeight="1" x14ac:dyDescent="0.3">
      <c r="A2658">
        <v>2653</v>
      </c>
      <c r="B2658" s="1">
        <v>10</v>
      </c>
      <c r="C2658" s="1">
        <v>90</v>
      </c>
      <c r="D2658" s="1">
        <v>2.5000000000000001E-2</v>
      </c>
      <c r="E2658" s="1">
        <v>0.06</v>
      </c>
      <c r="F2658" s="1">
        <v>-5</v>
      </c>
      <c r="G2658" s="1">
        <v>0</v>
      </c>
      <c r="H2658" s="1">
        <v>1.3836249644600001</v>
      </c>
      <c r="I2658" s="1">
        <v>1.8484785081099999</v>
      </c>
      <c r="J2658" s="1">
        <v>0.68830626512100002</v>
      </c>
      <c r="K2658" s="1">
        <v>24052.910029899998</v>
      </c>
      <c r="L2658" s="1">
        <v>5122.2891867500002</v>
      </c>
      <c r="M2658" s="1" t="s">
        <v>198</v>
      </c>
      <c r="N2658" s="1" t="b">
        <v>1</v>
      </c>
    </row>
    <row r="2659" spans="1:14" ht="19" customHeight="1" x14ac:dyDescent="0.3">
      <c r="A2659">
        <v>2654</v>
      </c>
      <c r="B2659" s="1">
        <v>10</v>
      </c>
      <c r="C2659" s="1">
        <v>90</v>
      </c>
      <c r="D2659" s="1">
        <v>2.5000000000000001E-2</v>
      </c>
      <c r="E2659" s="1">
        <v>0.06</v>
      </c>
      <c r="F2659" s="1">
        <v>-5</v>
      </c>
      <c r="G2659" s="1">
        <v>1</v>
      </c>
      <c r="H2659" s="1">
        <v>1.3836249644600001</v>
      </c>
      <c r="I2659" s="1">
        <v>1.3863588810900001</v>
      </c>
      <c r="J2659" s="1">
        <v>0.56441113740000004</v>
      </c>
      <c r="K2659" s="1">
        <v>20613.873530500001</v>
      </c>
      <c r="L2659" s="1">
        <v>4200.2771331399999</v>
      </c>
      <c r="M2659" s="1" t="s">
        <v>198</v>
      </c>
      <c r="N2659" s="1" t="b">
        <v>1</v>
      </c>
    </row>
    <row r="2660" spans="1:14" ht="19" customHeight="1" x14ac:dyDescent="0.3">
      <c r="A2660">
        <v>2655</v>
      </c>
      <c r="B2660" s="1">
        <v>10</v>
      </c>
      <c r="C2660" s="1">
        <v>90</v>
      </c>
      <c r="D2660" s="1">
        <v>2.5000000000000001E-2</v>
      </c>
      <c r="E2660" s="1">
        <v>0.06</v>
      </c>
      <c r="F2660" s="1">
        <v>0</v>
      </c>
      <c r="G2660" s="1">
        <v>0</v>
      </c>
      <c r="H2660" s="1">
        <v>1.41510939779</v>
      </c>
      <c r="I2660" s="1">
        <v>1.8905406997200001</v>
      </c>
      <c r="J2660" s="1">
        <v>0.68080626512099995</v>
      </c>
      <c r="K2660" s="1">
        <v>24600.234819400001</v>
      </c>
      <c r="L2660" s="1">
        <v>5066.4751242499997</v>
      </c>
      <c r="M2660" s="1" t="s">
        <v>198</v>
      </c>
      <c r="N2660" s="1" t="b">
        <v>1</v>
      </c>
    </row>
    <row r="2661" spans="1:14" ht="19" customHeight="1" x14ac:dyDescent="0.3">
      <c r="A2661">
        <v>2656</v>
      </c>
      <c r="B2661" s="1">
        <v>10</v>
      </c>
      <c r="C2661" s="1">
        <v>90</v>
      </c>
      <c r="D2661" s="1">
        <v>2.5000000000000001E-2</v>
      </c>
      <c r="E2661" s="1">
        <v>0.06</v>
      </c>
      <c r="F2661" s="1">
        <v>0</v>
      </c>
      <c r="G2661" s="1">
        <v>1</v>
      </c>
      <c r="H2661" s="1">
        <v>1.41510939779</v>
      </c>
      <c r="I2661" s="1">
        <v>1.4179055247900001</v>
      </c>
      <c r="J2661" s="1">
        <v>0.55826113740000005</v>
      </c>
      <c r="K2661" s="1">
        <v>21082.942927</v>
      </c>
      <c r="L2661" s="1">
        <v>4154.5096018900003</v>
      </c>
      <c r="M2661" s="1" t="s">
        <v>198</v>
      </c>
      <c r="N2661" s="1" t="b">
        <v>1</v>
      </c>
    </row>
    <row r="2662" spans="1:14" ht="19" customHeight="1" x14ac:dyDescent="0.3">
      <c r="A2662">
        <v>2657</v>
      </c>
      <c r="B2662" s="1">
        <v>10</v>
      </c>
      <c r="C2662" s="1">
        <v>90</v>
      </c>
      <c r="D2662" s="1">
        <v>2.5000000000000001E-2</v>
      </c>
      <c r="E2662" s="1">
        <v>0.06</v>
      </c>
      <c r="F2662" s="1">
        <v>5</v>
      </c>
      <c r="G2662" s="1">
        <v>0</v>
      </c>
      <c r="H2662" s="1">
        <v>1.3836249644600001</v>
      </c>
      <c r="I2662" s="1">
        <v>1.8484785081099999</v>
      </c>
      <c r="J2662" s="1">
        <v>0.68830626512100002</v>
      </c>
      <c r="K2662" s="1">
        <v>24052.910029899998</v>
      </c>
      <c r="L2662" s="1">
        <v>5122.2891867500002</v>
      </c>
      <c r="M2662" s="1" t="s">
        <v>198</v>
      </c>
      <c r="N2662" s="1" t="b">
        <v>1</v>
      </c>
    </row>
    <row r="2663" spans="1:14" ht="19" customHeight="1" x14ac:dyDescent="0.3">
      <c r="A2663">
        <v>2658</v>
      </c>
      <c r="B2663" s="1">
        <v>10</v>
      </c>
      <c r="C2663" s="1">
        <v>90</v>
      </c>
      <c r="D2663" s="1">
        <v>2.5000000000000001E-2</v>
      </c>
      <c r="E2663" s="1">
        <v>0.06</v>
      </c>
      <c r="F2663" s="1">
        <v>5</v>
      </c>
      <c r="G2663" s="1">
        <v>1</v>
      </c>
      <c r="H2663" s="1">
        <v>1.3836249644600001</v>
      </c>
      <c r="I2663" s="1">
        <v>1.3863588810900001</v>
      </c>
      <c r="J2663" s="1">
        <v>0.56441113740000004</v>
      </c>
      <c r="K2663" s="1">
        <v>20613.873530500001</v>
      </c>
      <c r="L2663" s="1">
        <v>4200.2771331399999</v>
      </c>
      <c r="M2663" s="1" t="s">
        <v>198</v>
      </c>
      <c r="N2663" s="1" t="b">
        <v>1</v>
      </c>
    </row>
    <row r="2664" spans="1:14" ht="19" customHeight="1" x14ac:dyDescent="0.3">
      <c r="A2664">
        <v>2659</v>
      </c>
      <c r="B2664" s="1">
        <v>10</v>
      </c>
      <c r="C2664" s="1">
        <v>90</v>
      </c>
      <c r="D2664" s="1">
        <v>2.5000000000000001E-2</v>
      </c>
      <c r="E2664" s="1">
        <v>8.5000000000000006E-2</v>
      </c>
      <c r="F2664" s="1">
        <v>-5</v>
      </c>
      <c r="G2664" s="1">
        <v>0</v>
      </c>
      <c r="H2664" s="1">
        <v>1.2797934555099999</v>
      </c>
      <c r="I2664" s="1">
        <v>1.6927312447</v>
      </c>
      <c r="J2664" s="1">
        <v>0.67901427275500004</v>
      </c>
      <c r="K2664" s="1">
        <v>22121.157253400001</v>
      </c>
      <c r="L2664" s="1">
        <v>5053.1393410600003</v>
      </c>
      <c r="M2664" s="1" t="s">
        <v>198</v>
      </c>
      <c r="N2664" s="1" t="b">
        <v>1</v>
      </c>
    </row>
    <row r="2665" spans="1:14" ht="19" customHeight="1" x14ac:dyDescent="0.3">
      <c r="A2665">
        <v>2660</v>
      </c>
      <c r="B2665" s="1">
        <v>10</v>
      </c>
      <c r="C2665" s="1">
        <v>90</v>
      </c>
      <c r="D2665" s="1">
        <v>2.5000000000000001E-2</v>
      </c>
      <c r="E2665" s="1">
        <v>8.5000000000000006E-2</v>
      </c>
      <c r="F2665" s="1">
        <v>-5</v>
      </c>
      <c r="G2665" s="1">
        <v>1</v>
      </c>
      <c r="H2665" s="1">
        <v>1.2797934555099999</v>
      </c>
      <c r="I2665" s="1">
        <v>1.26954843352</v>
      </c>
      <c r="J2665" s="1">
        <v>0.55679170365899999</v>
      </c>
      <c r="K2665" s="1">
        <v>18971.883670499999</v>
      </c>
      <c r="L2665" s="1">
        <v>4143.5742596700002</v>
      </c>
      <c r="M2665" s="1" t="s">
        <v>198</v>
      </c>
      <c r="N2665" s="1" t="b">
        <v>1</v>
      </c>
    </row>
    <row r="2666" spans="1:14" ht="19" customHeight="1" x14ac:dyDescent="0.3">
      <c r="A2666">
        <v>2661</v>
      </c>
      <c r="B2666" s="1">
        <v>10</v>
      </c>
      <c r="C2666" s="1">
        <v>90</v>
      </c>
      <c r="D2666" s="1">
        <v>2.5000000000000001E-2</v>
      </c>
      <c r="E2666" s="1">
        <v>8.5000000000000006E-2</v>
      </c>
      <c r="F2666" s="1">
        <v>0</v>
      </c>
      <c r="G2666" s="1">
        <v>0</v>
      </c>
      <c r="H2666" s="1">
        <v>1.3089151993100001</v>
      </c>
      <c r="I2666" s="1">
        <v>1.731249402</v>
      </c>
      <c r="J2666" s="1">
        <v>0.67151427275499997</v>
      </c>
      <c r="K2666" s="1">
        <v>22624.524942399999</v>
      </c>
      <c r="L2666" s="1">
        <v>4997.3252785599998</v>
      </c>
      <c r="M2666" s="1" t="s">
        <v>198</v>
      </c>
      <c r="N2666" s="1" t="b">
        <v>1</v>
      </c>
    </row>
    <row r="2667" spans="1:14" ht="19" customHeight="1" x14ac:dyDescent="0.3">
      <c r="A2667">
        <v>2662</v>
      </c>
      <c r="B2667" s="1">
        <v>10</v>
      </c>
      <c r="C2667" s="1">
        <v>90</v>
      </c>
      <c r="D2667" s="1">
        <v>2.5000000000000001E-2</v>
      </c>
      <c r="E2667" s="1">
        <v>8.5000000000000006E-2</v>
      </c>
      <c r="F2667" s="1">
        <v>0</v>
      </c>
      <c r="G2667" s="1">
        <v>1</v>
      </c>
      <c r="H2667" s="1">
        <v>1.3089151993100001</v>
      </c>
      <c r="I2667" s="1">
        <v>1.2984370515000001</v>
      </c>
      <c r="J2667" s="1">
        <v>0.550641703659</v>
      </c>
      <c r="K2667" s="1">
        <v>19403.589531500002</v>
      </c>
      <c r="L2667" s="1">
        <v>4097.8067284199997</v>
      </c>
      <c r="M2667" s="1" t="s">
        <v>198</v>
      </c>
      <c r="N2667" s="1" t="b">
        <v>1</v>
      </c>
    </row>
    <row r="2668" spans="1:14" ht="19" customHeight="1" x14ac:dyDescent="0.3">
      <c r="A2668">
        <v>2663</v>
      </c>
      <c r="B2668" s="1">
        <v>10</v>
      </c>
      <c r="C2668" s="1">
        <v>90</v>
      </c>
      <c r="D2668" s="1">
        <v>2.5000000000000001E-2</v>
      </c>
      <c r="E2668" s="1">
        <v>8.5000000000000006E-2</v>
      </c>
      <c r="F2668" s="1">
        <v>5</v>
      </c>
      <c r="G2668" s="1">
        <v>0</v>
      </c>
      <c r="H2668" s="1">
        <v>1.2797934555099999</v>
      </c>
      <c r="I2668" s="1">
        <v>1.6927312447</v>
      </c>
      <c r="J2668" s="1">
        <v>0.67901427275500004</v>
      </c>
      <c r="K2668" s="1">
        <v>22121.157253400001</v>
      </c>
      <c r="L2668" s="1">
        <v>5053.1393410600003</v>
      </c>
      <c r="M2668" s="1" t="s">
        <v>198</v>
      </c>
      <c r="N2668" s="1" t="b">
        <v>1</v>
      </c>
    </row>
    <row r="2669" spans="1:14" ht="19" customHeight="1" x14ac:dyDescent="0.3">
      <c r="A2669">
        <v>2664</v>
      </c>
      <c r="B2669" s="1">
        <v>10</v>
      </c>
      <c r="C2669" s="1">
        <v>90</v>
      </c>
      <c r="D2669" s="1">
        <v>2.5000000000000001E-2</v>
      </c>
      <c r="E2669" s="1">
        <v>8.5000000000000006E-2</v>
      </c>
      <c r="F2669" s="1">
        <v>5</v>
      </c>
      <c r="G2669" s="1">
        <v>1</v>
      </c>
      <c r="H2669" s="1">
        <v>1.2797934555099999</v>
      </c>
      <c r="I2669" s="1">
        <v>1.26954843352</v>
      </c>
      <c r="J2669" s="1">
        <v>0.55679170365899999</v>
      </c>
      <c r="K2669" s="1">
        <v>18971.883670499999</v>
      </c>
      <c r="L2669" s="1">
        <v>4143.5742596700002</v>
      </c>
      <c r="M2669" s="1" t="s">
        <v>198</v>
      </c>
      <c r="N2669" s="1" t="b">
        <v>1</v>
      </c>
    </row>
    <row r="2670" spans="1:14" ht="19" customHeight="1" x14ac:dyDescent="0.3">
      <c r="A2670">
        <v>2665</v>
      </c>
      <c r="B2670" s="1">
        <v>10</v>
      </c>
      <c r="C2670" s="1">
        <v>90</v>
      </c>
      <c r="D2670" s="1">
        <v>0.04</v>
      </c>
      <c r="E2670" s="1">
        <v>0.04</v>
      </c>
      <c r="F2670" s="1">
        <v>-5</v>
      </c>
      <c r="G2670" s="1">
        <v>0</v>
      </c>
      <c r="H2670" s="1">
        <v>1.3489987642700001</v>
      </c>
      <c r="I2670" s="1">
        <v>1.79653920784</v>
      </c>
      <c r="J2670" s="1">
        <v>0.68520752957300002</v>
      </c>
      <c r="K2670" s="1">
        <v>23408.700396200002</v>
      </c>
      <c r="L2670" s="1">
        <v>5099.2287841400002</v>
      </c>
      <c r="M2670" s="1" t="s">
        <v>198</v>
      </c>
      <c r="N2670" s="1" t="b">
        <v>1</v>
      </c>
    </row>
    <row r="2671" spans="1:14" ht="19" customHeight="1" x14ac:dyDescent="0.3">
      <c r="A2671">
        <v>2666</v>
      </c>
      <c r="B2671" s="1">
        <v>10</v>
      </c>
      <c r="C2671" s="1">
        <v>90</v>
      </c>
      <c r="D2671" s="1">
        <v>0.04</v>
      </c>
      <c r="E2671" s="1">
        <v>0.04</v>
      </c>
      <c r="F2671" s="1">
        <v>-5</v>
      </c>
      <c r="G2671" s="1">
        <v>1</v>
      </c>
      <c r="H2671" s="1">
        <v>1.3489987642700001</v>
      </c>
      <c r="I2671" s="1">
        <v>1.3474044058800001</v>
      </c>
      <c r="J2671" s="1">
        <v>0.56187017424999997</v>
      </c>
      <c r="K2671" s="1">
        <v>20066.2953419</v>
      </c>
      <c r="L2671" s="1">
        <v>4181.3676029999997</v>
      </c>
      <c r="M2671" s="1" t="s">
        <v>198</v>
      </c>
      <c r="N2671" s="1" t="b">
        <v>1</v>
      </c>
    </row>
    <row r="2672" spans="1:14" ht="19" customHeight="1" x14ac:dyDescent="0.3">
      <c r="A2672">
        <v>2667</v>
      </c>
      <c r="B2672" s="1">
        <v>10</v>
      </c>
      <c r="C2672" s="1">
        <v>90</v>
      </c>
      <c r="D2672" s="1">
        <v>0.04</v>
      </c>
      <c r="E2672" s="1">
        <v>0.04</v>
      </c>
      <c r="F2672" s="1">
        <v>0</v>
      </c>
      <c r="G2672" s="1">
        <v>0</v>
      </c>
      <c r="H2672" s="1">
        <v>1.37969527724</v>
      </c>
      <c r="I2672" s="1">
        <v>1.83741951889</v>
      </c>
      <c r="J2672" s="1">
        <v>0.67770752957299996</v>
      </c>
      <c r="K2672" s="1">
        <v>23941.366173499999</v>
      </c>
      <c r="L2672" s="1">
        <v>5043.4147216399997</v>
      </c>
      <c r="M2672" s="1" t="s">
        <v>198</v>
      </c>
      <c r="N2672" s="1" t="b">
        <v>1</v>
      </c>
    </row>
    <row r="2673" spans="1:14" ht="19" customHeight="1" x14ac:dyDescent="0.3">
      <c r="A2673">
        <v>2668</v>
      </c>
      <c r="B2673" s="1">
        <v>10</v>
      </c>
      <c r="C2673" s="1">
        <v>90</v>
      </c>
      <c r="D2673" s="1">
        <v>0.04</v>
      </c>
      <c r="E2673" s="1">
        <v>0.04</v>
      </c>
      <c r="F2673" s="1">
        <v>0</v>
      </c>
      <c r="G2673" s="1">
        <v>1</v>
      </c>
      <c r="H2673" s="1">
        <v>1.37969527724</v>
      </c>
      <c r="I2673" s="1">
        <v>1.37806463917</v>
      </c>
      <c r="J2673" s="1">
        <v>0.55572017424999998</v>
      </c>
      <c r="K2673" s="1">
        <v>20522.904577900001</v>
      </c>
      <c r="L2673" s="1">
        <v>4135.6000717500001</v>
      </c>
      <c r="M2673" s="1" t="s">
        <v>198</v>
      </c>
      <c r="N2673" s="1" t="b">
        <v>1</v>
      </c>
    </row>
    <row r="2674" spans="1:14" ht="19" customHeight="1" x14ac:dyDescent="0.3">
      <c r="A2674">
        <v>2669</v>
      </c>
      <c r="B2674" s="1">
        <v>10</v>
      </c>
      <c r="C2674" s="1">
        <v>90</v>
      </c>
      <c r="D2674" s="1">
        <v>0.04</v>
      </c>
      <c r="E2674" s="1">
        <v>0.04</v>
      </c>
      <c r="F2674" s="1">
        <v>5</v>
      </c>
      <c r="G2674" s="1">
        <v>0</v>
      </c>
      <c r="H2674" s="1">
        <v>1.3489987642700001</v>
      </c>
      <c r="I2674" s="1">
        <v>1.79653920784</v>
      </c>
      <c r="J2674" s="1">
        <v>0.68520752957300002</v>
      </c>
      <c r="K2674" s="1">
        <v>23408.700396200002</v>
      </c>
      <c r="L2674" s="1">
        <v>5099.2287841400002</v>
      </c>
      <c r="M2674" s="1" t="s">
        <v>198</v>
      </c>
      <c r="N2674" s="1" t="b">
        <v>1</v>
      </c>
    </row>
    <row r="2675" spans="1:14" ht="19" customHeight="1" x14ac:dyDescent="0.3">
      <c r="A2675">
        <v>2670</v>
      </c>
      <c r="B2675" s="1">
        <v>10</v>
      </c>
      <c r="C2675" s="1">
        <v>90</v>
      </c>
      <c r="D2675" s="1">
        <v>0.04</v>
      </c>
      <c r="E2675" s="1">
        <v>0.04</v>
      </c>
      <c r="F2675" s="1">
        <v>5</v>
      </c>
      <c r="G2675" s="1">
        <v>1</v>
      </c>
      <c r="H2675" s="1">
        <v>1.3489987642700001</v>
      </c>
      <c r="I2675" s="1">
        <v>1.3474044058800001</v>
      </c>
      <c r="J2675" s="1">
        <v>0.56187017424999997</v>
      </c>
      <c r="K2675" s="1">
        <v>20066.2953419</v>
      </c>
      <c r="L2675" s="1">
        <v>4181.3676029999997</v>
      </c>
      <c r="M2675" s="1" t="s">
        <v>198</v>
      </c>
      <c r="N2675" s="1" t="b">
        <v>1</v>
      </c>
    </row>
    <row r="2676" spans="1:14" ht="19" customHeight="1" x14ac:dyDescent="0.3">
      <c r="A2676">
        <v>2671</v>
      </c>
      <c r="B2676" s="1">
        <v>10</v>
      </c>
      <c r="C2676" s="1">
        <v>90</v>
      </c>
      <c r="D2676" s="1">
        <v>0.04</v>
      </c>
      <c r="E2676" s="1">
        <v>0.06</v>
      </c>
      <c r="F2676" s="1">
        <v>-5</v>
      </c>
      <c r="G2676" s="1">
        <v>0</v>
      </c>
      <c r="H2676" s="1">
        <v>1.3901945798299999</v>
      </c>
      <c r="I2676" s="1">
        <v>1.8583329311800001</v>
      </c>
      <c r="J2676" s="1">
        <v>0.68889418700100002</v>
      </c>
      <c r="K2676" s="1">
        <v>24175.135671</v>
      </c>
      <c r="L2676" s="1">
        <v>5126.6644278900003</v>
      </c>
      <c r="M2676" s="1" t="s">
        <v>198</v>
      </c>
      <c r="N2676" s="1" t="b">
        <v>1</v>
      </c>
    </row>
    <row r="2677" spans="1:14" ht="19" customHeight="1" x14ac:dyDescent="0.3">
      <c r="A2677">
        <v>2672</v>
      </c>
      <c r="B2677" s="1">
        <v>10</v>
      </c>
      <c r="C2677" s="1">
        <v>90</v>
      </c>
      <c r="D2677" s="1">
        <v>0.04</v>
      </c>
      <c r="E2677" s="1">
        <v>0.06</v>
      </c>
      <c r="F2677" s="1">
        <v>-5</v>
      </c>
      <c r="G2677" s="1">
        <v>1</v>
      </c>
      <c r="H2677" s="1">
        <v>1.3901945798299999</v>
      </c>
      <c r="I2677" s="1">
        <v>1.39374969838</v>
      </c>
      <c r="J2677" s="1">
        <v>0.56489323334099995</v>
      </c>
      <c r="K2677" s="1">
        <v>20717.7653254</v>
      </c>
      <c r="L2677" s="1">
        <v>4203.8648308700003</v>
      </c>
      <c r="M2677" s="1" t="s">
        <v>198</v>
      </c>
      <c r="N2677" s="1" t="b">
        <v>1</v>
      </c>
    </row>
    <row r="2678" spans="1:14" ht="19" customHeight="1" x14ac:dyDescent="0.3">
      <c r="A2678">
        <v>2673</v>
      </c>
      <c r="B2678" s="1">
        <v>10</v>
      </c>
      <c r="C2678" s="1">
        <v>90</v>
      </c>
      <c r="D2678" s="1">
        <v>0.04</v>
      </c>
      <c r="E2678" s="1">
        <v>0.06</v>
      </c>
      <c r="F2678" s="1">
        <v>0</v>
      </c>
      <c r="G2678" s="1">
        <v>0</v>
      </c>
      <c r="H2678" s="1">
        <v>1.4218285049899999</v>
      </c>
      <c r="I2678" s="1">
        <v>1.9006193605099999</v>
      </c>
      <c r="J2678" s="1">
        <v>0.68139418700099996</v>
      </c>
      <c r="K2678" s="1">
        <v>24725.241709099999</v>
      </c>
      <c r="L2678" s="1">
        <v>5070.8503653899998</v>
      </c>
      <c r="M2678" s="1" t="s">
        <v>198</v>
      </c>
      <c r="N2678" s="1" t="b">
        <v>1</v>
      </c>
    </row>
    <row r="2679" spans="1:14" ht="19" customHeight="1" x14ac:dyDescent="0.3">
      <c r="A2679">
        <v>2674</v>
      </c>
      <c r="B2679" s="1">
        <v>10</v>
      </c>
      <c r="C2679" s="1">
        <v>90</v>
      </c>
      <c r="D2679" s="1">
        <v>0.04</v>
      </c>
      <c r="E2679" s="1">
        <v>0.06</v>
      </c>
      <c r="F2679" s="1">
        <v>0</v>
      </c>
      <c r="G2679" s="1">
        <v>1</v>
      </c>
      <c r="H2679" s="1">
        <v>1.4218285049899999</v>
      </c>
      <c r="I2679" s="1">
        <v>1.42546452039</v>
      </c>
      <c r="J2679" s="1">
        <v>0.55874323334099996</v>
      </c>
      <c r="K2679" s="1">
        <v>21189.198783200001</v>
      </c>
      <c r="L2679" s="1">
        <v>4158.0972996199998</v>
      </c>
      <c r="M2679" s="1" t="s">
        <v>198</v>
      </c>
      <c r="N2679" s="1" t="b">
        <v>1</v>
      </c>
    </row>
    <row r="2680" spans="1:14" ht="19" customHeight="1" x14ac:dyDescent="0.3">
      <c r="A2680">
        <v>2675</v>
      </c>
      <c r="B2680" s="1">
        <v>10</v>
      </c>
      <c r="C2680" s="1">
        <v>90</v>
      </c>
      <c r="D2680" s="1">
        <v>0.04</v>
      </c>
      <c r="E2680" s="1">
        <v>0.06</v>
      </c>
      <c r="F2680" s="1">
        <v>5</v>
      </c>
      <c r="G2680" s="1">
        <v>0</v>
      </c>
      <c r="H2680" s="1">
        <v>1.3901945798299999</v>
      </c>
      <c r="I2680" s="1">
        <v>1.8583329311800001</v>
      </c>
      <c r="J2680" s="1">
        <v>0.68889418700100002</v>
      </c>
      <c r="K2680" s="1">
        <v>24175.135671</v>
      </c>
      <c r="L2680" s="1">
        <v>5126.6644278900003</v>
      </c>
      <c r="M2680" s="1" t="s">
        <v>198</v>
      </c>
      <c r="N2680" s="1" t="b">
        <v>1</v>
      </c>
    </row>
    <row r="2681" spans="1:14" ht="19" customHeight="1" x14ac:dyDescent="0.3">
      <c r="A2681">
        <v>2676</v>
      </c>
      <c r="B2681" s="1">
        <v>10</v>
      </c>
      <c r="C2681" s="1">
        <v>90</v>
      </c>
      <c r="D2681" s="1">
        <v>0.04</v>
      </c>
      <c r="E2681" s="1">
        <v>0.06</v>
      </c>
      <c r="F2681" s="1">
        <v>5</v>
      </c>
      <c r="G2681" s="1">
        <v>1</v>
      </c>
      <c r="H2681" s="1">
        <v>1.3901945798299999</v>
      </c>
      <c r="I2681" s="1">
        <v>1.39374969838</v>
      </c>
      <c r="J2681" s="1">
        <v>0.56489323334099995</v>
      </c>
      <c r="K2681" s="1">
        <v>20717.7653254</v>
      </c>
      <c r="L2681" s="1">
        <v>4203.8648308700003</v>
      </c>
      <c r="M2681" s="1" t="s">
        <v>198</v>
      </c>
      <c r="N2681" s="1" t="b">
        <v>1</v>
      </c>
    </row>
    <row r="2682" spans="1:14" ht="19" customHeight="1" x14ac:dyDescent="0.3">
      <c r="A2682">
        <v>2677</v>
      </c>
      <c r="B2682" s="1">
        <v>10</v>
      </c>
      <c r="C2682" s="1">
        <v>90</v>
      </c>
      <c r="D2682" s="1">
        <v>0.04</v>
      </c>
      <c r="E2682" s="1">
        <v>8.5000000000000006E-2</v>
      </c>
      <c r="F2682" s="1">
        <v>-5</v>
      </c>
      <c r="G2682" s="1">
        <v>0</v>
      </c>
      <c r="H2682" s="1">
        <v>1.2848782618300001</v>
      </c>
      <c r="I2682" s="1">
        <v>1.7003584541800001</v>
      </c>
      <c r="J2682" s="1">
        <v>0.67946931748999995</v>
      </c>
      <c r="K2682" s="1">
        <v>22215.758485999999</v>
      </c>
      <c r="L2682" s="1">
        <v>5056.5257271</v>
      </c>
      <c r="M2682" s="1" t="s">
        <v>198</v>
      </c>
      <c r="N2682" s="1" t="b">
        <v>1</v>
      </c>
    </row>
    <row r="2683" spans="1:14" ht="19" customHeight="1" x14ac:dyDescent="0.3">
      <c r="A2683">
        <v>2678</v>
      </c>
      <c r="B2683" s="1">
        <v>10</v>
      </c>
      <c r="C2683" s="1">
        <v>90</v>
      </c>
      <c r="D2683" s="1">
        <v>0.04</v>
      </c>
      <c r="E2683" s="1">
        <v>8.5000000000000006E-2</v>
      </c>
      <c r="F2683" s="1">
        <v>-5</v>
      </c>
      <c r="G2683" s="1">
        <v>1</v>
      </c>
      <c r="H2683" s="1">
        <v>1.2848782618300001</v>
      </c>
      <c r="I2683" s="1">
        <v>1.2752688406399999</v>
      </c>
      <c r="J2683" s="1">
        <v>0.55716484034199998</v>
      </c>
      <c r="K2683" s="1">
        <v>19052.294718199999</v>
      </c>
      <c r="L2683" s="1">
        <v>4146.3510962199998</v>
      </c>
      <c r="M2683" s="1" t="s">
        <v>198</v>
      </c>
      <c r="N2683" s="1" t="b">
        <v>1</v>
      </c>
    </row>
    <row r="2684" spans="1:14" ht="19" customHeight="1" x14ac:dyDescent="0.3">
      <c r="A2684">
        <v>2679</v>
      </c>
      <c r="B2684" s="1">
        <v>10</v>
      </c>
      <c r="C2684" s="1">
        <v>90</v>
      </c>
      <c r="D2684" s="1">
        <v>0.04</v>
      </c>
      <c r="E2684" s="1">
        <v>8.5000000000000006E-2</v>
      </c>
      <c r="F2684" s="1">
        <v>0</v>
      </c>
      <c r="G2684" s="1">
        <v>0</v>
      </c>
      <c r="H2684" s="1">
        <v>1.3141157105800001</v>
      </c>
      <c r="I2684" s="1">
        <v>1.7390501689</v>
      </c>
      <c r="J2684" s="1">
        <v>0.67196931749</v>
      </c>
      <c r="K2684" s="1">
        <v>22721.278829399998</v>
      </c>
      <c r="L2684" s="1">
        <v>5000.7116646000004</v>
      </c>
      <c r="M2684" s="1" t="s">
        <v>198</v>
      </c>
      <c r="N2684" s="1" t="b">
        <v>1</v>
      </c>
    </row>
    <row r="2685" spans="1:14" ht="19" customHeight="1" x14ac:dyDescent="0.3">
      <c r="A2685">
        <v>2680</v>
      </c>
      <c r="B2685" s="1">
        <v>10</v>
      </c>
      <c r="C2685" s="1">
        <v>90</v>
      </c>
      <c r="D2685" s="1">
        <v>0.04</v>
      </c>
      <c r="E2685" s="1">
        <v>8.5000000000000006E-2</v>
      </c>
      <c r="F2685" s="1">
        <v>0</v>
      </c>
      <c r="G2685" s="1">
        <v>1</v>
      </c>
      <c r="H2685" s="1">
        <v>1.3141157105800001</v>
      </c>
      <c r="I2685" s="1">
        <v>1.3042876266800001</v>
      </c>
      <c r="J2685" s="1">
        <v>0.55101484034199999</v>
      </c>
      <c r="K2685" s="1">
        <v>19485.830335400002</v>
      </c>
      <c r="L2685" s="1">
        <v>4100.5835649700002</v>
      </c>
      <c r="M2685" s="1" t="s">
        <v>198</v>
      </c>
      <c r="N2685" s="1" t="b">
        <v>1</v>
      </c>
    </row>
    <row r="2686" spans="1:14" ht="19" customHeight="1" x14ac:dyDescent="0.3">
      <c r="A2686">
        <v>2681</v>
      </c>
      <c r="B2686" s="1">
        <v>10</v>
      </c>
      <c r="C2686" s="1">
        <v>90</v>
      </c>
      <c r="D2686" s="1">
        <v>0.04</v>
      </c>
      <c r="E2686" s="1">
        <v>8.5000000000000006E-2</v>
      </c>
      <c r="F2686" s="1">
        <v>5</v>
      </c>
      <c r="G2686" s="1">
        <v>0</v>
      </c>
      <c r="H2686" s="1">
        <v>1.2848782618300001</v>
      </c>
      <c r="I2686" s="1">
        <v>1.7003584541800001</v>
      </c>
      <c r="J2686" s="1">
        <v>0.67946931748999995</v>
      </c>
      <c r="K2686" s="1">
        <v>22215.758485999999</v>
      </c>
      <c r="L2686" s="1">
        <v>5056.5257271</v>
      </c>
      <c r="M2686" s="1" t="s">
        <v>198</v>
      </c>
      <c r="N2686" s="1" t="b">
        <v>1</v>
      </c>
    </row>
    <row r="2687" spans="1:14" ht="19" customHeight="1" x14ac:dyDescent="0.3">
      <c r="A2687">
        <v>2682</v>
      </c>
      <c r="B2687" s="1">
        <v>10</v>
      </c>
      <c r="C2687" s="1">
        <v>90</v>
      </c>
      <c r="D2687" s="1">
        <v>0.04</v>
      </c>
      <c r="E2687" s="1">
        <v>8.5000000000000006E-2</v>
      </c>
      <c r="F2687" s="1">
        <v>5</v>
      </c>
      <c r="G2687" s="1">
        <v>1</v>
      </c>
      <c r="H2687" s="1">
        <v>1.2848782618300001</v>
      </c>
      <c r="I2687" s="1">
        <v>1.2752688406399999</v>
      </c>
      <c r="J2687" s="1">
        <v>0.55716484034199998</v>
      </c>
      <c r="K2687" s="1">
        <v>19052.294718199999</v>
      </c>
      <c r="L2687" s="1">
        <v>4146.3510962199998</v>
      </c>
      <c r="M2687" s="1" t="s">
        <v>198</v>
      </c>
      <c r="N2687" s="1" t="b">
        <v>1</v>
      </c>
    </row>
    <row r="2688" spans="1:14" ht="19" customHeight="1" x14ac:dyDescent="0.3">
      <c r="A2688">
        <v>2683</v>
      </c>
      <c r="B2688" s="1">
        <v>10</v>
      </c>
      <c r="C2688" s="1">
        <v>90</v>
      </c>
      <c r="D2688" s="1">
        <v>5.5E-2</v>
      </c>
      <c r="E2688" s="1">
        <v>0.04</v>
      </c>
      <c r="F2688" s="1">
        <v>-5</v>
      </c>
      <c r="G2688" s="1">
        <v>0</v>
      </c>
      <c r="H2688" s="1">
        <v>1.2091136622100001</v>
      </c>
      <c r="I2688" s="1">
        <v>1.5867115547499999</v>
      </c>
      <c r="J2688" s="1">
        <v>0.672689062743</v>
      </c>
      <c r="K2688" s="1">
        <v>20806.1817864</v>
      </c>
      <c r="L2688" s="1">
        <v>5006.0679188000004</v>
      </c>
      <c r="M2688" s="1" t="s">
        <v>198</v>
      </c>
      <c r="N2688" s="1" t="b">
        <v>1</v>
      </c>
    </row>
    <row r="2689" spans="1:14" ht="19" customHeight="1" x14ac:dyDescent="0.3">
      <c r="A2689">
        <v>2684</v>
      </c>
      <c r="B2689" s="1">
        <v>10</v>
      </c>
      <c r="C2689" s="1">
        <v>90</v>
      </c>
      <c r="D2689" s="1">
        <v>5.5E-2</v>
      </c>
      <c r="E2689" s="1">
        <v>0.04</v>
      </c>
      <c r="F2689" s="1">
        <v>-5</v>
      </c>
      <c r="G2689" s="1">
        <v>1</v>
      </c>
      <c r="H2689" s="1">
        <v>1.2091136622100001</v>
      </c>
      <c r="I2689" s="1">
        <v>1.1900336660599999</v>
      </c>
      <c r="J2689" s="1">
        <v>0.55160503144999995</v>
      </c>
      <c r="K2689" s="1">
        <v>17854.154523599998</v>
      </c>
      <c r="L2689" s="1">
        <v>4104.9756934200004</v>
      </c>
      <c r="M2689" s="1" t="s">
        <v>198</v>
      </c>
      <c r="N2689" s="1" t="b">
        <v>1</v>
      </c>
    </row>
    <row r="2690" spans="1:14" ht="19" customHeight="1" x14ac:dyDescent="0.3">
      <c r="A2690">
        <v>2685</v>
      </c>
      <c r="B2690" s="1">
        <v>10</v>
      </c>
      <c r="C2690" s="1">
        <v>90</v>
      </c>
      <c r="D2690" s="1">
        <v>5.5E-2</v>
      </c>
      <c r="E2690" s="1">
        <v>0.04</v>
      </c>
      <c r="F2690" s="1">
        <v>0</v>
      </c>
      <c r="G2690" s="1">
        <v>0</v>
      </c>
      <c r="H2690" s="1">
        <v>1.2366270849000001</v>
      </c>
      <c r="I2690" s="1">
        <v>1.6228172303799999</v>
      </c>
      <c r="J2690" s="1">
        <v>0.66518906274300005</v>
      </c>
      <c r="K2690" s="1">
        <v>21279.6271638</v>
      </c>
      <c r="L2690" s="1">
        <v>4950.2538562999998</v>
      </c>
      <c r="M2690" s="1" t="s">
        <v>198</v>
      </c>
      <c r="N2690" s="1" t="b">
        <v>1</v>
      </c>
    </row>
    <row r="2691" spans="1:14" ht="19" customHeight="1" x14ac:dyDescent="0.3">
      <c r="A2691">
        <v>2686</v>
      </c>
      <c r="B2691" s="1">
        <v>10</v>
      </c>
      <c r="C2691" s="1">
        <v>90</v>
      </c>
      <c r="D2691" s="1">
        <v>5.5E-2</v>
      </c>
      <c r="E2691" s="1">
        <v>0.04</v>
      </c>
      <c r="F2691" s="1">
        <v>0</v>
      </c>
      <c r="G2691" s="1">
        <v>1</v>
      </c>
      <c r="H2691" s="1">
        <v>1.2366270849000001</v>
      </c>
      <c r="I2691" s="1">
        <v>1.2171129227899999</v>
      </c>
      <c r="J2691" s="1">
        <v>0.54545503144999996</v>
      </c>
      <c r="K2691" s="1">
        <v>18260.426419700001</v>
      </c>
      <c r="L2691" s="1">
        <v>4059.2081621699999</v>
      </c>
      <c r="M2691" s="1" t="s">
        <v>198</v>
      </c>
      <c r="N2691" s="1" t="b">
        <v>1</v>
      </c>
    </row>
    <row r="2692" spans="1:14" ht="19" customHeight="1" x14ac:dyDescent="0.3">
      <c r="A2692">
        <v>2687</v>
      </c>
      <c r="B2692" s="1">
        <v>10</v>
      </c>
      <c r="C2692" s="1">
        <v>90</v>
      </c>
      <c r="D2692" s="1">
        <v>5.5E-2</v>
      </c>
      <c r="E2692" s="1">
        <v>0.04</v>
      </c>
      <c r="F2692" s="1">
        <v>5</v>
      </c>
      <c r="G2692" s="1">
        <v>0</v>
      </c>
      <c r="H2692" s="1">
        <v>1.2091136622100001</v>
      </c>
      <c r="I2692" s="1">
        <v>1.5867115547499999</v>
      </c>
      <c r="J2692" s="1">
        <v>0.672689062743</v>
      </c>
      <c r="K2692" s="1">
        <v>20806.1817864</v>
      </c>
      <c r="L2692" s="1">
        <v>5006.0679188000004</v>
      </c>
      <c r="M2692" s="1" t="s">
        <v>198</v>
      </c>
      <c r="N2692" s="1" t="b">
        <v>1</v>
      </c>
    </row>
    <row r="2693" spans="1:14" ht="19" customHeight="1" x14ac:dyDescent="0.3">
      <c r="A2693">
        <v>2688</v>
      </c>
      <c r="B2693" s="1">
        <v>10</v>
      </c>
      <c r="C2693" s="1">
        <v>90</v>
      </c>
      <c r="D2693" s="1">
        <v>5.5E-2</v>
      </c>
      <c r="E2693" s="1">
        <v>0.04</v>
      </c>
      <c r="F2693" s="1">
        <v>5</v>
      </c>
      <c r="G2693" s="1">
        <v>1</v>
      </c>
      <c r="H2693" s="1">
        <v>1.2091136622100001</v>
      </c>
      <c r="I2693" s="1">
        <v>1.1900336660599999</v>
      </c>
      <c r="J2693" s="1">
        <v>0.55160503144999995</v>
      </c>
      <c r="K2693" s="1">
        <v>17854.154523599998</v>
      </c>
      <c r="L2693" s="1">
        <v>4104.9756934200004</v>
      </c>
      <c r="M2693" s="1" t="s">
        <v>198</v>
      </c>
      <c r="N2693" s="1" t="b">
        <v>1</v>
      </c>
    </row>
    <row r="2694" spans="1:14" ht="19" customHeight="1" x14ac:dyDescent="0.3">
      <c r="A2694">
        <v>2689</v>
      </c>
      <c r="B2694" s="1">
        <v>10</v>
      </c>
      <c r="C2694" s="1">
        <v>90</v>
      </c>
      <c r="D2694" s="1">
        <v>5.5E-2</v>
      </c>
      <c r="E2694" s="1">
        <v>0.06</v>
      </c>
      <c r="F2694" s="1">
        <v>-5</v>
      </c>
      <c r="G2694" s="1">
        <v>0</v>
      </c>
      <c r="H2694" s="1">
        <v>1.2367432619200001</v>
      </c>
      <c r="I2694" s="1">
        <v>1.6281559543099999</v>
      </c>
      <c r="J2694" s="1">
        <v>0.67516166505999997</v>
      </c>
      <c r="K2694" s="1">
        <v>21320.221854700001</v>
      </c>
      <c r="L2694" s="1">
        <v>5024.4687161700003</v>
      </c>
      <c r="M2694" s="1" t="s">
        <v>198</v>
      </c>
      <c r="N2694" s="1" t="b">
        <v>1</v>
      </c>
    </row>
    <row r="2695" spans="1:14" ht="19" customHeight="1" x14ac:dyDescent="0.3">
      <c r="A2695">
        <v>2690</v>
      </c>
      <c r="B2695" s="1">
        <v>10</v>
      </c>
      <c r="C2695" s="1">
        <v>90</v>
      </c>
      <c r="D2695" s="1">
        <v>5.5E-2</v>
      </c>
      <c r="E2695" s="1">
        <v>0.06</v>
      </c>
      <c r="F2695" s="1">
        <v>-5</v>
      </c>
      <c r="G2695" s="1">
        <v>1</v>
      </c>
      <c r="H2695" s="1">
        <v>1.2367432619200001</v>
      </c>
      <c r="I2695" s="1">
        <v>1.2211169657300001</v>
      </c>
      <c r="J2695" s="1">
        <v>0.55363256534899996</v>
      </c>
      <c r="K2695" s="1">
        <v>18291.088581600001</v>
      </c>
      <c r="L2695" s="1">
        <v>4120.0643472600004</v>
      </c>
      <c r="M2695" s="1" t="s">
        <v>198</v>
      </c>
      <c r="N2695" s="1" t="b">
        <v>1</v>
      </c>
    </row>
    <row r="2696" spans="1:14" ht="19" customHeight="1" x14ac:dyDescent="0.3">
      <c r="A2696">
        <v>2691</v>
      </c>
      <c r="B2696" s="1">
        <v>10</v>
      </c>
      <c r="C2696" s="1">
        <v>90</v>
      </c>
      <c r="D2696" s="1">
        <v>5.5E-2</v>
      </c>
      <c r="E2696" s="1">
        <v>0.06</v>
      </c>
      <c r="F2696" s="1">
        <v>0</v>
      </c>
      <c r="G2696" s="1">
        <v>0</v>
      </c>
      <c r="H2696" s="1">
        <v>1.26488539709</v>
      </c>
      <c r="I2696" s="1">
        <v>1.66520469867</v>
      </c>
      <c r="J2696" s="1">
        <v>0.66766166506000002</v>
      </c>
      <c r="K2696" s="1">
        <v>21805.364231399999</v>
      </c>
      <c r="L2696" s="1">
        <v>4968.6546536699998</v>
      </c>
      <c r="M2696" s="1" t="s">
        <v>198</v>
      </c>
      <c r="N2696" s="1" t="b">
        <v>1</v>
      </c>
    </row>
    <row r="2697" spans="1:14" ht="19" customHeight="1" x14ac:dyDescent="0.3">
      <c r="A2697">
        <v>2692</v>
      </c>
      <c r="B2697" s="1">
        <v>10</v>
      </c>
      <c r="C2697" s="1">
        <v>90</v>
      </c>
      <c r="D2697" s="1">
        <v>5.5E-2</v>
      </c>
      <c r="E2697" s="1">
        <v>0.06</v>
      </c>
      <c r="F2697" s="1">
        <v>0</v>
      </c>
      <c r="G2697" s="1">
        <v>1</v>
      </c>
      <c r="H2697" s="1">
        <v>1.26488539709</v>
      </c>
      <c r="I2697" s="1">
        <v>1.2489035239999999</v>
      </c>
      <c r="J2697" s="1">
        <v>0.54748256534899997</v>
      </c>
      <c r="K2697" s="1">
        <v>18707.302927199999</v>
      </c>
      <c r="L2697" s="1">
        <v>4074.2968160099999</v>
      </c>
      <c r="M2697" s="1" t="s">
        <v>198</v>
      </c>
      <c r="N2697" s="1" t="b">
        <v>1</v>
      </c>
    </row>
    <row r="2698" spans="1:14" ht="19" customHeight="1" x14ac:dyDescent="0.3">
      <c r="A2698">
        <v>2693</v>
      </c>
      <c r="B2698" s="1">
        <v>10</v>
      </c>
      <c r="C2698" s="1">
        <v>90</v>
      </c>
      <c r="D2698" s="1">
        <v>5.5E-2</v>
      </c>
      <c r="E2698" s="1">
        <v>0.06</v>
      </c>
      <c r="F2698" s="1">
        <v>5</v>
      </c>
      <c r="G2698" s="1">
        <v>0</v>
      </c>
      <c r="H2698" s="1">
        <v>1.2367432619200001</v>
      </c>
      <c r="I2698" s="1">
        <v>1.6281559543099999</v>
      </c>
      <c r="J2698" s="1">
        <v>0.67516166505999997</v>
      </c>
      <c r="K2698" s="1">
        <v>21320.221854700001</v>
      </c>
      <c r="L2698" s="1">
        <v>5024.4687161700003</v>
      </c>
      <c r="M2698" s="1" t="s">
        <v>198</v>
      </c>
      <c r="N2698" s="1" t="b">
        <v>1</v>
      </c>
    </row>
    <row r="2699" spans="1:14" ht="19" customHeight="1" x14ac:dyDescent="0.3">
      <c r="A2699">
        <v>2694</v>
      </c>
      <c r="B2699" s="1">
        <v>10</v>
      </c>
      <c r="C2699" s="1">
        <v>90</v>
      </c>
      <c r="D2699" s="1">
        <v>5.5E-2</v>
      </c>
      <c r="E2699" s="1">
        <v>0.06</v>
      </c>
      <c r="F2699" s="1">
        <v>5</v>
      </c>
      <c r="G2699" s="1">
        <v>1</v>
      </c>
      <c r="H2699" s="1">
        <v>1.2367432619200001</v>
      </c>
      <c r="I2699" s="1">
        <v>1.2211169657300001</v>
      </c>
      <c r="J2699" s="1">
        <v>0.55363256534899996</v>
      </c>
      <c r="K2699" s="1">
        <v>18291.088581600001</v>
      </c>
      <c r="L2699" s="1">
        <v>4120.0643472600004</v>
      </c>
      <c r="M2699" s="1" t="s">
        <v>198</v>
      </c>
      <c r="N2699" s="1" t="b">
        <v>1</v>
      </c>
    </row>
    <row r="2700" spans="1:14" ht="19" customHeight="1" x14ac:dyDescent="0.3">
      <c r="A2700">
        <v>2695</v>
      </c>
      <c r="B2700" s="1">
        <v>10</v>
      </c>
      <c r="C2700" s="1">
        <v>90</v>
      </c>
      <c r="D2700" s="1">
        <v>5.5E-2</v>
      </c>
      <c r="E2700" s="1">
        <v>8.5000000000000006E-2</v>
      </c>
      <c r="F2700" s="1">
        <v>-5</v>
      </c>
      <c r="G2700" s="1">
        <v>0</v>
      </c>
      <c r="H2700" s="1">
        <v>1.1661087163999999</v>
      </c>
      <c r="I2700" s="1">
        <v>1.52220413604</v>
      </c>
      <c r="J2700" s="1">
        <v>0.66884050432200004</v>
      </c>
      <c r="K2700" s="1">
        <v>20006.0882088</v>
      </c>
      <c r="L2700" s="1">
        <v>4977.4274280999998</v>
      </c>
      <c r="M2700" s="1" t="s">
        <v>198</v>
      </c>
      <c r="N2700" s="1" t="b">
        <v>1</v>
      </c>
    </row>
    <row r="2701" spans="1:14" ht="19" customHeight="1" x14ac:dyDescent="0.3">
      <c r="A2701">
        <v>2696</v>
      </c>
      <c r="B2701" s="1">
        <v>10</v>
      </c>
      <c r="C2701" s="1">
        <v>90</v>
      </c>
      <c r="D2701" s="1">
        <v>5.5E-2</v>
      </c>
      <c r="E2701" s="1">
        <v>8.5000000000000006E-2</v>
      </c>
      <c r="F2701" s="1">
        <v>-5</v>
      </c>
      <c r="G2701" s="1">
        <v>1</v>
      </c>
      <c r="H2701" s="1">
        <v>1.1661087163999999</v>
      </c>
      <c r="I2701" s="1">
        <v>1.14165310203</v>
      </c>
      <c r="J2701" s="1">
        <v>0.548449213544</v>
      </c>
      <c r="K2701" s="1">
        <v>17174.074982499998</v>
      </c>
      <c r="L2701" s="1">
        <v>4081.4904910400001</v>
      </c>
      <c r="M2701" s="1" t="s">
        <v>198</v>
      </c>
      <c r="N2701" s="1" t="b">
        <v>1</v>
      </c>
    </row>
    <row r="2702" spans="1:14" ht="19" customHeight="1" x14ac:dyDescent="0.3">
      <c r="A2702">
        <v>2697</v>
      </c>
      <c r="B2702" s="1">
        <v>10</v>
      </c>
      <c r="C2702" s="1">
        <v>90</v>
      </c>
      <c r="D2702" s="1">
        <v>5.5E-2</v>
      </c>
      <c r="E2702" s="1">
        <v>8.5000000000000006E-2</v>
      </c>
      <c r="F2702" s="1">
        <v>0</v>
      </c>
      <c r="G2702" s="1">
        <v>0</v>
      </c>
      <c r="H2702" s="1">
        <v>1.1926435600800001</v>
      </c>
      <c r="I2702" s="1">
        <v>1.55684194316</v>
      </c>
      <c r="J2702" s="1">
        <v>0.66134050432199998</v>
      </c>
      <c r="K2702" s="1">
        <v>20461.3274294</v>
      </c>
      <c r="L2702" s="1">
        <v>4921.6133656000002</v>
      </c>
      <c r="M2702" s="1" t="s">
        <v>198</v>
      </c>
      <c r="N2702" s="1" t="b">
        <v>1</v>
      </c>
    </row>
    <row r="2703" spans="1:14" ht="19" customHeight="1" x14ac:dyDescent="0.3">
      <c r="A2703">
        <v>2698</v>
      </c>
      <c r="B2703" s="1">
        <v>10</v>
      </c>
      <c r="C2703" s="1">
        <v>90</v>
      </c>
      <c r="D2703" s="1">
        <v>5.5E-2</v>
      </c>
      <c r="E2703" s="1">
        <v>8.5000000000000006E-2</v>
      </c>
      <c r="F2703" s="1">
        <v>0</v>
      </c>
      <c r="G2703" s="1">
        <v>1</v>
      </c>
      <c r="H2703" s="1">
        <v>1.1926435600800001</v>
      </c>
      <c r="I2703" s="1">
        <v>1.16763145737</v>
      </c>
      <c r="J2703" s="1">
        <v>0.54229921354400001</v>
      </c>
      <c r="K2703" s="1">
        <v>17564.871645499999</v>
      </c>
      <c r="L2703" s="1">
        <v>4035.72295979</v>
      </c>
      <c r="M2703" s="1" t="s">
        <v>198</v>
      </c>
      <c r="N2703" s="1" t="b">
        <v>1</v>
      </c>
    </row>
    <row r="2704" spans="1:14" ht="19" customHeight="1" x14ac:dyDescent="0.3">
      <c r="A2704">
        <v>2699</v>
      </c>
      <c r="B2704" s="1">
        <v>10</v>
      </c>
      <c r="C2704" s="1">
        <v>90</v>
      </c>
      <c r="D2704" s="1">
        <v>5.5E-2</v>
      </c>
      <c r="E2704" s="1">
        <v>8.5000000000000006E-2</v>
      </c>
      <c r="F2704" s="1">
        <v>5</v>
      </c>
      <c r="G2704" s="1">
        <v>0</v>
      </c>
      <c r="H2704" s="1">
        <v>1.1661087163999999</v>
      </c>
      <c r="I2704" s="1">
        <v>1.52220413604</v>
      </c>
      <c r="J2704" s="1">
        <v>0.66884050432200004</v>
      </c>
      <c r="K2704" s="1">
        <v>20006.0882088</v>
      </c>
      <c r="L2704" s="1">
        <v>4977.4274280999998</v>
      </c>
      <c r="M2704" s="1" t="s">
        <v>198</v>
      </c>
      <c r="N2704" s="1" t="b">
        <v>1</v>
      </c>
    </row>
    <row r="2705" spans="1:14" ht="19" customHeight="1" x14ac:dyDescent="0.3">
      <c r="A2705">
        <v>2700</v>
      </c>
      <c r="B2705" s="1">
        <v>10</v>
      </c>
      <c r="C2705" s="1">
        <v>90</v>
      </c>
      <c r="D2705" s="1">
        <v>5.5E-2</v>
      </c>
      <c r="E2705" s="1">
        <v>8.5000000000000006E-2</v>
      </c>
      <c r="F2705" s="1">
        <v>5</v>
      </c>
      <c r="G2705" s="1">
        <v>1</v>
      </c>
      <c r="H2705" s="1">
        <v>1.1661087163999999</v>
      </c>
      <c r="I2705" s="1">
        <v>1.14165310203</v>
      </c>
      <c r="J2705" s="1">
        <v>0.548449213544</v>
      </c>
      <c r="K2705" s="1">
        <v>17174.074982499998</v>
      </c>
      <c r="L2705" s="1">
        <v>4081.4904910400001</v>
      </c>
      <c r="M2705" s="1" t="s">
        <v>198</v>
      </c>
      <c r="N2705" s="1" t="b">
        <v>1</v>
      </c>
    </row>
    <row r="2706" spans="1:14" ht="19" customHeight="1" x14ac:dyDescent="0.3">
      <c r="A2706">
        <v>2701</v>
      </c>
      <c r="B2706" s="1">
        <v>11</v>
      </c>
      <c r="C2706" s="1">
        <v>0</v>
      </c>
      <c r="D2706" s="1">
        <v>2.5000000000000001E-2</v>
      </c>
      <c r="E2706" s="1">
        <v>0.04</v>
      </c>
      <c r="F2706" s="1">
        <v>-5</v>
      </c>
      <c r="G2706" s="1">
        <v>0</v>
      </c>
      <c r="H2706" s="1">
        <v>1.28554638049</v>
      </c>
      <c r="I2706" s="1">
        <v>1.8385961952100001</v>
      </c>
      <c r="J2706" s="1">
        <v>0.69248212885899996</v>
      </c>
      <c r="K2706" s="1">
        <v>0</v>
      </c>
      <c r="L2706" s="1">
        <v>0</v>
      </c>
      <c r="M2706" s="1" t="s">
        <v>198</v>
      </c>
      <c r="N2706" s="1" t="b">
        <v>1</v>
      </c>
    </row>
    <row r="2707" spans="1:14" ht="19" customHeight="1" x14ac:dyDescent="0.3">
      <c r="A2707">
        <v>2702</v>
      </c>
      <c r="B2707" s="1">
        <v>11</v>
      </c>
      <c r="C2707" s="1">
        <v>0</v>
      </c>
      <c r="D2707" s="1">
        <v>2.5000000000000001E-2</v>
      </c>
      <c r="E2707" s="1">
        <v>0.04</v>
      </c>
      <c r="F2707" s="1">
        <v>-5</v>
      </c>
      <c r="G2707" s="1">
        <v>1</v>
      </c>
      <c r="H2707" s="1">
        <v>1.28554638049</v>
      </c>
      <c r="I2707" s="1">
        <v>1.37894714641</v>
      </c>
      <c r="J2707" s="1">
        <v>0.56783534566399996</v>
      </c>
      <c r="K2707" s="1">
        <v>0</v>
      </c>
      <c r="L2707" s="1">
        <v>0</v>
      </c>
      <c r="M2707" s="1" t="s">
        <v>198</v>
      </c>
      <c r="N2707" s="1" t="b">
        <v>1</v>
      </c>
    </row>
    <row r="2708" spans="1:14" ht="19" customHeight="1" x14ac:dyDescent="0.3">
      <c r="A2708">
        <v>2703</v>
      </c>
      <c r="B2708" s="1">
        <v>11</v>
      </c>
      <c r="C2708" s="1">
        <v>0</v>
      </c>
      <c r="D2708" s="1">
        <v>2.5000000000000001E-2</v>
      </c>
      <c r="E2708" s="1">
        <v>0.04</v>
      </c>
      <c r="F2708" s="1">
        <v>0</v>
      </c>
      <c r="G2708" s="1">
        <v>0</v>
      </c>
      <c r="H2708" s="1">
        <v>1.3147990322900001</v>
      </c>
      <c r="I2708" s="1">
        <v>1.88043351445</v>
      </c>
      <c r="J2708" s="1">
        <v>0.68498212885900001</v>
      </c>
      <c r="K2708" s="1">
        <v>0</v>
      </c>
      <c r="L2708" s="1">
        <v>0</v>
      </c>
      <c r="M2708" s="1" t="s">
        <v>198</v>
      </c>
      <c r="N2708" s="1" t="b">
        <v>1</v>
      </c>
    </row>
    <row r="2709" spans="1:14" ht="19" customHeight="1" x14ac:dyDescent="0.3">
      <c r="A2709">
        <v>2704</v>
      </c>
      <c r="B2709" s="1">
        <v>11</v>
      </c>
      <c r="C2709" s="1">
        <v>0</v>
      </c>
      <c r="D2709" s="1">
        <v>2.5000000000000001E-2</v>
      </c>
      <c r="E2709" s="1">
        <v>0.04</v>
      </c>
      <c r="F2709" s="1">
        <v>0</v>
      </c>
      <c r="G2709" s="1">
        <v>1</v>
      </c>
      <c r="H2709" s="1">
        <v>1.3147990322900001</v>
      </c>
      <c r="I2709" s="1">
        <v>1.41032513583</v>
      </c>
      <c r="J2709" s="1">
        <v>0.56168534566399997</v>
      </c>
      <c r="K2709" s="1">
        <v>0</v>
      </c>
      <c r="L2709" s="1">
        <v>0</v>
      </c>
      <c r="M2709" s="1" t="s">
        <v>198</v>
      </c>
      <c r="N2709" s="1" t="b">
        <v>1</v>
      </c>
    </row>
    <row r="2710" spans="1:14" ht="19" customHeight="1" x14ac:dyDescent="0.3">
      <c r="A2710">
        <v>2705</v>
      </c>
      <c r="B2710" s="1">
        <v>11</v>
      </c>
      <c r="C2710" s="1">
        <v>0</v>
      </c>
      <c r="D2710" s="1">
        <v>2.5000000000000001E-2</v>
      </c>
      <c r="E2710" s="1">
        <v>0.04</v>
      </c>
      <c r="F2710" s="1">
        <v>5</v>
      </c>
      <c r="G2710" s="1">
        <v>0</v>
      </c>
      <c r="H2710" s="1">
        <v>1.28554638049</v>
      </c>
      <c r="I2710" s="1">
        <v>1.8385961952100001</v>
      </c>
      <c r="J2710" s="1">
        <v>0.69248212885899996</v>
      </c>
      <c r="K2710" s="1">
        <v>0</v>
      </c>
      <c r="L2710" s="1">
        <v>0</v>
      </c>
      <c r="M2710" s="1" t="s">
        <v>198</v>
      </c>
      <c r="N2710" s="1" t="b">
        <v>1</v>
      </c>
    </row>
    <row r="2711" spans="1:14" ht="19" customHeight="1" x14ac:dyDescent="0.3">
      <c r="A2711">
        <v>2706</v>
      </c>
      <c r="B2711" s="1">
        <v>11</v>
      </c>
      <c r="C2711" s="1">
        <v>0</v>
      </c>
      <c r="D2711" s="1">
        <v>2.5000000000000001E-2</v>
      </c>
      <c r="E2711" s="1">
        <v>0.04</v>
      </c>
      <c r="F2711" s="1">
        <v>5</v>
      </c>
      <c r="G2711" s="1">
        <v>1</v>
      </c>
      <c r="H2711" s="1">
        <v>1.28554638049</v>
      </c>
      <c r="I2711" s="1">
        <v>1.37894714641</v>
      </c>
      <c r="J2711" s="1">
        <v>0.56783534566399996</v>
      </c>
      <c r="K2711" s="1">
        <v>0</v>
      </c>
      <c r="L2711" s="1">
        <v>0</v>
      </c>
      <c r="M2711" s="1" t="s">
        <v>198</v>
      </c>
      <c r="N2711" s="1" t="b">
        <v>1</v>
      </c>
    </row>
    <row r="2712" spans="1:14" ht="19" customHeight="1" x14ac:dyDescent="0.3">
      <c r="A2712">
        <v>2707</v>
      </c>
      <c r="B2712" s="1">
        <v>11</v>
      </c>
      <c r="C2712" s="1">
        <v>0</v>
      </c>
      <c r="D2712" s="1">
        <v>2.5000000000000001E-2</v>
      </c>
      <c r="E2712" s="1">
        <v>0.06</v>
      </c>
      <c r="F2712" s="1">
        <v>-5</v>
      </c>
      <c r="G2712" s="1">
        <v>0</v>
      </c>
      <c r="H2712" s="1">
        <v>1.3261613941199999</v>
      </c>
      <c r="I2712" s="1">
        <v>1.89951871566</v>
      </c>
      <c r="J2712" s="1">
        <v>0.69611680970400003</v>
      </c>
      <c r="K2712" s="1">
        <v>0</v>
      </c>
      <c r="L2712" s="1">
        <v>0</v>
      </c>
      <c r="M2712" s="1" t="s">
        <v>198</v>
      </c>
      <c r="N2712" s="1" t="b">
        <v>1</v>
      </c>
    </row>
    <row r="2713" spans="1:14" ht="19" customHeight="1" x14ac:dyDescent="0.3">
      <c r="A2713">
        <v>2708</v>
      </c>
      <c r="B2713" s="1">
        <v>11</v>
      </c>
      <c r="C2713" s="1">
        <v>0</v>
      </c>
      <c r="D2713" s="1">
        <v>2.5000000000000001E-2</v>
      </c>
      <c r="E2713" s="1">
        <v>0.06</v>
      </c>
      <c r="F2713" s="1">
        <v>-5</v>
      </c>
      <c r="G2713" s="1">
        <v>1</v>
      </c>
      <c r="H2713" s="1">
        <v>1.3261613941199999</v>
      </c>
      <c r="I2713" s="1">
        <v>1.4246390367499999</v>
      </c>
      <c r="J2713" s="1">
        <v>0.57081578395699994</v>
      </c>
      <c r="K2713" s="1">
        <v>0</v>
      </c>
      <c r="L2713" s="1">
        <v>0</v>
      </c>
      <c r="M2713" s="1" t="s">
        <v>198</v>
      </c>
      <c r="N2713" s="1" t="b">
        <v>1</v>
      </c>
    </row>
    <row r="2714" spans="1:14" ht="19" customHeight="1" x14ac:dyDescent="0.3">
      <c r="A2714">
        <v>2709</v>
      </c>
      <c r="B2714" s="1">
        <v>11</v>
      </c>
      <c r="C2714" s="1">
        <v>0</v>
      </c>
      <c r="D2714" s="1">
        <v>2.5000000000000001E-2</v>
      </c>
      <c r="E2714" s="1">
        <v>0.06</v>
      </c>
      <c r="F2714" s="1">
        <v>0</v>
      </c>
      <c r="G2714" s="1">
        <v>0</v>
      </c>
      <c r="H2714" s="1">
        <v>1.3563382419500001</v>
      </c>
      <c r="I2714" s="1">
        <v>1.9427423289300001</v>
      </c>
      <c r="J2714" s="1">
        <v>0.68861680970399997</v>
      </c>
      <c r="K2714" s="1">
        <v>0</v>
      </c>
      <c r="L2714" s="1">
        <v>0</v>
      </c>
      <c r="M2714" s="1" t="s">
        <v>198</v>
      </c>
      <c r="N2714" s="1" t="b">
        <v>1</v>
      </c>
    </row>
    <row r="2715" spans="1:14" ht="19" customHeight="1" x14ac:dyDescent="0.3">
      <c r="A2715">
        <v>2710</v>
      </c>
      <c r="B2715" s="1">
        <v>11</v>
      </c>
      <c r="C2715" s="1">
        <v>0</v>
      </c>
      <c r="D2715" s="1">
        <v>2.5000000000000001E-2</v>
      </c>
      <c r="E2715" s="1">
        <v>0.06</v>
      </c>
      <c r="F2715" s="1">
        <v>0</v>
      </c>
      <c r="G2715" s="1">
        <v>1</v>
      </c>
      <c r="H2715" s="1">
        <v>1.3563382419500001</v>
      </c>
      <c r="I2715" s="1">
        <v>1.4570567467</v>
      </c>
      <c r="J2715" s="1">
        <v>0.56466578395699996</v>
      </c>
      <c r="K2715" s="1">
        <v>0</v>
      </c>
      <c r="L2715" s="1">
        <v>0</v>
      </c>
      <c r="M2715" s="1" t="s">
        <v>198</v>
      </c>
      <c r="N2715" s="1" t="b">
        <v>1</v>
      </c>
    </row>
    <row r="2716" spans="1:14" ht="19" customHeight="1" x14ac:dyDescent="0.3">
      <c r="A2716">
        <v>2711</v>
      </c>
      <c r="B2716" s="1">
        <v>11</v>
      </c>
      <c r="C2716" s="1">
        <v>0</v>
      </c>
      <c r="D2716" s="1">
        <v>2.5000000000000001E-2</v>
      </c>
      <c r="E2716" s="1">
        <v>0.06</v>
      </c>
      <c r="F2716" s="1">
        <v>5</v>
      </c>
      <c r="G2716" s="1">
        <v>0</v>
      </c>
      <c r="H2716" s="1">
        <v>1.3261613941199999</v>
      </c>
      <c r="I2716" s="1">
        <v>1.89951871566</v>
      </c>
      <c r="J2716" s="1">
        <v>0.69611680970400003</v>
      </c>
      <c r="K2716" s="1">
        <v>0</v>
      </c>
      <c r="L2716" s="1">
        <v>0</v>
      </c>
      <c r="M2716" s="1" t="s">
        <v>198</v>
      </c>
      <c r="N2716" s="1" t="b">
        <v>1</v>
      </c>
    </row>
    <row r="2717" spans="1:14" ht="19" customHeight="1" x14ac:dyDescent="0.3">
      <c r="A2717">
        <v>2712</v>
      </c>
      <c r="B2717" s="1">
        <v>11</v>
      </c>
      <c r="C2717" s="1">
        <v>0</v>
      </c>
      <c r="D2717" s="1">
        <v>2.5000000000000001E-2</v>
      </c>
      <c r="E2717" s="1">
        <v>0.06</v>
      </c>
      <c r="F2717" s="1">
        <v>5</v>
      </c>
      <c r="G2717" s="1">
        <v>1</v>
      </c>
      <c r="H2717" s="1">
        <v>1.3261613941199999</v>
      </c>
      <c r="I2717" s="1">
        <v>1.4246390367499999</v>
      </c>
      <c r="J2717" s="1">
        <v>0.57081578395699994</v>
      </c>
      <c r="K2717" s="1">
        <v>0</v>
      </c>
      <c r="L2717" s="1">
        <v>0</v>
      </c>
      <c r="M2717" s="1" t="s">
        <v>198</v>
      </c>
      <c r="N2717" s="1" t="b">
        <v>1</v>
      </c>
    </row>
    <row r="2718" spans="1:14" ht="19" customHeight="1" x14ac:dyDescent="0.3">
      <c r="A2718">
        <v>2713</v>
      </c>
      <c r="B2718" s="1">
        <v>11</v>
      </c>
      <c r="C2718" s="1">
        <v>0</v>
      </c>
      <c r="D2718" s="1">
        <v>2.5000000000000001E-2</v>
      </c>
      <c r="E2718" s="1">
        <v>8.5000000000000006E-2</v>
      </c>
      <c r="F2718" s="1">
        <v>-5</v>
      </c>
      <c r="G2718" s="1">
        <v>0</v>
      </c>
      <c r="H2718" s="1">
        <v>1.22232988518</v>
      </c>
      <c r="I2718" s="1">
        <v>1.7437714522500001</v>
      </c>
      <c r="J2718" s="1">
        <v>0.68682481733699996</v>
      </c>
      <c r="K2718" s="1">
        <v>0</v>
      </c>
      <c r="L2718" s="1">
        <v>0</v>
      </c>
      <c r="M2718" s="1" t="s">
        <v>198</v>
      </c>
      <c r="N2718" s="1" t="b">
        <v>1</v>
      </c>
    </row>
    <row r="2719" spans="1:14" ht="19" customHeight="1" x14ac:dyDescent="0.3">
      <c r="A2719">
        <v>2714</v>
      </c>
      <c r="B2719" s="1">
        <v>11</v>
      </c>
      <c r="C2719" s="1">
        <v>0</v>
      </c>
      <c r="D2719" s="1">
        <v>2.5000000000000001E-2</v>
      </c>
      <c r="E2719" s="1">
        <v>8.5000000000000006E-2</v>
      </c>
      <c r="F2719" s="1">
        <v>-5</v>
      </c>
      <c r="G2719" s="1">
        <v>1</v>
      </c>
      <c r="H2719" s="1">
        <v>1.22232988518</v>
      </c>
      <c r="I2719" s="1">
        <v>1.3078285891899999</v>
      </c>
      <c r="J2719" s="1">
        <v>0.56319635021600001</v>
      </c>
      <c r="K2719" s="1">
        <v>0</v>
      </c>
      <c r="L2719" s="1">
        <v>0</v>
      </c>
      <c r="M2719" s="1" t="s">
        <v>198</v>
      </c>
      <c r="N2719" s="1" t="b">
        <v>1</v>
      </c>
    </row>
    <row r="2720" spans="1:14" ht="19" customHeight="1" x14ac:dyDescent="0.3">
      <c r="A2720">
        <v>2715</v>
      </c>
      <c r="B2720" s="1">
        <v>11</v>
      </c>
      <c r="C2720" s="1">
        <v>0</v>
      </c>
      <c r="D2720" s="1">
        <v>2.5000000000000001E-2</v>
      </c>
      <c r="E2720" s="1">
        <v>8.5000000000000006E-2</v>
      </c>
      <c r="F2720" s="1">
        <v>0</v>
      </c>
      <c r="G2720" s="1">
        <v>0</v>
      </c>
      <c r="H2720" s="1">
        <v>1.25014404347</v>
      </c>
      <c r="I2720" s="1">
        <v>1.78345103122</v>
      </c>
      <c r="J2720" s="1">
        <v>0.67932481733700001</v>
      </c>
      <c r="K2720" s="1">
        <v>0</v>
      </c>
      <c r="L2720" s="1">
        <v>0</v>
      </c>
      <c r="M2720" s="1" t="s">
        <v>198</v>
      </c>
      <c r="N2720" s="1" t="b">
        <v>1</v>
      </c>
    </row>
    <row r="2721" spans="1:14" ht="19" customHeight="1" x14ac:dyDescent="0.3">
      <c r="A2721">
        <v>2716</v>
      </c>
      <c r="B2721" s="1">
        <v>11</v>
      </c>
      <c r="C2721" s="1">
        <v>0</v>
      </c>
      <c r="D2721" s="1">
        <v>2.5000000000000001E-2</v>
      </c>
      <c r="E2721" s="1">
        <v>8.5000000000000006E-2</v>
      </c>
      <c r="F2721" s="1">
        <v>0</v>
      </c>
      <c r="G2721" s="1">
        <v>1</v>
      </c>
      <c r="H2721" s="1">
        <v>1.25014404347</v>
      </c>
      <c r="I2721" s="1">
        <v>1.33758827341</v>
      </c>
      <c r="J2721" s="1">
        <v>0.55704635021600002</v>
      </c>
      <c r="K2721" s="1">
        <v>0</v>
      </c>
      <c r="L2721" s="1">
        <v>0</v>
      </c>
      <c r="M2721" s="1" t="s">
        <v>198</v>
      </c>
      <c r="N2721" s="1" t="b">
        <v>1</v>
      </c>
    </row>
    <row r="2722" spans="1:14" ht="19" customHeight="1" x14ac:dyDescent="0.3">
      <c r="A2722">
        <v>2717</v>
      </c>
      <c r="B2722" s="1">
        <v>11</v>
      </c>
      <c r="C2722" s="1">
        <v>0</v>
      </c>
      <c r="D2722" s="1">
        <v>2.5000000000000001E-2</v>
      </c>
      <c r="E2722" s="1">
        <v>8.5000000000000006E-2</v>
      </c>
      <c r="F2722" s="1">
        <v>5</v>
      </c>
      <c r="G2722" s="1">
        <v>0</v>
      </c>
      <c r="H2722" s="1">
        <v>1.22232988518</v>
      </c>
      <c r="I2722" s="1">
        <v>1.7437714522500001</v>
      </c>
      <c r="J2722" s="1">
        <v>0.68682481733699996</v>
      </c>
      <c r="K2722" s="1">
        <v>0</v>
      </c>
      <c r="L2722" s="1">
        <v>0</v>
      </c>
      <c r="M2722" s="1" t="s">
        <v>198</v>
      </c>
      <c r="N2722" s="1" t="b">
        <v>1</v>
      </c>
    </row>
    <row r="2723" spans="1:14" ht="19" customHeight="1" x14ac:dyDescent="0.3">
      <c r="A2723">
        <v>2718</v>
      </c>
      <c r="B2723" s="1">
        <v>11</v>
      </c>
      <c r="C2723" s="1">
        <v>0</v>
      </c>
      <c r="D2723" s="1">
        <v>2.5000000000000001E-2</v>
      </c>
      <c r="E2723" s="1">
        <v>8.5000000000000006E-2</v>
      </c>
      <c r="F2723" s="1">
        <v>5</v>
      </c>
      <c r="G2723" s="1">
        <v>1</v>
      </c>
      <c r="H2723" s="1">
        <v>1.22232988518</v>
      </c>
      <c r="I2723" s="1">
        <v>1.3078285891899999</v>
      </c>
      <c r="J2723" s="1">
        <v>0.56319635021600001</v>
      </c>
      <c r="K2723" s="1">
        <v>0</v>
      </c>
      <c r="L2723" s="1">
        <v>0</v>
      </c>
      <c r="M2723" s="1" t="s">
        <v>198</v>
      </c>
      <c r="N2723" s="1" t="b">
        <v>1</v>
      </c>
    </row>
    <row r="2724" spans="1:14" ht="19" customHeight="1" x14ac:dyDescent="0.3">
      <c r="A2724">
        <v>2719</v>
      </c>
      <c r="B2724" s="1">
        <v>11</v>
      </c>
      <c r="C2724" s="1">
        <v>0</v>
      </c>
      <c r="D2724" s="1">
        <v>0.04</v>
      </c>
      <c r="E2724" s="1">
        <v>0.04</v>
      </c>
      <c r="F2724" s="1">
        <v>-5</v>
      </c>
      <c r="G2724" s="1">
        <v>0</v>
      </c>
      <c r="H2724" s="1">
        <v>1.2915351939399999</v>
      </c>
      <c r="I2724" s="1">
        <v>1.84757941539</v>
      </c>
      <c r="J2724" s="1">
        <v>0.69301807415600003</v>
      </c>
      <c r="K2724" s="1">
        <v>0</v>
      </c>
      <c r="L2724" s="1">
        <v>0</v>
      </c>
      <c r="M2724" s="1" t="s">
        <v>198</v>
      </c>
      <c r="N2724" s="1" t="b">
        <v>1</v>
      </c>
    </row>
    <row r="2725" spans="1:14" ht="19" customHeight="1" x14ac:dyDescent="0.3">
      <c r="A2725">
        <v>2720</v>
      </c>
      <c r="B2725" s="1">
        <v>11</v>
      </c>
      <c r="C2725" s="1">
        <v>0</v>
      </c>
      <c r="D2725" s="1">
        <v>0.04</v>
      </c>
      <c r="E2725" s="1">
        <v>0.04</v>
      </c>
      <c r="F2725" s="1">
        <v>-5</v>
      </c>
      <c r="G2725" s="1">
        <v>1</v>
      </c>
      <c r="H2725" s="1">
        <v>1.2915351939399999</v>
      </c>
      <c r="I2725" s="1">
        <v>1.38568456154</v>
      </c>
      <c r="J2725" s="1">
        <v>0.56827482080799996</v>
      </c>
      <c r="K2725" s="1">
        <v>0</v>
      </c>
      <c r="L2725" s="1">
        <v>0</v>
      </c>
      <c r="M2725" s="1" t="s">
        <v>198</v>
      </c>
      <c r="N2725" s="1" t="b">
        <v>1</v>
      </c>
    </row>
    <row r="2726" spans="1:14" ht="19" customHeight="1" x14ac:dyDescent="0.3">
      <c r="A2726">
        <v>2721</v>
      </c>
      <c r="B2726" s="1">
        <v>11</v>
      </c>
      <c r="C2726" s="1">
        <v>0</v>
      </c>
      <c r="D2726" s="1">
        <v>0.04</v>
      </c>
      <c r="E2726" s="1">
        <v>0.04</v>
      </c>
      <c r="F2726" s="1">
        <v>0</v>
      </c>
      <c r="G2726" s="1">
        <v>0</v>
      </c>
      <c r="H2726" s="1">
        <v>1.3209241214</v>
      </c>
      <c r="I2726" s="1">
        <v>1.88962114811</v>
      </c>
      <c r="J2726" s="1">
        <v>0.68551807415599997</v>
      </c>
      <c r="K2726" s="1">
        <v>0</v>
      </c>
      <c r="L2726" s="1">
        <v>0</v>
      </c>
      <c r="M2726" s="1" t="s">
        <v>198</v>
      </c>
      <c r="N2726" s="1" t="b">
        <v>1</v>
      </c>
    </row>
    <row r="2727" spans="1:14" ht="19" customHeight="1" x14ac:dyDescent="0.3">
      <c r="A2727">
        <v>2722</v>
      </c>
      <c r="B2727" s="1">
        <v>11</v>
      </c>
      <c r="C2727" s="1">
        <v>0</v>
      </c>
      <c r="D2727" s="1">
        <v>0.04</v>
      </c>
      <c r="E2727" s="1">
        <v>0.04</v>
      </c>
      <c r="F2727" s="1">
        <v>0</v>
      </c>
      <c r="G2727" s="1">
        <v>1</v>
      </c>
      <c r="H2727" s="1">
        <v>1.3209241214</v>
      </c>
      <c r="I2727" s="1">
        <v>1.4172158610800001</v>
      </c>
      <c r="J2727" s="1">
        <v>0.56212482080799997</v>
      </c>
      <c r="K2727" s="1">
        <v>0</v>
      </c>
      <c r="L2727" s="1">
        <v>0</v>
      </c>
      <c r="M2727" s="1" t="s">
        <v>198</v>
      </c>
      <c r="N2727" s="1" t="b">
        <v>1</v>
      </c>
    </row>
    <row r="2728" spans="1:14" ht="19" customHeight="1" x14ac:dyDescent="0.3">
      <c r="A2728">
        <v>2723</v>
      </c>
      <c r="B2728" s="1">
        <v>11</v>
      </c>
      <c r="C2728" s="1">
        <v>0</v>
      </c>
      <c r="D2728" s="1">
        <v>0.04</v>
      </c>
      <c r="E2728" s="1">
        <v>0.04</v>
      </c>
      <c r="F2728" s="1">
        <v>5</v>
      </c>
      <c r="G2728" s="1">
        <v>0</v>
      </c>
      <c r="H2728" s="1">
        <v>1.2915351939399999</v>
      </c>
      <c r="I2728" s="1">
        <v>1.84757941539</v>
      </c>
      <c r="J2728" s="1">
        <v>0.69301807415600003</v>
      </c>
      <c r="K2728" s="1">
        <v>0</v>
      </c>
      <c r="L2728" s="1">
        <v>0</v>
      </c>
      <c r="M2728" s="1" t="s">
        <v>198</v>
      </c>
      <c r="N2728" s="1" t="b">
        <v>1</v>
      </c>
    </row>
    <row r="2729" spans="1:14" ht="19" customHeight="1" x14ac:dyDescent="0.3">
      <c r="A2729">
        <v>2724</v>
      </c>
      <c r="B2729" s="1">
        <v>11</v>
      </c>
      <c r="C2729" s="1">
        <v>0</v>
      </c>
      <c r="D2729" s="1">
        <v>0.04</v>
      </c>
      <c r="E2729" s="1">
        <v>0.04</v>
      </c>
      <c r="F2729" s="1">
        <v>5</v>
      </c>
      <c r="G2729" s="1">
        <v>1</v>
      </c>
      <c r="H2729" s="1">
        <v>1.2915351939399999</v>
      </c>
      <c r="I2729" s="1">
        <v>1.38568456154</v>
      </c>
      <c r="J2729" s="1">
        <v>0.56827482080799996</v>
      </c>
      <c r="K2729" s="1">
        <v>0</v>
      </c>
      <c r="L2729" s="1">
        <v>0</v>
      </c>
      <c r="M2729" s="1" t="s">
        <v>198</v>
      </c>
      <c r="N2729" s="1" t="b">
        <v>1</v>
      </c>
    </row>
    <row r="2730" spans="1:14" ht="19" customHeight="1" x14ac:dyDescent="0.3">
      <c r="A2730">
        <v>2725</v>
      </c>
      <c r="B2730" s="1">
        <v>11</v>
      </c>
      <c r="C2730" s="1">
        <v>0</v>
      </c>
      <c r="D2730" s="1">
        <v>0.04</v>
      </c>
      <c r="E2730" s="1">
        <v>0.06</v>
      </c>
      <c r="F2730" s="1">
        <v>-5</v>
      </c>
      <c r="G2730" s="1">
        <v>0</v>
      </c>
      <c r="H2730" s="1">
        <v>1.33273100949</v>
      </c>
      <c r="I2730" s="1">
        <v>1.9093731387199999</v>
      </c>
      <c r="J2730" s="1">
        <v>0.69670473158400004</v>
      </c>
      <c r="K2730" s="1">
        <v>0</v>
      </c>
      <c r="L2730" s="1">
        <v>0</v>
      </c>
      <c r="M2730" s="1" t="s">
        <v>198</v>
      </c>
      <c r="N2730" s="1" t="b">
        <v>1</v>
      </c>
    </row>
    <row r="2731" spans="1:14" ht="19" customHeight="1" x14ac:dyDescent="0.3">
      <c r="A2731">
        <v>2726</v>
      </c>
      <c r="B2731" s="1">
        <v>11</v>
      </c>
      <c r="C2731" s="1">
        <v>0</v>
      </c>
      <c r="D2731" s="1">
        <v>0.04</v>
      </c>
      <c r="E2731" s="1">
        <v>0.06</v>
      </c>
      <c r="F2731" s="1">
        <v>-5</v>
      </c>
      <c r="G2731" s="1">
        <v>1</v>
      </c>
      <c r="H2731" s="1">
        <v>1.33273100949</v>
      </c>
      <c r="I2731" s="1">
        <v>1.43202985404</v>
      </c>
      <c r="J2731" s="1">
        <v>0.57129787989900005</v>
      </c>
      <c r="K2731" s="1">
        <v>0</v>
      </c>
      <c r="L2731" s="1">
        <v>0</v>
      </c>
      <c r="M2731" s="1" t="s">
        <v>198</v>
      </c>
      <c r="N2731" s="1" t="b">
        <v>1</v>
      </c>
    </row>
    <row r="2732" spans="1:14" ht="19" customHeight="1" x14ac:dyDescent="0.3">
      <c r="A2732">
        <v>2727</v>
      </c>
      <c r="B2732" s="1">
        <v>11</v>
      </c>
      <c r="C2732" s="1">
        <v>0</v>
      </c>
      <c r="D2732" s="1">
        <v>0.04</v>
      </c>
      <c r="E2732" s="1">
        <v>0.06</v>
      </c>
      <c r="F2732" s="1">
        <v>0</v>
      </c>
      <c r="G2732" s="1">
        <v>0</v>
      </c>
      <c r="H2732" s="1">
        <v>1.36305734915</v>
      </c>
      <c r="I2732" s="1">
        <v>1.95282098973</v>
      </c>
      <c r="J2732" s="1">
        <v>0.68920473158399997</v>
      </c>
      <c r="K2732" s="1">
        <v>0</v>
      </c>
      <c r="L2732" s="1">
        <v>0</v>
      </c>
      <c r="M2732" s="1" t="s">
        <v>198</v>
      </c>
      <c r="N2732" s="1" t="b">
        <v>1</v>
      </c>
    </row>
    <row r="2733" spans="1:14" ht="19" customHeight="1" x14ac:dyDescent="0.3">
      <c r="A2733">
        <v>2728</v>
      </c>
      <c r="B2733" s="1">
        <v>11</v>
      </c>
      <c r="C2733" s="1">
        <v>0</v>
      </c>
      <c r="D2733" s="1">
        <v>0.04</v>
      </c>
      <c r="E2733" s="1">
        <v>0.06</v>
      </c>
      <c r="F2733" s="1">
        <v>0</v>
      </c>
      <c r="G2733" s="1">
        <v>1</v>
      </c>
      <c r="H2733" s="1">
        <v>1.36305734915</v>
      </c>
      <c r="I2733" s="1">
        <v>1.4646157422999999</v>
      </c>
      <c r="J2733" s="1">
        <v>0.56514787989899995</v>
      </c>
      <c r="K2733" s="1">
        <v>0</v>
      </c>
      <c r="L2733" s="1">
        <v>0</v>
      </c>
      <c r="M2733" s="1" t="s">
        <v>198</v>
      </c>
      <c r="N2733" s="1" t="b">
        <v>1</v>
      </c>
    </row>
    <row r="2734" spans="1:14" ht="19" customHeight="1" x14ac:dyDescent="0.3">
      <c r="A2734">
        <v>2729</v>
      </c>
      <c r="B2734" s="1">
        <v>11</v>
      </c>
      <c r="C2734" s="1">
        <v>0</v>
      </c>
      <c r="D2734" s="1">
        <v>0.04</v>
      </c>
      <c r="E2734" s="1">
        <v>0.06</v>
      </c>
      <c r="F2734" s="1">
        <v>5</v>
      </c>
      <c r="G2734" s="1">
        <v>0</v>
      </c>
      <c r="H2734" s="1">
        <v>1.33273100949</v>
      </c>
      <c r="I2734" s="1">
        <v>1.9093731387199999</v>
      </c>
      <c r="J2734" s="1">
        <v>0.69670473158400004</v>
      </c>
      <c r="K2734" s="1">
        <v>0</v>
      </c>
      <c r="L2734" s="1">
        <v>0</v>
      </c>
      <c r="M2734" s="1" t="s">
        <v>198</v>
      </c>
      <c r="N2734" s="1" t="b">
        <v>1</v>
      </c>
    </row>
    <row r="2735" spans="1:14" ht="19" customHeight="1" x14ac:dyDescent="0.3">
      <c r="A2735">
        <v>2730</v>
      </c>
      <c r="B2735" s="1">
        <v>11</v>
      </c>
      <c r="C2735" s="1">
        <v>0</v>
      </c>
      <c r="D2735" s="1">
        <v>0.04</v>
      </c>
      <c r="E2735" s="1">
        <v>0.06</v>
      </c>
      <c r="F2735" s="1">
        <v>5</v>
      </c>
      <c r="G2735" s="1">
        <v>1</v>
      </c>
      <c r="H2735" s="1">
        <v>1.33273100949</v>
      </c>
      <c r="I2735" s="1">
        <v>1.43202985404</v>
      </c>
      <c r="J2735" s="1">
        <v>0.57129787989900005</v>
      </c>
      <c r="K2735" s="1">
        <v>0</v>
      </c>
      <c r="L2735" s="1">
        <v>0</v>
      </c>
      <c r="M2735" s="1" t="s">
        <v>198</v>
      </c>
      <c r="N2735" s="1" t="b">
        <v>1</v>
      </c>
    </row>
    <row r="2736" spans="1:14" ht="19" customHeight="1" x14ac:dyDescent="0.3">
      <c r="A2736">
        <v>2731</v>
      </c>
      <c r="B2736" s="1">
        <v>11</v>
      </c>
      <c r="C2736" s="1">
        <v>0</v>
      </c>
      <c r="D2736" s="1">
        <v>0.04</v>
      </c>
      <c r="E2736" s="1">
        <v>8.5000000000000006E-2</v>
      </c>
      <c r="F2736" s="1">
        <v>-5</v>
      </c>
      <c r="G2736" s="1">
        <v>0</v>
      </c>
      <c r="H2736" s="1">
        <v>1.2274146914999999</v>
      </c>
      <c r="I2736" s="1">
        <v>1.7513986617299999</v>
      </c>
      <c r="J2736" s="1">
        <v>0.68727986207299996</v>
      </c>
      <c r="K2736" s="1">
        <v>0</v>
      </c>
      <c r="L2736" s="1">
        <v>0</v>
      </c>
      <c r="M2736" s="1" t="s">
        <v>198</v>
      </c>
      <c r="N2736" s="1" t="b">
        <v>1</v>
      </c>
    </row>
    <row r="2737" spans="1:14" ht="19" customHeight="1" x14ac:dyDescent="0.3">
      <c r="A2737">
        <v>2732</v>
      </c>
      <c r="B2737" s="1">
        <v>11</v>
      </c>
      <c r="C2737" s="1">
        <v>0</v>
      </c>
      <c r="D2737" s="1">
        <v>0.04</v>
      </c>
      <c r="E2737" s="1">
        <v>8.5000000000000006E-2</v>
      </c>
      <c r="F2737" s="1">
        <v>-5</v>
      </c>
      <c r="G2737" s="1">
        <v>1</v>
      </c>
      <c r="H2737" s="1">
        <v>1.2274146914999999</v>
      </c>
      <c r="I2737" s="1">
        <v>1.3135489963</v>
      </c>
      <c r="J2737" s="1">
        <v>0.56356948689999997</v>
      </c>
      <c r="K2737" s="1">
        <v>0</v>
      </c>
      <c r="L2737" s="1">
        <v>0</v>
      </c>
      <c r="M2737" s="1" t="s">
        <v>198</v>
      </c>
      <c r="N2737" s="1" t="b">
        <v>1</v>
      </c>
    </row>
    <row r="2738" spans="1:14" ht="19" customHeight="1" x14ac:dyDescent="0.3">
      <c r="A2738">
        <v>2733</v>
      </c>
      <c r="B2738" s="1">
        <v>11</v>
      </c>
      <c r="C2738" s="1">
        <v>0</v>
      </c>
      <c r="D2738" s="1">
        <v>0.04</v>
      </c>
      <c r="E2738" s="1">
        <v>8.5000000000000006E-2</v>
      </c>
      <c r="F2738" s="1">
        <v>0</v>
      </c>
      <c r="G2738" s="1">
        <v>0</v>
      </c>
      <c r="H2738" s="1">
        <v>1.25534455474</v>
      </c>
      <c r="I2738" s="1">
        <v>1.79125179811</v>
      </c>
      <c r="J2738" s="1">
        <v>0.67977986207300001</v>
      </c>
      <c r="K2738" s="1">
        <v>0</v>
      </c>
      <c r="L2738" s="1">
        <v>0</v>
      </c>
      <c r="M2738" s="1" t="s">
        <v>198</v>
      </c>
      <c r="N2738" s="1" t="b">
        <v>1</v>
      </c>
    </row>
    <row r="2739" spans="1:14" ht="19" customHeight="1" x14ac:dyDescent="0.3">
      <c r="A2739">
        <v>2734</v>
      </c>
      <c r="B2739" s="1">
        <v>11</v>
      </c>
      <c r="C2739" s="1">
        <v>0</v>
      </c>
      <c r="D2739" s="1">
        <v>0.04</v>
      </c>
      <c r="E2739" s="1">
        <v>8.5000000000000006E-2</v>
      </c>
      <c r="F2739" s="1">
        <v>0</v>
      </c>
      <c r="G2739" s="1">
        <v>1</v>
      </c>
      <c r="H2739" s="1">
        <v>1.25534455474</v>
      </c>
      <c r="I2739" s="1">
        <v>1.34343884859</v>
      </c>
      <c r="J2739" s="1">
        <v>0.55741948689999998</v>
      </c>
      <c r="K2739" s="1">
        <v>0</v>
      </c>
      <c r="L2739" s="1">
        <v>0</v>
      </c>
      <c r="M2739" s="1" t="s">
        <v>198</v>
      </c>
      <c r="N2739" s="1" t="b">
        <v>1</v>
      </c>
    </row>
    <row r="2740" spans="1:14" ht="19" customHeight="1" x14ac:dyDescent="0.3">
      <c r="A2740">
        <v>2735</v>
      </c>
      <c r="B2740" s="1">
        <v>11</v>
      </c>
      <c r="C2740" s="1">
        <v>0</v>
      </c>
      <c r="D2740" s="1">
        <v>0.04</v>
      </c>
      <c r="E2740" s="1">
        <v>8.5000000000000006E-2</v>
      </c>
      <c r="F2740" s="1">
        <v>5</v>
      </c>
      <c r="G2740" s="1">
        <v>0</v>
      </c>
      <c r="H2740" s="1">
        <v>1.2274146914999999</v>
      </c>
      <c r="I2740" s="1">
        <v>1.7513986617299999</v>
      </c>
      <c r="J2740" s="1">
        <v>0.68727986207299996</v>
      </c>
      <c r="K2740" s="1">
        <v>0</v>
      </c>
      <c r="L2740" s="1">
        <v>0</v>
      </c>
      <c r="M2740" s="1" t="s">
        <v>198</v>
      </c>
      <c r="N2740" s="1" t="b">
        <v>1</v>
      </c>
    </row>
    <row r="2741" spans="1:14" ht="19" customHeight="1" x14ac:dyDescent="0.3">
      <c r="A2741">
        <v>2736</v>
      </c>
      <c r="B2741" s="1">
        <v>11</v>
      </c>
      <c r="C2741" s="1">
        <v>0</v>
      </c>
      <c r="D2741" s="1">
        <v>0.04</v>
      </c>
      <c r="E2741" s="1">
        <v>8.5000000000000006E-2</v>
      </c>
      <c r="F2741" s="1">
        <v>5</v>
      </c>
      <c r="G2741" s="1">
        <v>1</v>
      </c>
      <c r="H2741" s="1">
        <v>1.2274146914999999</v>
      </c>
      <c r="I2741" s="1">
        <v>1.3135489963</v>
      </c>
      <c r="J2741" s="1">
        <v>0.56356948689999997</v>
      </c>
      <c r="K2741" s="1">
        <v>0</v>
      </c>
      <c r="L2741" s="1">
        <v>0</v>
      </c>
      <c r="M2741" s="1" t="s">
        <v>198</v>
      </c>
      <c r="N2741" s="1" t="b">
        <v>1</v>
      </c>
    </row>
    <row r="2742" spans="1:14" ht="19" customHeight="1" x14ac:dyDescent="0.3">
      <c r="A2742">
        <v>2737</v>
      </c>
      <c r="B2742" s="1">
        <v>11</v>
      </c>
      <c r="C2742" s="1">
        <v>0</v>
      </c>
      <c r="D2742" s="1">
        <v>5.5E-2</v>
      </c>
      <c r="E2742" s="1">
        <v>0.04</v>
      </c>
      <c r="F2742" s="1">
        <v>-5</v>
      </c>
      <c r="G2742" s="1">
        <v>0</v>
      </c>
      <c r="H2742" s="1">
        <v>1.1516500918699999</v>
      </c>
      <c r="I2742" s="1">
        <v>1.63775176229</v>
      </c>
      <c r="J2742" s="1">
        <v>0.68049960732600001</v>
      </c>
      <c r="K2742" s="1">
        <v>0</v>
      </c>
      <c r="L2742" s="1">
        <v>0</v>
      </c>
      <c r="M2742" s="1" t="s">
        <v>198</v>
      </c>
      <c r="N2742" s="1" t="b">
        <v>1</v>
      </c>
    </row>
    <row r="2743" spans="1:14" ht="19" customHeight="1" x14ac:dyDescent="0.3">
      <c r="A2743">
        <v>2738</v>
      </c>
      <c r="B2743" s="1">
        <v>11</v>
      </c>
      <c r="C2743" s="1">
        <v>0</v>
      </c>
      <c r="D2743" s="1">
        <v>5.5E-2</v>
      </c>
      <c r="E2743" s="1">
        <v>0.04</v>
      </c>
      <c r="F2743" s="1">
        <v>-5</v>
      </c>
      <c r="G2743" s="1">
        <v>1</v>
      </c>
      <c r="H2743" s="1">
        <v>1.1516500918699999</v>
      </c>
      <c r="I2743" s="1">
        <v>1.22831382172</v>
      </c>
      <c r="J2743" s="1">
        <v>0.55800967800699997</v>
      </c>
      <c r="K2743" s="1">
        <v>0</v>
      </c>
      <c r="L2743" s="1">
        <v>0</v>
      </c>
      <c r="M2743" s="1" t="s">
        <v>198</v>
      </c>
      <c r="N2743" s="1" t="b">
        <v>1</v>
      </c>
    </row>
    <row r="2744" spans="1:14" ht="19" customHeight="1" x14ac:dyDescent="0.3">
      <c r="A2744">
        <v>2739</v>
      </c>
      <c r="B2744" s="1">
        <v>11</v>
      </c>
      <c r="C2744" s="1">
        <v>0</v>
      </c>
      <c r="D2744" s="1">
        <v>5.5E-2</v>
      </c>
      <c r="E2744" s="1">
        <v>0.04</v>
      </c>
      <c r="F2744" s="1">
        <v>0</v>
      </c>
      <c r="G2744" s="1">
        <v>0</v>
      </c>
      <c r="H2744" s="1">
        <v>1.1778559290599999</v>
      </c>
      <c r="I2744" s="1">
        <v>1.6750188596</v>
      </c>
      <c r="J2744" s="1">
        <v>0.67299960732599995</v>
      </c>
      <c r="K2744" s="1">
        <v>0</v>
      </c>
      <c r="L2744" s="1">
        <v>0</v>
      </c>
      <c r="M2744" s="1" t="s">
        <v>198</v>
      </c>
      <c r="N2744" s="1" t="b">
        <v>1</v>
      </c>
    </row>
    <row r="2745" spans="1:14" ht="19" customHeight="1" x14ac:dyDescent="0.3">
      <c r="A2745">
        <v>2740</v>
      </c>
      <c r="B2745" s="1">
        <v>11</v>
      </c>
      <c r="C2745" s="1">
        <v>0</v>
      </c>
      <c r="D2745" s="1">
        <v>5.5E-2</v>
      </c>
      <c r="E2745" s="1">
        <v>0.04</v>
      </c>
      <c r="F2745" s="1">
        <v>0</v>
      </c>
      <c r="G2745" s="1">
        <v>1</v>
      </c>
      <c r="H2745" s="1">
        <v>1.1778559290599999</v>
      </c>
      <c r="I2745" s="1">
        <v>1.2562641447</v>
      </c>
      <c r="J2745" s="1">
        <v>0.55185967800699998</v>
      </c>
      <c r="K2745" s="1">
        <v>0</v>
      </c>
      <c r="L2745" s="1">
        <v>0</v>
      </c>
      <c r="M2745" s="1" t="s">
        <v>198</v>
      </c>
      <c r="N2745" s="1" t="b">
        <v>1</v>
      </c>
    </row>
    <row r="2746" spans="1:14" ht="19" customHeight="1" x14ac:dyDescent="0.3">
      <c r="A2746">
        <v>2741</v>
      </c>
      <c r="B2746" s="1">
        <v>11</v>
      </c>
      <c r="C2746" s="1">
        <v>0</v>
      </c>
      <c r="D2746" s="1">
        <v>5.5E-2</v>
      </c>
      <c r="E2746" s="1">
        <v>0.04</v>
      </c>
      <c r="F2746" s="1">
        <v>5</v>
      </c>
      <c r="G2746" s="1">
        <v>0</v>
      </c>
      <c r="H2746" s="1">
        <v>1.1516500918699999</v>
      </c>
      <c r="I2746" s="1">
        <v>1.63775176229</v>
      </c>
      <c r="J2746" s="1">
        <v>0.68049960732600001</v>
      </c>
      <c r="K2746" s="1">
        <v>0</v>
      </c>
      <c r="L2746" s="1">
        <v>0</v>
      </c>
      <c r="M2746" s="1" t="s">
        <v>198</v>
      </c>
      <c r="N2746" s="1" t="b">
        <v>1</v>
      </c>
    </row>
    <row r="2747" spans="1:14" ht="19" customHeight="1" x14ac:dyDescent="0.3">
      <c r="A2747">
        <v>2742</v>
      </c>
      <c r="B2747" s="1">
        <v>11</v>
      </c>
      <c r="C2747" s="1">
        <v>0</v>
      </c>
      <c r="D2747" s="1">
        <v>5.5E-2</v>
      </c>
      <c r="E2747" s="1">
        <v>0.04</v>
      </c>
      <c r="F2747" s="1">
        <v>5</v>
      </c>
      <c r="G2747" s="1">
        <v>1</v>
      </c>
      <c r="H2747" s="1">
        <v>1.1516500918699999</v>
      </c>
      <c r="I2747" s="1">
        <v>1.22831382172</v>
      </c>
      <c r="J2747" s="1">
        <v>0.55800967800699997</v>
      </c>
      <c r="K2747" s="1">
        <v>0</v>
      </c>
      <c r="L2747" s="1">
        <v>0</v>
      </c>
      <c r="M2747" s="1" t="s">
        <v>198</v>
      </c>
      <c r="N2747" s="1" t="b">
        <v>1</v>
      </c>
    </row>
    <row r="2748" spans="1:14" ht="19" customHeight="1" x14ac:dyDescent="0.3">
      <c r="A2748">
        <v>2743</v>
      </c>
      <c r="B2748" s="1">
        <v>11</v>
      </c>
      <c r="C2748" s="1">
        <v>0</v>
      </c>
      <c r="D2748" s="1">
        <v>5.5E-2</v>
      </c>
      <c r="E2748" s="1">
        <v>0.06</v>
      </c>
      <c r="F2748" s="1">
        <v>-5</v>
      </c>
      <c r="G2748" s="1">
        <v>0</v>
      </c>
      <c r="H2748" s="1">
        <v>1.1792796915799999</v>
      </c>
      <c r="I2748" s="1">
        <v>1.67919616185</v>
      </c>
      <c r="J2748" s="1">
        <v>0.68297220964299998</v>
      </c>
      <c r="K2748" s="1">
        <v>0</v>
      </c>
      <c r="L2748" s="1">
        <v>0</v>
      </c>
      <c r="M2748" s="1" t="s">
        <v>198</v>
      </c>
      <c r="N2748" s="1" t="b">
        <v>1</v>
      </c>
    </row>
    <row r="2749" spans="1:14" ht="19" customHeight="1" x14ac:dyDescent="0.3">
      <c r="A2749">
        <v>2744</v>
      </c>
      <c r="B2749" s="1">
        <v>11</v>
      </c>
      <c r="C2749" s="1">
        <v>0</v>
      </c>
      <c r="D2749" s="1">
        <v>5.5E-2</v>
      </c>
      <c r="E2749" s="1">
        <v>0.06</v>
      </c>
      <c r="F2749" s="1">
        <v>-5</v>
      </c>
      <c r="G2749" s="1">
        <v>1</v>
      </c>
      <c r="H2749" s="1">
        <v>1.1792796915799999</v>
      </c>
      <c r="I2749" s="1">
        <v>1.2593971213899999</v>
      </c>
      <c r="J2749" s="1">
        <v>0.56003721190699995</v>
      </c>
      <c r="K2749" s="1">
        <v>0</v>
      </c>
      <c r="L2749" s="1">
        <v>0</v>
      </c>
      <c r="M2749" s="1" t="s">
        <v>198</v>
      </c>
      <c r="N2749" s="1" t="b">
        <v>1</v>
      </c>
    </row>
    <row r="2750" spans="1:14" ht="19" customHeight="1" x14ac:dyDescent="0.3">
      <c r="A2750">
        <v>2745</v>
      </c>
      <c r="B2750" s="1">
        <v>11</v>
      </c>
      <c r="C2750" s="1">
        <v>0</v>
      </c>
      <c r="D2750" s="1">
        <v>5.5E-2</v>
      </c>
      <c r="E2750" s="1">
        <v>0.06</v>
      </c>
      <c r="F2750" s="1">
        <v>0</v>
      </c>
      <c r="G2750" s="1">
        <v>0</v>
      </c>
      <c r="H2750" s="1">
        <v>1.2061142412500001</v>
      </c>
      <c r="I2750" s="1">
        <v>1.71740632789</v>
      </c>
      <c r="J2750" s="1">
        <v>0.67547220964300003</v>
      </c>
      <c r="K2750" s="1">
        <v>0</v>
      </c>
      <c r="L2750" s="1">
        <v>0</v>
      </c>
      <c r="M2750" s="1" t="s">
        <v>198</v>
      </c>
      <c r="N2750" s="1" t="b">
        <v>1</v>
      </c>
    </row>
    <row r="2751" spans="1:14" ht="19" customHeight="1" x14ac:dyDescent="0.3">
      <c r="A2751">
        <v>2746</v>
      </c>
      <c r="B2751" s="1">
        <v>11</v>
      </c>
      <c r="C2751" s="1">
        <v>0</v>
      </c>
      <c r="D2751" s="1">
        <v>5.5E-2</v>
      </c>
      <c r="E2751" s="1">
        <v>0.06</v>
      </c>
      <c r="F2751" s="1">
        <v>0</v>
      </c>
      <c r="G2751" s="1">
        <v>1</v>
      </c>
      <c r="H2751" s="1">
        <v>1.2061142412500001</v>
      </c>
      <c r="I2751" s="1">
        <v>1.28805474591</v>
      </c>
      <c r="J2751" s="1">
        <v>0.55388721190699997</v>
      </c>
      <c r="K2751" s="1">
        <v>0</v>
      </c>
      <c r="L2751" s="1">
        <v>0</v>
      </c>
      <c r="M2751" s="1" t="s">
        <v>198</v>
      </c>
      <c r="N2751" s="1" t="b">
        <v>1</v>
      </c>
    </row>
    <row r="2752" spans="1:14" ht="19" customHeight="1" x14ac:dyDescent="0.3">
      <c r="A2752">
        <v>2747</v>
      </c>
      <c r="B2752" s="1">
        <v>11</v>
      </c>
      <c r="C2752" s="1">
        <v>0</v>
      </c>
      <c r="D2752" s="1">
        <v>5.5E-2</v>
      </c>
      <c r="E2752" s="1">
        <v>0.06</v>
      </c>
      <c r="F2752" s="1">
        <v>5</v>
      </c>
      <c r="G2752" s="1">
        <v>0</v>
      </c>
      <c r="H2752" s="1">
        <v>1.1792796915799999</v>
      </c>
      <c r="I2752" s="1">
        <v>1.67919616185</v>
      </c>
      <c r="J2752" s="1">
        <v>0.68297220964299998</v>
      </c>
      <c r="K2752" s="1">
        <v>0</v>
      </c>
      <c r="L2752" s="1">
        <v>0</v>
      </c>
      <c r="M2752" s="1" t="s">
        <v>198</v>
      </c>
      <c r="N2752" s="1" t="b">
        <v>1</v>
      </c>
    </row>
    <row r="2753" spans="1:14" ht="19" customHeight="1" x14ac:dyDescent="0.3">
      <c r="A2753">
        <v>2748</v>
      </c>
      <c r="B2753" s="1">
        <v>11</v>
      </c>
      <c r="C2753" s="1">
        <v>0</v>
      </c>
      <c r="D2753" s="1">
        <v>5.5E-2</v>
      </c>
      <c r="E2753" s="1">
        <v>0.06</v>
      </c>
      <c r="F2753" s="1">
        <v>5</v>
      </c>
      <c r="G2753" s="1">
        <v>1</v>
      </c>
      <c r="H2753" s="1">
        <v>1.1792796915799999</v>
      </c>
      <c r="I2753" s="1">
        <v>1.2593971213899999</v>
      </c>
      <c r="J2753" s="1">
        <v>0.56003721190699995</v>
      </c>
      <c r="K2753" s="1">
        <v>0</v>
      </c>
      <c r="L2753" s="1">
        <v>0</v>
      </c>
      <c r="M2753" s="1" t="s">
        <v>198</v>
      </c>
      <c r="N2753" s="1" t="b">
        <v>1</v>
      </c>
    </row>
    <row r="2754" spans="1:14" ht="19" customHeight="1" x14ac:dyDescent="0.3">
      <c r="A2754">
        <v>2749</v>
      </c>
      <c r="B2754" s="1">
        <v>11</v>
      </c>
      <c r="C2754" s="1">
        <v>0</v>
      </c>
      <c r="D2754" s="1">
        <v>5.5E-2</v>
      </c>
      <c r="E2754" s="1">
        <v>8.5000000000000006E-2</v>
      </c>
      <c r="F2754" s="1">
        <v>-5</v>
      </c>
      <c r="G2754" s="1">
        <v>0</v>
      </c>
      <c r="H2754" s="1">
        <v>1.10864514607</v>
      </c>
      <c r="I2754" s="1">
        <v>1.5732443435900001</v>
      </c>
      <c r="J2754" s="1">
        <v>0.67665104890500005</v>
      </c>
      <c r="K2754" s="1">
        <v>0</v>
      </c>
      <c r="L2754" s="1">
        <v>0</v>
      </c>
      <c r="M2754" s="1" t="s">
        <v>198</v>
      </c>
      <c r="N2754" s="1" t="b">
        <v>1</v>
      </c>
    </row>
    <row r="2755" spans="1:14" ht="19" customHeight="1" x14ac:dyDescent="0.3">
      <c r="A2755">
        <v>2750</v>
      </c>
      <c r="B2755" s="1">
        <v>11</v>
      </c>
      <c r="C2755" s="1">
        <v>0</v>
      </c>
      <c r="D2755" s="1">
        <v>5.5E-2</v>
      </c>
      <c r="E2755" s="1">
        <v>8.5000000000000006E-2</v>
      </c>
      <c r="F2755" s="1">
        <v>-5</v>
      </c>
      <c r="G2755" s="1">
        <v>1</v>
      </c>
      <c r="H2755" s="1">
        <v>1.10864514607</v>
      </c>
      <c r="I2755" s="1">
        <v>1.1799332576899999</v>
      </c>
      <c r="J2755" s="1">
        <v>0.554853860102</v>
      </c>
      <c r="K2755" s="1">
        <v>0</v>
      </c>
      <c r="L2755" s="1">
        <v>0</v>
      </c>
      <c r="M2755" s="1" t="s">
        <v>198</v>
      </c>
      <c r="N2755" s="1" t="b">
        <v>1</v>
      </c>
    </row>
    <row r="2756" spans="1:14" ht="19" customHeight="1" x14ac:dyDescent="0.3">
      <c r="A2756">
        <v>2751</v>
      </c>
      <c r="B2756" s="1">
        <v>11</v>
      </c>
      <c r="C2756" s="1">
        <v>0</v>
      </c>
      <c r="D2756" s="1">
        <v>5.5E-2</v>
      </c>
      <c r="E2756" s="1">
        <v>8.5000000000000006E-2</v>
      </c>
      <c r="F2756" s="1">
        <v>0</v>
      </c>
      <c r="G2756" s="1">
        <v>0</v>
      </c>
      <c r="H2756" s="1">
        <v>1.1338724042399999</v>
      </c>
      <c r="I2756" s="1">
        <v>1.6090435723700001</v>
      </c>
      <c r="J2756" s="1">
        <v>0.66915104890499999</v>
      </c>
      <c r="K2756" s="1">
        <v>0</v>
      </c>
      <c r="L2756" s="1">
        <v>0</v>
      </c>
      <c r="M2756" s="1" t="s">
        <v>198</v>
      </c>
      <c r="N2756" s="1" t="b">
        <v>1</v>
      </c>
    </row>
    <row r="2757" spans="1:14" ht="19" customHeight="1" x14ac:dyDescent="0.3">
      <c r="A2757">
        <v>2752</v>
      </c>
      <c r="B2757" s="1">
        <v>11</v>
      </c>
      <c r="C2757" s="1">
        <v>0</v>
      </c>
      <c r="D2757" s="1">
        <v>5.5E-2</v>
      </c>
      <c r="E2757" s="1">
        <v>8.5000000000000006E-2</v>
      </c>
      <c r="F2757" s="1">
        <v>0</v>
      </c>
      <c r="G2757" s="1">
        <v>1</v>
      </c>
      <c r="H2757" s="1">
        <v>1.1338724042399999</v>
      </c>
      <c r="I2757" s="1">
        <v>1.20678267928</v>
      </c>
      <c r="J2757" s="1">
        <v>0.54870386010200001</v>
      </c>
      <c r="K2757" s="1">
        <v>0</v>
      </c>
      <c r="L2757" s="1">
        <v>0</v>
      </c>
      <c r="M2757" s="1" t="s">
        <v>198</v>
      </c>
      <c r="N2757" s="1" t="b">
        <v>1</v>
      </c>
    </row>
    <row r="2758" spans="1:14" ht="19" customHeight="1" x14ac:dyDescent="0.3">
      <c r="A2758">
        <v>2753</v>
      </c>
      <c r="B2758" s="1">
        <v>11</v>
      </c>
      <c r="C2758" s="1">
        <v>0</v>
      </c>
      <c r="D2758" s="1">
        <v>5.5E-2</v>
      </c>
      <c r="E2758" s="1">
        <v>8.5000000000000006E-2</v>
      </c>
      <c r="F2758" s="1">
        <v>5</v>
      </c>
      <c r="G2758" s="1">
        <v>0</v>
      </c>
      <c r="H2758" s="1">
        <v>1.10864514607</v>
      </c>
      <c r="I2758" s="1">
        <v>1.5732443435900001</v>
      </c>
      <c r="J2758" s="1">
        <v>0.67665104890500005</v>
      </c>
      <c r="K2758" s="1">
        <v>0</v>
      </c>
      <c r="L2758" s="1">
        <v>0</v>
      </c>
      <c r="M2758" s="1" t="s">
        <v>198</v>
      </c>
      <c r="N2758" s="1" t="b">
        <v>1</v>
      </c>
    </row>
    <row r="2759" spans="1:14" ht="19" customHeight="1" x14ac:dyDescent="0.3">
      <c r="A2759">
        <v>2754</v>
      </c>
      <c r="B2759" s="1">
        <v>11</v>
      </c>
      <c r="C2759" s="1">
        <v>0</v>
      </c>
      <c r="D2759" s="1">
        <v>5.5E-2</v>
      </c>
      <c r="E2759" s="1">
        <v>8.5000000000000006E-2</v>
      </c>
      <c r="F2759" s="1">
        <v>5</v>
      </c>
      <c r="G2759" s="1">
        <v>1</v>
      </c>
      <c r="H2759" s="1">
        <v>1.10864514607</v>
      </c>
      <c r="I2759" s="1">
        <v>1.1799332576899999</v>
      </c>
      <c r="J2759" s="1">
        <v>0.554853860102</v>
      </c>
      <c r="K2759" s="1">
        <v>0</v>
      </c>
      <c r="L2759" s="1">
        <v>0</v>
      </c>
      <c r="M2759" s="1" t="s">
        <v>198</v>
      </c>
      <c r="N2759" s="1" t="b">
        <v>1</v>
      </c>
    </row>
    <row r="2760" spans="1:14" ht="19" customHeight="1" x14ac:dyDescent="0.3">
      <c r="A2760">
        <v>2755</v>
      </c>
      <c r="B2760" s="1">
        <v>11</v>
      </c>
      <c r="C2760" s="1">
        <v>30</v>
      </c>
      <c r="D2760" s="1">
        <v>2.5000000000000001E-2</v>
      </c>
      <c r="E2760" s="1">
        <v>0.04</v>
      </c>
      <c r="F2760" s="1">
        <v>-5</v>
      </c>
      <c r="G2760" s="1">
        <v>0</v>
      </c>
      <c r="H2760" s="1">
        <v>1.28554638049</v>
      </c>
      <c r="I2760" s="1">
        <v>1.8385961952100001</v>
      </c>
      <c r="J2760" s="1">
        <v>0.69248212885899996</v>
      </c>
      <c r="K2760" s="1">
        <v>2583.2753922799998</v>
      </c>
      <c r="L2760" s="1">
        <v>572.59616029999995</v>
      </c>
      <c r="M2760" s="1" t="s">
        <v>198</v>
      </c>
      <c r="N2760" s="1" t="b">
        <v>1</v>
      </c>
    </row>
    <row r="2761" spans="1:14" ht="19" customHeight="1" x14ac:dyDescent="0.3">
      <c r="A2761">
        <v>2756</v>
      </c>
      <c r="B2761" s="1">
        <v>11</v>
      </c>
      <c r="C2761" s="1">
        <v>30</v>
      </c>
      <c r="D2761" s="1">
        <v>2.5000000000000001E-2</v>
      </c>
      <c r="E2761" s="1">
        <v>0.04</v>
      </c>
      <c r="F2761" s="1">
        <v>-5</v>
      </c>
      <c r="G2761" s="1">
        <v>1</v>
      </c>
      <c r="H2761" s="1">
        <v>1.28554638049</v>
      </c>
      <c r="I2761" s="1">
        <v>1.37894714641</v>
      </c>
      <c r="J2761" s="1">
        <v>0.56783534566399996</v>
      </c>
      <c r="K2761" s="1">
        <v>2203.20308505</v>
      </c>
      <c r="L2761" s="1">
        <v>469.52885144599998</v>
      </c>
      <c r="M2761" s="1" t="s">
        <v>198</v>
      </c>
      <c r="N2761" s="1" t="b">
        <v>1</v>
      </c>
    </row>
    <row r="2762" spans="1:14" ht="19" customHeight="1" x14ac:dyDescent="0.3">
      <c r="A2762">
        <v>2757</v>
      </c>
      <c r="B2762" s="1">
        <v>11</v>
      </c>
      <c r="C2762" s="1">
        <v>30</v>
      </c>
      <c r="D2762" s="1">
        <v>2.5000000000000001E-2</v>
      </c>
      <c r="E2762" s="1">
        <v>0.04</v>
      </c>
      <c r="F2762" s="1">
        <v>0</v>
      </c>
      <c r="G2762" s="1">
        <v>0</v>
      </c>
      <c r="H2762" s="1">
        <v>1.3147990322900001</v>
      </c>
      <c r="I2762" s="1">
        <v>1.88043351445</v>
      </c>
      <c r="J2762" s="1">
        <v>0.68498212885900001</v>
      </c>
      <c r="K2762" s="1">
        <v>2642.0579120900002</v>
      </c>
      <c r="L2762" s="1">
        <v>566.39459780000004</v>
      </c>
      <c r="M2762" s="1" t="s">
        <v>198</v>
      </c>
      <c r="N2762" s="1" t="b">
        <v>1</v>
      </c>
    </row>
    <row r="2763" spans="1:14" ht="19" customHeight="1" x14ac:dyDescent="0.3">
      <c r="A2763">
        <v>2758</v>
      </c>
      <c r="B2763" s="1">
        <v>11</v>
      </c>
      <c r="C2763" s="1">
        <v>30</v>
      </c>
      <c r="D2763" s="1">
        <v>2.5000000000000001E-2</v>
      </c>
      <c r="E2763" s="1">
        <v>0.04</v>
      </c>
      <c r="F2763" s="1">
        <v>0</v>
      </c>
      <c r="G2763" s="1">
        <v>1</v>
      </c>
      <c r="H2763" s="1">
        <v>1.3147990322900001</v>
      </c>
      <c r="I2763" s="1">
        <v>1.41032513583</v>
      </c>
      <c r="J2763" s="1">
        <v>0.56168534566399997</v>
      </c>
      <c r="K2763" s="1">
        <v>2253.3370465200001</v>
      </c>
      <c r="L2763" s="1">
        <v>464.443570196</v>
      </c>
      <c r="M2763" s="1" t="s">
        <v>198</v>
      </c>
      <c r="N2763" s="1" t="b">
        <v>1</v>
      </c>
    </row>
    <row r="2764" spans="1:14" ht="19" customHeight="1" x14ac:dyDescent="0.3">
      <c r="A2764">
        <v>2759</v>
      </c>
      <c r="B2764" s="1">
        <v>11</v>
      </c>
      <c r="C2764" s="1">
        <v>30</v>
      </c>
      <c r="D2764" s="1">
        <v>2.5000000000000001E-2</v>
      </c>
      <c r="E2764" s="1">
        <v>0.04</v>
      </c>
      <c r="F2764" s="1">
        <v>5</v>
      </c>
      <c r="G2764" s="1">
        <v>0</v>
      </c>
      <c r="H2764" s="1">
        <v>1.28554638049</v>
      </c>
      <c r="I2764" s="1">
        <v>1.8385961952100001</v>
      </c>
      <c r="J2764" s="1">
        <v>0.69248212885899996</v>
      </c>
      <c r="K2764" s="1">
        <v>2583.2753922799998</v>
      </c>
      <c r="L2764" s="1">
        <v>572.59616029999995</v>
      </c>
      <c r="M2764" s="1" t="s">
        <v>198</v>
      </c>
      <c r="N2764" s="1" t="b">
        <v>1</v>
      </c>
    </row>
    <row r="2765" spans="1:14" ht="19" customHeight="1" x14ac:dyDescent="0.3">
      <c r="A2765">
        <v>2760</v>
      </c>
      <c r="B2765" s="1">
        <v>11</v>
      </c>
      <c r="C2765" s="1">
        <v>30</v>
      </c>
      <c r="D2765" s="1">
        <v>2.5000000000000001E-2</v>
      </c>
      <c r="E2765" s="1">
        <v>0.04</v>
      </c>
      <c r="F2765" s="1">
        <v>5</v>
      </c>
      <c r="G2765" s="1">
        <v>1</v>
      </c>
      <c r="H2765" s="1">
        <v>1.28554638049</v>
      </c>
      <c r="I2765" s="1">
        <v>1.37894714641</v>
      </c>
      <c r="J2765" s="1">
        <v>0.56783534566399996</v>
      </c>
      <c r="K2765" s="1">
        <v>2203.20308505</v>
      </c>
      <c r="L2765" s="1">
        <v>469.52885144599998</v>
      </c>
      <c r="M2765" s="1" t="s">
        <v>198</v>
      </c>
      <c r="N2765" s="1" t="b">
        <v>1</v>
      </c>
    </row>
    <row r="2766" spans="1:14" ht="19" customHeight="1" x14ac:dyDescent="0.3">
      <c r="A2766">
        <v>2761</v>
      </c>
      <c r="B2766" s="1">
        <v>11</v>
      </c>
      <c r="C2766" s="1">
        <v>30</v>
      </c>
      <c r="D2766" s="1">
        <v>2.5000000000000001E-2</v>
      </c>
      <c r="E2766" s="1">
        <v>0.06</v>
      </c>
      <c r="F2766" s="1">
        <v>-5</v>
      </c>
      <c r="G2766" s="1">
        <v>0</v>
      </c>
      <c r="H2766" s="1">
        <v>1.3261613941199999</v>
      </c>
      <c r="I2766" s="1">
        <v>1.89951871566</v>
      </c>
      <c r="J2766" s="1">
        <v>0.69611680970400003</v>
      </c>
      <c r="K2766" s="1">
        <v>2667.2342407800002</v>
      </c>
      <c r="L2766" s="1">
        <v>575.60158702399997</v>
      </c>
      <c r="M2766" s="1" t="s">
        <v>198</v>
      </c>
      <c r="N2766" s="1" t="b">
        <v>1</v>
      </c>
    </row>
    <row r="2767" spans="1:14" ht="19" customHeight="1" x14ac:dyDescent="0.3">
      <c r="A2767">
        <v>2762</v>
      </c>
      <c r="B2767" s="1">
        <v>11</v>
      </c>
      <c r="C2767" s="1">
        <v>30</v>
      </c>
      <c r="D2767" s="1">
        <v>2.5000000000000001E-2</v>
      </c>
      <c r="E2767" s="1">
        <v>0.06</v>
      </c>
      <c r="F2767" s="1">
        <v>-5</v>
      </c>
      <c r="G2767" s="1">
        <v>1</v>
      </c>
      <c r="H2767" s="1">
        <v>1.3261613941199999</v>
      </c>
      <c r="I2767" s="1">
        <v>1.4246390367499999</v>
      </c>
      <c r="J2767" s="1">
        <v>0.57081578395699994</v>
      </c>
      <c r="K2767" s="1">
        <v>2274.56810627</v>
      </c>
      <c r="L2767" s="1">
        <v>471.99330135999998</v>
      </c>
      <c r="M2767" s="1" t="s">
        <v>198</v>
      </c>
      <c r="N2767" s="1" t="b">
        <v>1</v>
      </c>
    </row>
    <row r="2768" spans="1:14" ht="19" customHeight="1" x14ac:dyDescent="0.3">
      <c r="A2768">
        <v>2763</v>
      </c>
      <c r="B2768" s="1">
        <v>11</v>
      </c>
      <c r="C2768" s="1">
        <v>30</v>
      </c>
      <c r="D2768" s="1">
        <v>2.5000000000000001E-2</v>
      </c>
      <c r="E2768" s="1">
        <v>0.06</v>
      </c>
      <c r="F2768" s="1">
        <v>0</v>
      </c>
      <c r="G2768" s="1">
        <v>0</v>
      </c>
      <c r="H2768" s="1">
        <v>1.3563382419500001</v>
      </c>
      <c r="I2768" s="1">
        <v>1.9427423289300001</v>
      </c>
      <c r="J2768" s="1">
        <v>0.68861680970399997</v>
      </c>
      <c r="K2768" s="1">
        <v>2727.92724705</v>
      </c>
      <c r="L2768" s="1">
        <v>569.40002452399995</v>
      </c>
      <c r="M2768" s="1" t="s">
        <v>198</v>
      </c>
      <c r="N2768" s="1" t="b">
        <v>1</v>
      </c>
    </row>
    <row r="2769" spans="1:14" ht="19" customHeight="1" x14ac:dyDescent="0.3">
      <c r="A2769">
        <v>2764</v>
      </c>
      <c r="B2769" s="1">
        <v>11</v>
      </c>
      <c r="C2769" s="1">
        <v>30</v>
      </c>
      <c r="D2769" s="1">
        <v>2.5000000000000001E-2</v>
      </c>
      <c r="E2769" s="1">
        <v>0.06</v>
      </c>
      <c r="F2769" s="1">
        <v>0</v>
      </c>
      <c r="G2769" s="1">
        <v>1</v>
      </c>
      <c r="H2769" s="1">
        <v>1.3563382419500001</v>
      </c>
      <c r="I2769" s="1">
        <v>1.4570567467</v>
      </c>
      <c r="J2769" s="1">
        <v>0.56466578395699996</v>
      </c>
      <c r="K2769" s="1">
        <v>2326.3259812400001</v>
      </c>
      <c r="L2769" s="1">
        <v>466.90802011</v>
      </c>
      <c r="M2769" s="1" t="s">
        <v>198</v>
      </c>
      <c r="N2769" s="1" t="b">
        <v>1</v>
      </c>
    </row>
    <row r="2770" spans="1:14" ht="19" customHeight="1" x14ac:dyDescent="0.3">
      <c r="A2770">
        <v>2765</v>
      </c>
      <c r="B2770" s="1">
        <v>11</v>
      </c>
      <c r="C2770" s="1">
        <v>30</v>
      </c>
      <c r="D2770" s="1">
        <v>2.5000000000000001E-2</v>
      </c>
      <c r="E2770" s="1">
        <v>0.06</v>
      </c>
      <c r="F2770" s="1">
        <v>5</v>
      </c>
      <c r="G2770" s="1">
        <v>0</v>
      </c>
      <c r="H2770" s="1">
        <v>1.3261613941199999</v>
      </c>
      <c r="I2770" s="1">
        <v>1.89951871566</v>
      </c>
      <c r="J2770" s="1">
        <v>0.69611680970400003</v>
      </c>
      <c r="K2770" s="1">
        <v>2667.2342407800002</v>
      </c>
      <c r="L2770" s="1">
        <v>575.60158702399997</v>
      </c>
      <c r="M2770" s="1" t="s">
        <v>198</v>
      </c>
      <c r="N2770" s="1" t="b">
        <v>1</v>
      </c>
    </row>
    <row r="2771" spans="1:14" ht="19" customHeight="1" x14ac:dyDescent="0.3">
      <c r="A2771">
        <v>2766</v>
      </c>
      <c r="B2771" s="1">
        <v>11</v>
      </c>
      <c r="C2771" s="1">
        <v>30</v>
      </c>
      <c r="D2771" s="1">
        <v>2.5000000000000001E-2</v>
      </c>
      <c r="E2771" s="1">
        <v>0.06</v>
      </c>
      <c r="F2771" s="1">
        <v>5</v>
      </c>
      <c r="G2771" s="1">
        <v>1</v>
      </c>
      <c r="H2771" s="1">
        <v>1.3261613941199999</v>
      </c>
      <c r="I2771" s="1">
        <v>1.4246390367499999</v>
      </c>
      <c r="J2771" s="1">
        <v>0.57081578395699994</v>
      </c>
      <c r="K2771" s="1">
        <v>2274.56810627</v>
      </c>
      <c r="L2771" s="1">
        <v>471.99330135999998</v>
      </c>
      <c r="M2771" s="1" t="s">
        <v>198</v>
      </c>
      <c r="N2771" s="1" t="b">
        <v>1</v>
      </c>
    </row>
    <row r="2772" spans="1:14" ht="19" customHeight="1" x14ac:dyDescent="0.3">
      <c r="A2772">
        <v>2767</v>
      </c>
      <c r="B2772" s="1">
        <v>11</v>
      </c>
      <c r="C2772" s="1">
        <v>30</v>
      </c>
      <c r="D2772" s="1">
        <v>2.5000000000000001E-2</v>
      </c>
      <c r="E2772" s="1">
        <v>8.5000000000000006E-2</v>
      </c>
      <c r="F2772" s="1">
        <v>-5</v>
      </c>
      <c r="G2772" s="1">
        <v>0</v>
      </c>
      <c r="H2772" s="1">
        <v>1.22232988518</v>
      </c>
      <c r="I2772" s="1">
        <v>1.7437714522500001</v>
      </c>
      <c r="J2772" s="1">
        <v>0.68682481733699996</v>
      </c>
      <c r="K2772" s="1">
        <v>2452.5950433799999</v>
      </c>
      <c r="L2772" s="1">
        <v>567.91827083600003</v>
      </c>
      <c r="M2772" s="1" t="s">
        <v>198</v>
      </c>
      <c r="N2772" s="1" t="b">
        <v>1</v>
      </c>
    </row>
    <row r="2773" spans="1:14" ht="19" customHeight="1" x14ac:dyDescent="0.3">
      <c r="A2773">
        <v>2768</v>
      </c>
      <c r="B2773" s="1">
        <v>11</v>
      </c>
      <c r="C2773" s="1">
        <v>30</v>
      </c>
      <c r="D2773" s="1">
        <v>2.5000000000000001E-2</v>
      </c>
      <c r="E2773" s="1">
        <v>8.5000000000000006E-2</v>
      </c>
      <c r="F2773" s="1">
        <v>-5</v>
      </c>
      <c r="G2773" s="1">
        <v>1</v>
      </c>
      <c r="H2773" s="1">
        <v>1.22232988518</v>
      </c>
      <c r="I2773" s="1">
        <v>1.3078285891899999</v>
      </c>
      <c r="J2773" s="1">
        <v>0.56319635021600001</v>
      </c>
      <c r="K2773" s="1">
        <v>2092.1247884899999</v>
      </c>
      <c r="L2773" s="1">
        <v>465.69298208499998</v>
      </c>
      <c r="M2773" s="1" t="s">
        <v>198</v>
      </c>
      <c r="N2773" s="1" t="b">
        <v>1</v>
      </c>
    </row>
    <row r="2774" spans="1:14" ht="19" customHeight="1" x14ac:dyDescent="0.3">
      <c r="A2774">
        <v>2769</v>
      </c>
      <c r="B2774" s="1">
        <v>11</v>
      </c>
      <c r="C2774" s="1">
        <v>30</v>
      </c>
      <c r="D2774" s="1">
        <v>2.5000000000000001E-2</v>
      </c>
      <c r="E2774" s="1">
        <v>8.5000000000000006E-2</v>
      </c>
      <c r="F2774" s="1">
        <v>0</v>
      </c>
      <c r="G2774" s="1">
        <v>0</v>
      </c>
      <c r="H2774" s="1">
        <v>1.25014404347</v>
      </c>
      <c r="I2774" s="1">
        <v>1.78345103122</v>
      </c>
      <c r="J2774" s="1">
        <v>0.67932481733700001</v>
      </c>
      <c r="K2774" s="1">
        <v>2508.4039273899998</v>
      </c>
      <c r="L2774" s="1">
        <v>561.71670833600001</v>
      </c>
      <c r="M2774" s="1" t="s">
        <v>198</v>
      </c>
      <c r="N2774" s="1" t="b">
        <v>1</v>
      </c>
    </row>
    <row r="2775" spans="1:14" ht="19" customHeight="1" x14ac:dyDescent="0.3">
      <c r="A2775">
        <v>2770</v>
      </c>
      <c r="B2775" s="1">
        <v>11</v>
      </c>
      <c r="C2775" s="1">
        <v>30</v>
      </c>
      <c r="D2775" s="1">
        <v>2.5000000000000001E-2</v>
      </c>
      <c r="E2775" s="1">
        <v>8.5000000000000006E-2</v>
      </c>
      <c r="F2775" s="1">
        <v>0</v>
      </c>
      <c r="G2775" s="1">
        <v>1</v>
      </c>
      <c r="H2775" s="1">
        <v>1.25014404347</v>
      </c>
      <c r="I2775" s="1">
        <v>1.33758827341</v>
      </c>
      <c r="J2775" s="1">
        <v>0.55704635021600002</v>
      </c>
      <c r="K2775" s="1">
        <v>2139.7311595299998</v>
      </c>
      <c r="L2775" s="1">
        <v>460.607700835</v>
      </c>
      <c r="M2775" s="1" t="s">
        <v>198</v>
      </c>
      <c r="N2775" s="1" t="b">
        <v>1</v>
      </c>
    </row>
    <row r="2776" spans="1:14" ht="19" customHeight="1" x14ac:dyDescent="0.3">
      <c r="A2776">
        <v>2771</v>
      </c>
      <c r="B2776" s="1">
        <v>11</v>
      </c>
      <c r="C2776" s="1">
        <v>30</v>
      </c>
      <c r="D2776" s="1">
        <v>2.5000000000000001E-2</v>
      </c>
      <c r="E2776" s="1">
        <v>8.5000000000000006E-2</v>
      </c>
      <c r="F2776" s="1">
        <v>5</v>
      </c>
      <c r="G2776" s="1">
        <v>0</v>
      </c>
      <c r="H2776" s="1">
        <v>1.22232988518</v>
      </c>
      <c r="I2776" s="1">
        <v>1.7437714522500001</v>
      </c>
      <c r="J2776" s="1">
        <v>0.68682481733699996</v>
      </c>
      <c r="K2776" s="1">
        <v>2452.5950433799999</v>
      </c>
      <c r="L2776" s="1">
        <v>567.91827083600003</v>
      </c>
      <c r="M2776" s="1" t="s">
        <v>198</v>
      </c>
      <c r="N2776" s="1" t="b">
        <v>1</v>
      </c>
    </row>
    <row r="2777" spans="1:14" ht="19" customHeight="1" x14ac:dyDescent="0.3">
      <c r="A2777">
        <v>2772</v>
      </c>
      <c r="B2777" s="1">
        <v>11</v>
      </c>
      <c r="C2777" s="1">
        <v>30</v>
      </c>
      <c r="D2777" s="1">
        <v>2.5000000000000001E-2</v>
      </c>
      <c r="E2777" s="1">
        <v>8.5000000000000006E-2</v>
      </c>
      <c r="F2777" s="1">
        <v>5</v>
      </c>
      <c r="G2777" s="1">
        <v>1</v>
      </c>
      <c r="H2777" s="1">
        <v>1.22232988518</v>
      </c>
      <c r="I2777" s="1">
        <v>1.3078285891899999</v>
      </c>
      <c r="J2777" s="1">
        <v>0.56319635021600001</v>
      </c>
      <c r="K2777" s="1">
        <v>2092.1247884899999</v>
      </c>
      <c r="L2777" s="1">
        <v>465.69298208499998</v>
      </c>
      <c r="M2777" s="1" t="s">
        <v>198</v>
      </c>
      <c r="N2777" s="1" t="b">
        <v>1</v>
      </c>
    </row>
    <row r="2778" spans="1:14" ht="19" customHeight="1" x14ac:dyDescent="0.3">
      <c r="A2778">
        <v>2773</v>
      </c>
      <c r="B2778" s="1">
        <v>11</v>
      </c>
      <c r="C2778" s="1">
        <v>30</v>
      </c>
      <c r="D2778" s="1">
        <v>0.04</v>
      </c>
      <c r="E2778" s="1">
        <v>0.04</v>
      </c>
      <c r="F2778" s="1">
        <v>-5</v>
      </c>
      <c r="G2778" s="1">
        <v>0</v>
      </c>
      <c r="H2778" s="1">
        <v>1.2915351939399999</v>
      </c>
      <c r="I2778" s="1">
        <v>1.84757941539</v>
      </c>
      <c r="J2778" s="1">
        <v>0.69301807415600003</v>
      </c>
      <c r="K2778" s="1">
        <v>2595.6553925899998</v>
      </c>
      <c r="L2778" s="1">
        <v>573.03932006800005</v>
      </c>
      <c r="M2778" s="1" t="s">
        <v>198</v>
      </c>
      <c r="N2778" s="1" t="b">
        <v>1</v>
      </c>
    </row>
    <row r="2779" spans="1:14" ht="19" customHeight="1" x14ac:dyDescent="0.3">
      <c r="A2779">
        <v>2774</v>
      </c>
      <c r="B2779" s="1">
        <v>11</v>
      </c>
      <c r="C2779" s="1">
        <v>30</v>
      </c>
      <c r="D2779" s="1">
        <v>0.04</v>
      </c>
      <c r="E2779" s="1">
        <v>0.04</v>
      </c>
      <c r="F2779" s="1">
        <v>-5</v>
      </c>
      <c r="G2779" s="1">
        <v>1</v>
      </c>
      <c r="H2779" s="1">
        <v>1.2915351939399999</v>
      </c>
      <c r="I2779" s="1">
        <v>1.38568456154</v>
      </c>
      <c r="J2779" s="1">
        <v>0.56827482080799996</v>
      </c>
      <c r="K2779" s="1">
        <v>2213.7260853100001</v>
      </c>
      <c r="L2779" s="1">
        <v>469.89224245499997</v>
      </c>
      <c r="M2779" s="1" t="s">
        <v>198</v>
      </c>
      <c r="N2779" s="1" t="b">
        <v>1</v>
      </c>
    </row>
    <row r="2780" spans="1:14" ht="19" customHeight="1" x14ac:dyDescent="0.3">
      <c r="A2780">
        <v>2775</v>
      </c>
      <c r="B2780" s="1">
        <v>11</v>
      </c>
      <c r="C2780" s="1">
        <v>30</v>
      </c>
      <c r="D2780" s="1">
        <v>0.04</v>
      </c>
      <c r="E2780" s="1">
        <v>0.04</v>
      </c>
      <c r="F2780" s="1">
        <v>0</v>
      </c>
      <c r="G2780" s="1">
        <v>0</v>
      </c>
      <c r="H2780" s="1">
        <v>1.3209241214</v>
      </c>
      <c r="I2780" s="1">
        <v>1.88962114811</v>
      </c>
      <c r="J2780" s="1">
        <v>0.68551807415599997</v>
      </c>
      <c r="K2780" s="1">
        <v>2654.71961973</v>
      </c>
      <c r="L2780" s="1">
        <v>566.83775756800003</v>
      </c>
      <c r="M2780" s="1" t="s">
        <v>198</v>
      </c>
      <c r="N2780" s="1" t="b">
        <v>1</v>
      </c>
    </row>
    <row r="2781" spans="1:14" ht="19" customHeight="1" x14ac:dyDescent="0.3">
      <c r="A2781">
        <v>2776</v>
      </c>
      <c r="B2781" s="1">
        <v>11</v>
      </c>
      <c r="C2781" s="1">
        <v>30</v>
      </c>
      <c r="D2781" s="1">
        <v>0.04</v>
      </c>
      <c r="E2781" s="1">
        <v>0.04</v>
      </c>
      <c r="F2781" s="1">
        <v>0</v>
      </c>
      <c r="G2781" s="1">
        <v>1</v>
      </c>
      <c r="H2781" s="1">
        <v>1.3209241214</v>
      </c>
      <c r="I2781" s="1">
        <v>1.4172158610800001</v>
      </c>
      <c r="J2781" s="1">
        <v>0.56212482080799997</v>
      </c>
      <c r="K2781" s="1">
        <v>2264.0994980099999</v>
      </c>
      <c r="L2781" s="1">
        <v>464.80696120499999</v>
      </c>
      <c r="M2781" s="1" t="s">
        <v>198</v>
      </c>
      <c r="N2781" s="1" t="b">
        <v>1</v>
      </c>
    </row>
    <row r="2782" spans="1:14" ht="19" customHeight="1" x14ac:dyDescent="0.3">
      <c r="A2782">
        <v>2777</v>
      </c>
      <c r="B2782" s="1">
        <v>11</v>
      </c>
      <c r="C2782" s="1">
        <v>30</v>
      </c>
      <c r="D2782" s="1">
        <v>0.04</v>
      </c>
      <c r="E2782" s="1">
        <v>0.04</v>
      </c>
      <c r="F2782" s="1">
        <v>5</v>
      </c>
      <c r="G2782" s="1">
        <v>0</v>
      </c>
      <c r="H2782" s="1">
        <v>1.2915351939399999</v>
      </c>
      <c r="I2782" s="1">
        <v>1.84757941539</v>
      </c>
      <c r="J2782" s="1">
        <v>0.69301807415600003</v>
      </c>
      <c r="K2782" s="1">
        <v>2595.6553925899998</v>
      </c>
      <c r="L2782" s="1">
        <v>573.03932006800005</v>
      </c>
      <c r="M2782" s="1" t="s">
        <v>198</v>
      </c>
      <c r="N2782" s="1" t="b">
        <v>1</v>
      </c>
    </row>
    <row r="2783" spans="1:14" ht="19" customHeight="1" x14ac:dyDescent="0.3">
      <c r="A2783">
        <v>2778</v>
      </c>
      <c r="B2783" s="1">
        <v>11</v>
      </c>
      <c r="C2783" s="1">
        <v>30</v>
      </c>
      <c r="D2783" s="1">
        <v>0.04</v>
      </c>
      <c r="E2783" s="1">
        <v>0.04</v>
      </c>
      <c r="F2783" s="1">
        <v>5</v>
      </c>
      <c r="G2783" s="1">
        <v>1</v>
      </c>
      <c r="H2783" s="1">
        <v>1.2915351939399999</v>
      </c>
      <c r="I2783" s="1">
        <v>1.38568456154</v>
      </c>
      <c r="J2783" s="1">
        <v>0.56827482080799996</v>
      </c>
      <c r="K2783" s="1">
        <v>2213.7260853100001</v>
      </c>
      <c r="L2783" s="1">
        <v>469.89224245499997</v>
      </c>
      <c r="M2783" s="1" t="s">
        <v>198</v>
      </c>
      <c r="N2783" s="1" t="b">
        <v>1</v>
      </c>
    </row>
    <row r="2784" spans="1:14" ht="19" customHeight="1" x14ac:dyDescent="0.3">
      <c r="A2784">
        <v>2779</v>
      </c>
      <c r="B2784" s="1">
        <v>11</v>
      </c>
      <c r="C2784" s="1">
        <v>30</v>
      </c>
      <c r="D2784" s="1">
        <v>0.04</v>
      </c>
      <c r="E2784" s="1">
        <v>0.06</v>
      </c>
      <c r="F2784" s="1">
        <v>-5</v>
      </c>
      <c r="G2784" s="1">
        <v>0</v>
      </c>
      <c r="H2784" s="1">
        <v>1.33273100949</v>
      </c>
      <c r="I2784" s="1">
        <v>1.9093731387199999</v>
      </c>
      <c r="J2784" s="1">
        <v>0.69670473158400004</v>
      </c>
      <c r="K2784" s="1">
        <v>2680.81486756</v>
      </c>
      <c r="L2784" s="1">
        <v>576.08772492799994</v>
      </c>
      <c r="M2784" s="1" t="s">
        <v>198</v>
      </c>
      <c r="N2784" s="1" t="b">
        <v>1</v>
      </c>
    </row>
    <row r="2785" spans="1:14" ht="19" customHeight="1" x14ac:dyDescent="0.3">
      <c r="A2785">
        <v>2780</v>
      </c>
      <c r="B2785" s="1">
        <v>11</v>
      </c>
      <c r="C2785" s="1">
        <v>30</v>
      </c>
      <c r="D2785" s="1">
        <v>0.04</v>
      </c>
      <c r="E2785" s="1">
        <v>0.06</v>
      </c>
      <c r="F2785" s="1">
        <v>-5</v>
      </c>
      <c r="G2785" s="1">
        <v>1</v>
      </c>
      <c r="H2785" s="1">
        <v>1.33273100949</v>
      </c>
      <c r="I2785" s="1">
        <v>1.43202985404</v>
      </c>
      <c r="J2785" s="1">
        <v>0.57129787989900005</v>
      </c>
      <c r="K2785" s="1">
        <v>2286.1116390400002</v>
      </c>
      <c r="L2785" s="1">
        <v>472.39193444099999</v>
      </c>
      <c r="M2785" s="1" t="s">
        <v>198</v>
      </c>
      <c r="N2785" s="1" t="b">
        <v>1</v>
      </c>
    </row>
    <row r="2786" spans="1:14" ht="19" customHeight="1" x14ac:dyDescent="0.3">
      <c r="A2786">
        <v>2781</v>
      </c>
      <c r="B2786" s="1">
        <v>11</v>
      </c>
      <c r="C2786" s="1">
        <v>30</v>
      </c>
      <c r="D2786" s="1">
        <v>0.04</v>
      </c>
      <c r="E2786" s="1">
        <v>0.06</v>
      </c>
      <c r="F2786" s="1">
        <v>0</v>
      </c>
      <c r="G2786" s="1">
        <v>0</v>
      </c>
      <c r="H2786" s="1">
        <v>1.36305734915</v>
      </c>
      <c r="I2786" s="1">
        <v>1.95282098973</v>
      </c>
      <c r="J2786" s="1">
        <v>0.68920473158399997</v>
      </c>
      <c r="K2786" s="1">
        <v>2741.8169014599998</v>
      </c>
      <c r="L2786" s="1">
        <v>569.88616242800003</v>
      </c>
      <c r="M2786" s="1" t="s">
        <v>198</v>
      </c>
      <c r="N2786" s="1" t="b">
        <v>1</v>
      </c>
    </row>
    <row r="2787" spans="1:14" ht="19" customHeight="1" x14ac:dyDescent="0.3">
      <c r="A2787">
        <v>2782</v>
      </c>
      <c r="B2787" s="1">
        <v>11</v>
      </c>
      <c r="C2787" s="1">
        <v>30</v>
      </c>
      <c r="D2787" s="1">
        <v>0.04</v>
      </c>
      <c r="E2787" s="1">
        <v>0.06</v>
      </c>
      <c r="F2787" s="1">
        <v>0</v>
      </c>
      <c r="G2787" s="1">
        <v>1</v>
      </c>
      <c r="H2787" s="1">
        <v>1.36305734915</v>
      </c>
      <c r="I2787" s="1">
        <v>1.4646157422999999</v>
      </c>
      <c r="J2787" s="1">
        <v>0.56514787989899995</v>
      </c>
      <c r="K2787" s="1">
        <v>2338.13218749</v>
      </c>
      <c r="L2787" s="1">
        <v>467.30665319100001</v>
      </c>
      <c r="M2787" s="1" t="s">
        <v>198</v>
      </c>
      <c r="N2787" s="1" t="b">
        <v>1</v>
      </c>
    </row>
    <row r="2788" spans="1:14" ht="19" customHeight="1" x14ac:dyDescent="0.3">
      <c r="A2788">
        <v>2783</v>
      </c>
      <c r="B2788" s="1">
        <v>11</v>
      </c>
      <c r="C2788" s="1">
        <v>30</v>
      </c>
      <c r="D2788" s="1">
        <v>0.04</v>
      </c>
      <c r="E2788" s="1">
        <v>0.06</v>
      </c>
      <c r="F2788" s="1">
        <v>5</v>
      </c>
      <c r="G2788" s="1">
        <v>0</v>
      </c>
      <c r="H2788" s="1">
        <v>1.33273100949</v>
      </c>
      <c r="I2788" s="1">
        <v>1.9093731387199999</v>
      </c>
      <c r="J2788" s="1">
        <v>0.69670473158400004</v>
      </c>
      <c r="K2788" s="1">
        <v>2680.81486756</v>
      </c>
      <c r="L2788" s="1">
        <v>576.08772492799994</v>
      </c>
      <c r="M2788" s="1" t="s">
        <v>198</v>
      </c>
      <c r="N2788" s="1" t="b">
        <v>1</v>
      </c>
    </row>
    <row r="2789" spans="1:14" ht="19" customHeight="1" x14ac:dyDescent="0.3">
      <c r="A2789">
        <v>2784</v>
      </c>
      <c r="B2789" s="1">
        <v>11</v>
      </c>
      <c r="C2789" s="1">
        <v>30</v>
      </c>
      <c r="D2789" s="1">
        <v>0.04</v>
      </c>
      <c r="E2789" s="1">
        <v>0.06</v>
      </c>
      <c r="F2789" s="1">
        <v>5</v>
      </c>
      <c r="G2789" s="1">
        <v>1</v>
      </c>
      <c r="H2789" s="1">
        <v>1.33273100949</v>
      </c>
      <c r="I2789" s="1">
        <v>1.43202985404</v>
      </c>
      <c r="J2789" s="1">
        <v>0.57129787989900005</v>
      </c>
      <c r="K2789" s="1">
        <v>2286.1116390400002</v>
      </c>
      <c r="L2789" s="1">
        <v>472.39193444099999</v>
      </c>
      <c r="M2789" s="1" t="s">
        <v>198</v>
      </c>
      <c r="N2789" s="1" t="b">
        <v>1</v>
      </c>
    </row>
    <row r="2790" spans="1:14" ht="19" customHeight="1" x14ac:dyDescent="0.3">
      <c r="A2790">
        <v>2785</v>
      </c>
      <c r="B2790" s="1">
        <v>11</v>
      </c>
      <c r="C2790" s="1">
        <v>30</v>
      </c>
      <c r="D2790" s="1">
        <v>0.04</v>
      </c>
      <c r="E2790" s="1">
        <v>8.5000000000000006E-2</v>
      </c>
      <c r="F2790" s="1">
        <v>-5</v>
      </c>
      <c r="G2790" s="1">
        <v>0</v>
      </c>
      <c r="H2790" s="1">
        <v>1.2274146914999999</v>
      </c>
      <c r="I2790" s="1">
        <v>1.7513986617299999</v>
      </c>
      <c r="J2790" s="1">
        <v>0.68727986207299996</v>
      </c>
      <c r="K2790" s="1">
        <v>2463.1062914499998</v>
      </c>
      <c r="L2790" s="1">
        <v>568.29453595099994</v>
      </c>
      <c r="M2790" s="1" t="s">
        <v>198</v>
      </c>
      <c r="N2790" s="1" t="b">
        <v>1</v>
      </c>
    </row>
    <row r="2791" spans="1:14" ht="19" customHeight="1" x14ac:dyDescent="0.3">
      <c r="A2791">
        <v>2786</v>
      </c>
      <c r="B2791" s="1">
        <v>11</v>
      </c>
      <c r="C2791" s="1">
        <v>30</v>
      </c>
      <c r="D2791" s="1">
        <v>0.04</v>
      </c>
      <c r="E2791" s="1">
        <v>8.5000000000000006E-2</v>
      </c>
      <c r="F2791" s="1">
        <v>-5</v>
      </c>
      <c r="G2791" s="1">
        <v>1</v>
      </c>
      <c r="H2791" s="1">
        <v>1.2274146914999999</v>
      </c>
      <c r="I2791" s="1">
        <v>1.3135489963</v>
      </c>
      <c r="J2791" s="1">
        <v>0.56356948689999997</v>
      </c>
      <c r="K2791" s="1">
        <v>2101.05934935</v>
      </c>
      <c r="L2791" s="1">
        <v>466.00151948000001</v>
      </c>
      <c r="M2791" s="1" t="s">
        <v>198</v>
      </c>
      <c r="N2791" s="1" t="b">
        <v>1</v>
      </c>
    </row>
    <row r="2792" spans="1:14" ht="19" customHeight="1" x14ac:dyDescent="0.3">
      <c r="A2792">
        <v>2787</v>
      </c>
      <c r="B2792" s="1">
        <v>11</v>
      </c>
      <c r="C2792" s="1">
        <v>30</v>
      </c>
      <c r="D2792" s="1">
        <v>0.04</v>
      </c>
      <c r="E2792" s="1">
        <v>8.5000000000000006E-2</v>
      </c>
      <c r="F2792" s="1">
        <v>0</v>
      </c>
      <c r="G2792" s="1">
        <v>0</v>
      </c>
      <c r="H2792" s="1">
        <v>1.25534455474</v>
      </c>
      <c r="I2792" s="1">
        <v>1.79125179811</v>
      </c>
      <c r="J2792" s="1">
        <v>0.67977986207300001</v>
      </c>
      <c r="K2792" s="1">
        <v>2519.15435927</v>
      </c>
      <c r="L2792" s="1">
        <v>562.09297345100003</v>
      </c>
      <c r="M2792" s="1" t="s">
        <v>198</v>
      </c>
      <c r="N2792" s="1" t="b">
        <v>1</v>
      </c>
    </row>
    <row r="2793" spans="1:14" ht="19" customHeight="1" x14ac:dyDescent="0.3">
      <c r="A2793">
        <v>2788</v>
      </c>
      <c r="B2793" s="1">
        <v>11</v>
      </c>
      <c r="C2793" s="1">
        <v>30</v>
      </c>
      <c r="D2793" s="1">
        <v>0.04</v>
      </c>
      <c r="E2793" s="1">
        <v>8.5000000000000006E-2</v>
      </c>
      <c r="F2793" s="1">
        <v>0</v>
      </c>
      <c r="G2793" s="1">
        <v>1</v>
      </c>
      <c r="H2793" s="1">
        <v>1.25534455474</v>
      </c>
      <c r="I2793" s="1">
        <v>1.34343884859</v>
      </c>
      <c r="J2793" s="1">
        <v>0.55741948689999998</v>
      </c>
      <c r="K2793" s="1">
        <v>2148.8690266200001</v>
      </c>
      <c r="L2793" s="1">
        <v>460.91623822999998</v>
      </c>
      <c r="M2793" s="1" t="s">
        <v>198</v>
      </c>
      <c r="N2793" s="1" t="b">
        <v>1</v>
      </c>
    </row>
    <row r="2794" spans="1:14" ht="19" customHeight="1" x14ac:dyDescent="0.3">
      <c r="A2794">
        <v>2789</v>
      </c>
      <c r="B2794" s="1">
        <v>11</v>
      </c>
      <c r="C2794" s="1">
        <v>30</v>
      </c>
      <c r="D2794" s="1">
        <v>0.04</v>
      </c>
      <c r="E2794" s="1">
        <v>8.5000000000000006E-2</v>
      </c>
      <c r="F2794" s="1">
        <v>5</v>
      </c>
      <c r="G2794" s="1">
        <v>0</v>
      </c>
      <c r="H2794" s="1">
        <v>1.2274146914999999</v>
      </c>
      <c r="I2794" s="1">
        <v>1.7513986617299999</v>
      </c>
      <c r="J2794" s="1">
        <v>0.68727986207299996</v>
      </c>
      <c r="K2794" s="1">
        <v>2463.1062914499998</v>
      </c>
      <c r="L2794" s="1">
        <v>568.29453595099994</v>
      </c>
      <c r="M2794" s="1" t="s">
        <v>198</v>
      </c>
      <c r="N2794" s="1" t="b">
        <v>1</v>
      </c>
    </row>
    <row r="2795" spans="1:14" ht="19" customHeight="1" x14ac:dyDescent="0.3">
      <c r="A2795">
        <v>2790</v>
      </c>
      <c r="B2795" s="1">
        <v>11</v>
      </c>
      <c r="C2795" s="1">
        <v>30</v>
      </c>
      <c r="D2795" s="1">
        <v>0.04</v>
      </c>
      <c r="E2795" s="1">
        <v>8.5000000000000006E-2</v>
      </c>
      <c r="F2795" s="1">
        <v>5</v>
      </c>
      <c r="G2795" s="1">
        <v>1</v>
      </c>
      <c r="H2795" s="1">
        <v>1.2274146914999999</v>
      </c>
      <c r="I2795" s="1">
        <v>1.3135489963</v>
      </c>
      <c r="J2795" s="1">
        <v>0.56356948689999997</v>
      </c>
      <c r="K2795" s="1">
        <v>2101.05934935</v>
      </c>
      <c r="L2795" s="1">
        <v>466.00151948000001</v>
      </c>
      <c r="M2795" s="1" t="s">
        <v>198</v>
      </c>
      <c r="N2795" s="1" t="b">
        <v>1</v>
      </c>
    </row>
    <row r="2796" spans="1:14" ht="19" customHeight="1" x14ac:dyDescent="0.3">
      <c r="A2796">
        <v>2791</v>
      </c>
      <c r="B2796" s="1">
        <v>11</v>
      </c>
      <c r="C2796" s="1">
        <v>30</v>
      </c>
      <c r="D2796" s="1">
        <v>5.5E-2</v>
      </c>
      <c r="E2796" s="1">
        <v>0.04</v>
      </c>
      <c r="F2796" s="1">
        <v>-5</v>
      </c>
      <c r="G2796" s="1">
        <v>0</v>
      </c>
      <c r="H2796" s="1">
        <v>1.1516500918699999</v>
      </c>
      <c r="I2796" s="1">
        <v>1.63775176229</v>
      </c>
      <c r="J2796" s="1">
        <v>0.68049960732600001</v>
      </c>
      <c r="K2796" s="1">
        <v>2306.4866581699998</v>
      </c>
      <c r="L2796" s="1">
        <v>562.68811280800003</v>
      </c>
      <c r="M2796" s="1" t="s">
        <v>198</v>
      </c>
      <c r="N2796" s="1" t="b">
        <v>1</v>
      </c>
    </row>
    <row r="2797" spans="1:14" ht="19" customHeight="1" x14ac:dyDescent="0.3">
      <c r="A2797">
        <v>2792</v>
      </c>
      <c r="B2797" s="1">
        <v>11</v>
      </c>
      <c r="C2797" s="1">
        <v>30</v>
      </c>
      <c r="D2797" s="1">
        <v>5.5E-2</v>
      </c>
      <c r="E2797" s="1">
        <v>0.04</v>
      </c>
      <c r="F2797" s="1">
        <v>-5</v>
      </c>
      <c r="G2797" s="1">
        <v>1</v>
      </c>
      <c r="H2797" s="1">
        <v>1.1516500918699999</v>
      </c>
      <c r="I2797" s="1">
        <v>1.22831382172</v>
      </c>
      <c r="J2797" s="1">
        <v>0.55800967800699997</v>
      </c>
      <c r="K2797" s="1">
        <v>1967.93266105</v>
      </c>
      <c r="L2797" s="1">
        <v>461.40425250200002</v>
      </c>
      <c r="M2797" s="1" t="s">
        <v>198</v>
      </c>
      <c r="N2797" s="1" t="b">
        <v>1</v>
      </c>
    </row>
    <row r="2798" spans="1:14" ht="19" customHeight="1" x14ac:dyDescent="0.3">
      <c r="A2798">
        <v>2793</v>
      </c>
      <c r="B2798" s="1">
        <v>11</v>
      </c>
      <c r="C2798" s="1">
        <v>30</v>
      </c>
      <c r="D2798" s="1">
        <v>5.5E-2</v>
      </c>
      <c r="E2798" s="1">
        <v>0.04</v>
      </c>
      <c r="F2798" s="1">
        <v>0</v>
      </c>
      <c r="G2798" s="1">
        <v>0</v>
      </c>
      <c r="H2798" s="1">
        <v>1.1778559290599999</v>
      </c>
      <c r="I2798" s="1">
        <v>1.6750188596</v>
      </c>
      <c r="J2798" s="1">
        <v>0.67299960732599995</v>
      </c>
      <c r="K2798" s="1">
        <v>2358.9708408699998</v>
      </c>
      <c r="L2798" s="1">
        <v>556.48655030800001</v>
      </c>
      <c r="M2798" s="1" t="s">
        <v>198</v>
      </c>
      <c r="N2798" s="1" t="b">
        <v>1</v>
      </c>
    </row>
    <row r="2799" spans="1:14" ht="19" customHeight="1" x14ac:dyDescent="0.3">
      <c r="A2799">
        <v>2794</v>
      </c>
      <c r="B2799" s="1">
        <v>11</v>
      </c>
      <c r="C2799" s="1">
        <v>30</v>
      </c>
      <c r="D2799" s="1">
        <v>5.5E-2</v>
      </c>
      <c r="E2799" s="1">
        <v>0.04</v>
      </c>
      <c r="F2799" s="1">
        <v>0</v>
      </c>
      <c r="G2799" s="1">
        <v>1</v>
      </c>
      <c r="H2799" s="1">
        <v>1.1778559290599999</v>
      </c>
      <c r="I2799" s="1">
        <v>1.2562641447</v>
      </c>
      <c r="J2799" s="1">
        <v>0.55185967800699998</v>
      </c>
      <c r="K2799" s="1">
        <v>2012.71303599</v>
      </c>
      <c r="L2799" s="1">
        <v>456.31897125199998</v>
      </c>
      <c r="M2799" s="1" t="s">
        <v>198</v>
      </c>
      <c r="N2799" s="1" t="b">
        <v>1</v>
      </c>
    </row>
    <row r="2800" spans="1:14" ht="19" customHeight="1" x14ac:dyDescent="0.3">
      <c r="A2800">
        <v>2795</v>
      </c>
      <c r="B2800" s="1">
        <v>11</v>
      </c>
      <c r="C2800" s="1">
        <v>30</v>
      </c>
      <c r="D2800" s="1">
        <v>5.5E-2</v>
      </c>
      <c r="E2800" s="1">
        <v>0.04</v>
      </c>
      <c r="F2800" s="1">
        <v>5</v>
      </c>
      <c r="G2800" s="1">
        <v>0</v>
      </c>
      <c r="H2800" s="1">
        <v>1.1516500918699999</v>
      </c>
      <c r="I2800" s="1">
        <v>1.63775176229</v>
      </c>
      <c r="J2800" s="1">
        <v>0.68049960732600001</v>
      </c>
      <c r="K2800" s="1">
        <v>2306.4866581699998</v>
      </c>
      <c r="L2800" s="1">
        <v>562.68811280800003</v>
      </c>
      <c r="M2800" s="1" t="s">
        <v>198</v>
      </c>
      <c r="N2800" s="1" t="b">
        <v>1</v>
      </c>
    </row>
    <row r="2801" spans="1:14" ht="19" customHeight="1" x14ac:dyDescent="0.3">
      <c r="A2801">
        <v>2796</v>
      </c>
      <c r="B2801" s="1">
        <v>11</v>
      </c>
      <c r="C2801" s="1">
        <v>30</v>
      </c>
      <c r="D2801" s="1">
        <v>5.5E-2</v>
      </c>
      <c r="E2801" s="1">
        <v>0.04</v>
      </c>
      <c r="F2801" s="1">
        <v>5</v>
      </c>
      <c r="G2801" s="1">
        <v>1</v>
      </c>
      <c r="H2801" s="1">
        <v>1.1516500918699999</v>
      </c>
      <c r="I2801" s="1">
        <v>1.22831382172</v>
      </c>
      <c r="J2801" s="1">
        <v>0.55800967800699997</v>
      </c>
      <c r="K2801" s="1">
        <v>1967.93266105</v>
      </c>
      <c r="L2801" s="1">
        <v>461.40425250200002</v>
      </c>
      <c r="M2801" s="1" t="s">
        <v>198</v>
      </c>
      <c r="N2801" s="1" t="b">
        <v>1</v>
      </c>
    </row>
    <row r="2802" spans="1:14" ht="19" customHeight="1" x14ac:dyDescent="0.3">
      <c r="A2802">
        <v>2797</v>
      </c>
      <c r="B2802" s="1">
        <v>11</v>
      </c>
      <c r="C2802" s="1">
        <v>30</v>
      </c>
      <c r="D2802" s="1">
        <v>5.5E-2</v>
      </c>
      <c r="E2802" s="1">
        <v>0.06</v>
      </c>
      <c r="F2802" s="1">
        <v>-5</v>
      </c>
      <c r="G2802" s="1">
        <v>0</v>
      </c>
      <c r="H2802" s="1">
        <v>1.1792796915799999</v>
      </c>
      <c r="I2802" s="1">
        <v>1.67919616185</v>
      </c>
      <c r="J2802" s="1">
        <v>0.68297220964299998</v>
      </c>
      <c r="K2802" s="1">
        <v>2363.60222131</v>
      </c>
      <c r="L2802" s="1">
        <v>564.73264584799995</v>
      </c>
      <c r="M2802" s="1" t="s">
        <v>198</v>
      </c>
      <c r="N2802" s="1" t="b">
        <v>1</v>
      </c>
    </row>
    <row r="2803" spans="1:14" ht="19" customHeight="1" x14ac:dyDescent="0.3">
      <c r="A2803">
        <v>2798</v>
      </c>
      <c r="B2803" s="1">
        <v>11</v>
      </c>
      <c r="C2803" s="1">
        <v>30</v>
      </c>
      <c r="D2803" s="1">
        <v>5.5E-2</v>
      </c>
      <c r="E2803" s="1">
        <v>0.06</v>
      </c>
      <c r="F2803" s="1">
        <v>-5</v>
      </c>
      <c r="G2803" s="1">
        <v>1</v>
      </c>
      <c r="H2803" s="1">
        <v>1.1792796915799999</v>
      </c>
      <c r="I2803" s="1">
        <v>1.2593971213899999</v>
      </c>
      <c r="J2803" s="1">
        <v>0.56003721190699995</v>
      </c>
      <c r="K2803" s="1">
        <v>2016.4808897299999</v>
      </c>
      <c r="L2803" s="1">
        <v>463.08076959599998</v>
      </c>
      <c r="M2803" s="1" t="s">
        <v>198</v>
      </c>
      <c r="N2803" s="1" t="b">
        <v>1</v>
      </c>
    </row>
    <row r="2804" spans="1:14" ht="19" customHeight="1" x14ac:dyDescent="0.3">
      <c r="A2804">
        <v>2799</v>
      </c>
      <c r="B2804" s="1">
        <v>11</v>
      </c>
      <c r="C2804" s="1">
        <v>30</v>
      </c>
      <c r="D2804" s="1">
        <v>5.5E-2</v>
      </c>
      <c r="E2804" s="1">
        <v>0.06</v>
      </c>
      <c r="F2804" s="1">
        <v>0</v>
      </c>
      <c r="G2804" s="1">
        <v>0</v>
      </c>
      <c r="H2804" s="1">
        <v>1.2061142412500001</v>
      </c>
      <c r="I2804" s="1">
        <v>1.71740632789</v>
      </c>
      <c r="J2804" s="1">
        <v>0.67547220964300003</v>
      </c>
      <c r="K2804" s="1">
        <v>2417.3860706099999</v>
      </c>
      <c r="L2804" s="1">
        <v>558.53108334800004</v>
      </c>
      <c r="M2804" s="1" t="s">
        <v>198</v>
      </c>
      <c r="N2804" s="1" t="b">
        <v>1</v>
      </c>
    </row>
    <row r="2805" spans="1:14" ht="19" customHeight="1" x14ac:dyDescent="0.3">
      <c r="A2805">
        <v>2800</v>
      </c>
      <c r="B2805" s="1">
        <v>11</v>
      </c>
      <c r="C2805" s="1">
        <v>30</v>
      </c>
      <c r="D2805" s="1">
        <v>5.5E-2</v>
      </c>
      <c r="E2805" s="1">
        <v>0.06</v>
      </c>
      <c r="F2805" s="1">
        <v>0</v>
      </c>
      <c r="G2805" s="1">
        <v>1</v>
      </c>
      <c r="H2805" s="1">
        <v>1.2061142412500001</v>
      </c>
      <c r="I2805" s="1">
        <v>1.28805474591</v>
      </c>
      <c r="J2805" s="1">
        <v>0.55388721190699997</v>
      </c>
      <c r="K2805" s="1">
        <v>2062.3659812599999</v>
      </c>
      <c r="L2805" s="1">
        <v>457.995488346</v>
      </c>
      <c r="M2805" s="1" t="s">
        <v>198</v>
      </c>
      <c r="N2805" s="1" t="b">
        <v>1</v>
      </c>
    </row>
    <row r="2806" spans="1:14" ht="19" customHeight="1" x14ac:dyDescent="0.3">
      <c r="A2806">
        <v>2801</v>
      </c>
      <c r="B2806" s="1">
        <v>11</v>
      </c>
      <c r="C2806" s="1">
        <v>30</v>
      </c>
      <c r="D2806" s="1">
        <v>5.5E-2</v>
      </c>
      <c r="E2806" s="1">
        <v>0.06</v>
      </c>
      <c r="F2806" s="1">
        <v>5</v>
      </c>
      <c r="G2806" s="1">
        <v>0</v>
      </c>
      <c r="H2806" s="1">
        <v>1.1792796915799999</v>
      </c>
      <c r="I2806" s="1">
        <v>1.67919616185</v>
      </c>
      <c r="J2806" s="1">
        <v>0.68297220964299998</v>
      </c>
      <c r="K2806" s="1">
        <v>2363.60222131</v>
      </c>
      <c r="L2806" s="1">
        <v>564.73264584799995</v>
      </c>
      <c r="M2806" s="1" t="s">
        <v>198</v>
      </c>
      <c r="N2806" s="1" t="b">
        <v>1</v>
      </c>
    </row>
    <row r="2807" spans="1:14" ht="19" customHeight="1" x14ac:dyDescent="0.3">
      <c r="A2807">
        <v>2802</v>
      </c>
      <c r="B2807" s="1">
        <v>11</v>
      </c>
      <c r="C2807" s="1">
        <v>30</v>
      </c>
      <c r="D2807" s="1">
        <v>5.5E-2</v>
      </c>
      <c r="E2807" s="1">
        <v>0.06</v>
      </c>
      <c r="F2807" s="1">
        <v>5</v>
      </c>
      <c r="G2807" s="1">
        <v>1</v>
      </c>
      <c r="H2807" s="1">
        <v>1.1792796915799999</v>
      </c>
      <c r="I2807" s="1">
        <v>1.2593971213899999</v>
      </c>
      <c r="J2807" s="1">
        <v>0.56003721190699995</v>
      </c>
      <c r="K2807" s="1">
        <v>2016.4808897299999</v>
      </c>
      <c r="L2807" s="1">
        <v>463.08076959599998</v>
      </c>
      <c r="M2807" s="1" t="s">
        <v>198</v>
      </c>
      <c r="N2807" s="1" t="b">
        <v>1</v>
      </c>
    </row>
    <row r="2808" spans="1:14" ht="19" customHeight="1" x14ac:dyDescent="0.3">
      <c r="A2808">
        <v>2803</v>
      </c>
      <c r="B2808" s="1">
        <v>11</v>
      </c>
      <c r="C2808" s="1">
        <v>30</v>
      </c>
      <c r="D2808" s="1">
        <v>5.5E-2</v>
      </c>
      <c r="E2808" s="1">
        <v>8.5000000000000006E-2</v>
      </c>
      <c r="F2808" s="1">
        <v>-5</v>
      </c>
      <c r="G2808" s="1">
        <v>0</v>
      </c>
      <c r="H2808" s="1">
        <v>1.10864514607</v>
      </c>
      <c r="I2808" s="1">
        <v>1.5732443435900001</v>
      </c>
      <c r="J2808" s="1">
        <v>0.67665104890500005</v>
      </c>
      <c r="K2808" s="1">
        <v>2217.5873717600002</v>
      </c>
      <c r="L2808" s="1">
        <v>559.50583606299995</v>
      </c>
      <c r="M2808" s="1" t="s">
        <v>198</v>
      </c>
      <c r="N2808" s="1" t="b">
        <v>1</v>
      </c>
    </row>
    <row r="2809" spans="1:14" ht="19" customHeight="1" x14ac:dyDescent="0.3">
      <c r="A2809">
        <v>2804</v>
      </c>
      <c r="B2809" s="1">
        <v>11</v>
      </c>
      <c r="C2809" s="1">
        <v>30</v>
      </c>
      <c r="D2809" s="1">
        <v>5.5E-2</v>
      </c>
      <c r="E2809" s="1">
        <v>8.5000000000000006E-2</v>
      </c>
      <c r="F2809" s="1">
        <v>-5</v>
      </c>
      <c r="G2809" s="1">
        <v>1</v>
      </c>
      <c r="H2809" s="1">
        <v>1.10864514607</v>
      </c>
      <c r="I2809" s="1">
        <v>1.1799332576899999</v>
      </c>
      <c r="J2809" s="1">
        <v>0.554853860102</v>
      </c>
      <c r="K2809" s="1">
        <v>1892.36826761</v>
      </c>
      <c r="L2809" s="1">
        <v>458.79478557200002</v>
      </c>
      <c r="M2809" s="1" t="s">
        <v>198</v>
      </c>
      <c r="N2809" s="1" t="b">
        <v>1</v>
      </c>
    </row>
    <row r="2810" spans="1:14" ht="19" customHeight="1" x14ac:dyDescent="0.3">
      <c r="A2810">
        <v>2805</v>
      </c>
      <c r="B2810" s="1">
        <v>11</v>
      </c>
      <c r="C2810" s="1">
        <v>30</v>
      </c>
      <c r="D2810" s="1">
        <v>5.5E-2</v>
      </c>
      <c r="E2810" s="1">
        <v>8.5000000000000006E-2</v>
      </c>
      <c r="F2810" s="1">
        <v>0</v>
      </c>
      <c r="G2810" s="1">
        <v>0</v>
      </c>
      <c r="H2810" s="1">
        <v>1.1338724042399999</v>
      </c>
      <c r="I2810" s="1">
        <v>1.6090435723700001</v>
      </c>
      <c r="J2810" s="1">
        <v>0.66915104890499999</v>
      </c>
      <c r="K2810" s="1">
        <v>2268.04864817</v>
      </c>
      <c r="L2810" s="1">
        <v>553.30427356300004</v>
      </c>
      <c r="M2810" s="1" t="s">
        <v>198</v>
      </c>
      <c r="N2810" s="1" t="b">
        <v>1</v>
      </c>
    </row>
    <row r="2811" spans="1:14" ht="19" customHeight="1" x14ac:dyDescent="0.3">
      <c r="A2811">
        <v>2806</v>
      </c>
      <c r="B2811" s="1">
        <v>11</v>
      </c>
      <c r="C2811" s="1">
        <v>30</v>
      </c>
      <c r="D2811" s="1">
        <v>5.5E-2</v>
      </c>
      <c r="E2811" s="1">
        <v>8.5000000000000006E-2</v>
      </c>
      <c r="F2811" s="1">
        <v>0</v>
      </c>
      <c r="G2811" s="1">
        <v>1</v>
      </c>
      <c r="H2811" s="1">
        <v>1.1338724042399999</v>
      </c>
      <c r="I2811" s="1">
        <v>1.20678267928</v>
      </c>
      <c r="J2811" s="1">
        <v>0.54870386010200001</v>
      </c>
      <c r="K2811" s="1">
        <v>1935.4291721899999</v>
      </c>
      <c r="L2811" s="1">
        <v>453.70950432199999</v>
      </c>
      <c r="M2811" s="1" t="s">
        <v>198</v>
      </c>
      <c r="N2811" s="1" t="b">
        <v>1</v>
      </c>
    </row>
    <row r="2812" spans="1:14" ht="19" customHeight="1" x14ac:dyDescent="0.3">
      <c r="A2812">
        <v>2807</v>
      </c>
      <c r="B2812" s="1">
        <v>11</v>
      </c>
      <c r="C2812" s="1">
        <v>30</v>
      </c>
      <c r="D2812" s="1">
        <v>5.5E-2</v>
      </c>
      <c r="E2812" s="1">
        <v>8.5000000000000006E-2</v>
      </c>
      <c r="F2812" s="1">
        <v>5</v>
      </c>
      <c r="G2812" s="1">
        <v>0</v>
      </c>
      <c r="H2812" s="1">
        <v>1.10864514607</v>
      </c>
      <c r="I2812" s="1">
        <v>1.5732443435900001</v>
      </c>
      <c r="J2812" s="1">
        <v>0.67665104890500005</v>
      </c>
      <c r="K2812" s="1">
        <v>2217.5873717600002</v>
      </c>
      <c r="L2812" s="1">
        <v>559.50583606299995</v>
      </c>
      <c r="M2812" s="1" t="s">
        <v>198</v>
      </c>
      <c r="N2812" s="1" t="b">
        <v>1</v>
      </c>
    </row>
    <row r="2813" spans="1:14" ht="19" customHeight="1" x14ac:dyDescent="0.3">
      <c r="A2813">
        <v>2808</v>
      </c>
      <c r="B2813" s="1">
        <v>11</v>
      </c>
      <c r="C2813" s="1">
        <v>30</v>
      </c>
      <c r="D2813" s="1">
        <v>5.5E-2</v>
      </c>
      <c r="E2813" s="1">
        <v>8.5000000000000006E-2</v>
      </c>
      <c r="F2813" s="1">
        <v>5</v>
      </c>
      <c r="G2813" s="1">
        <v>1</v>
      </c>
      <c r="H2813" s="1">
        <v>1.10864514607</v>
      </c>
      <c r="I2813" s="1">
        <v>1.1799332576899999</v>
      </c>
      <c r="J2813" s="1">
        <v>0.554853860102</v>
      </c>
      <c r="K2813" s="1">
        <v>1892.36826761</v>
      </c>
      <c r="L2813" s="1">
        <v>458.79478557200002</v>
      </c>
      <c r="M2813" s="1" t="s">
        <v>198</v>
      </c>
      <c r="N2813" s="1" t="b">
        <v>1</v>
      </c>
    </row>
    <row r="2814" spans="1:14" ht="19" customHeight="1" x14ac:dyDescent="0.3">
      <c r="A2814">
        <v>2809</v>
      </c>
      <c r="B2814" s="1">
        <v>11</v>
      </c>
      <c r="C2814" s="1">
        <v>50</v>
      </c>
      <c r="D2814" s="1">
        <v>2.5000000000000001E-2</v>
      </c>
      <c r="E2814" s="1">
        <v>0.04</v>
      </c>
      <c r="F2814" s="1">
        <v>-5</v>
      </c>
      <c r="G2814" s="1">
        <v>0</v>
      </c>
      <c r="H2814" s="1">
        <v>1.28554638049</v>
      </c>
      <c r="I2814" s="1">
        <v>1.8385961952100001</v>
      </c>
      <c r="J2814" s="1">
        <v>0.69248212885899996</v>
      </c>
      <c r="K2814" s="1">
        <v>7175.7649785499998</v>
      </c>
      <c r="L2814" s="1">
        <v>1590.5448897199999</v>
      </c>
      <c r="M2814" s="1" t="s">
        <v>198</v>
      </c>
      <c r="N2814" s="1" t="b">
        <v>1</v>
      </c>
    </row>
    <row r="2815" spans="1:14" ht="19" customHeight="1" x14ac:dyDescent="0.3">
      <c r="A2815">
        <v>2810</v>
      </c>
      <c r="B2815" s="1">
        <v>11</v>
      </c>
      <c r="C2815" s="1">
        <v>50</v>
      </c>
      <c r="D2815" s="1">
        <v>2.5000000000000001E-2</v>
      </c>
      <c r="E2815" s="1">
        <v>0.04</v>
      </c>
      <c r="F2815" s="1">
        <v>-5</v>
      </c>
      <c r="G2815" s="1">
        <v>1</v>
      </c>
      <c r="H2815" s="1">
        <v>1.28554638049</v>
      </c>
      <c r="I2815" s="1">
        <v>1.37894714641</v>
      </c>
      <c r="J2815" s="1">
        <v>0.56783534566399996</v>
      </c>
      <c r="K2815" s="1">
        <v>6120.0085695799999</v>
      </c>
      <c r="L2815" s="1">
        <v>1304.2468095700001</v>
      </c>
      <c r="M2815" s="1" t="s">
        <v>198</v>
      </c>
      <c r="N2815" s="1" t="b">
        <v>1</v>
      </c>
    </row>
    <row r="2816" spans="1:14" ht="19" customHeight="1" x14ac:dyDescent="0.3">
      <c r="A2816">
        <v>2811</v>
      </c>
      <c r="B2816" s="1">
        <v>11</v>
      </c>
      <c r="C2816" s="1">
        <v>50</v>
      </c>
      <c r="D2816" s="1">
        <v>2.5000000000000001E-2</v>
      </c>
      <c r="E2816" s="1">
        <v>0.04</v>
      </c>
      <c r="F2816" s="1">
        <v>0</v>
      </c>
      <c r="G2816" s="1">
        <v>0</v>
      </c>
      <c r="H2816" s="1">
        <v>1.3147990322900001</v>
      </c>
      <c r="I2816" s="1">
        <v>1.88043351445</v>
      </c>
      <c r="J2816" s="1">
        <v>0.68498212885900001</v>
      </c>
      <c r="K2816" s="1">
        <v>7339.0497557899998</v>
      </c>
      <c r="L2816" s="1">
        <v>1573.3183272199999</v>
      </c>
      <c r="M2816" s="1" t="s">
        <v>198</v>
      </c>
      <c r="N2816" s="1" t="b">
        <v>1</v>
      </c>
    </row>
    <row r="2817" spans="1:14" ht="19" customHeight="1" x14ac:dyDescent="0.3">
      <c r="A2817">
        <v>2812</v>
      </c>
      <c r="B2817" s="1">
        <v>11</v>
      </c>
      <c r="C2817" s="1">
        <v>50</v>
      </c>
      <c r="D2817" s="1">
        <v>2.5000000000000001E-2</v>
      </c>
      <c r="E2817" s="1">
        <v>0.04</v>
      </c>
      <c r="F2817" s="1">
        <v>0</v>
      </c>
      <c r="G2817" s="1">
        <v>1</v>
      </c>
      <c r="H2817" s="1">
        <v>1.3147990322900001</v>
      </c>
      <c r="I2817" s="1">
        <v>1.41032513583</v>
      </c>
      <c r="J2817" s="1">
        <v>0.56168534566399997</v>
      </c>
      <c r="K2817" s="1">
        <v>6259.2695736699998</v>
      </c>
      <c r="L2817" s="1">
        <v>1290.1210283200001</v>
      </c>
      <c r="M2817" s="1" t="s">
        <v>198</v>
      </c>
      <c r="N2817" s="1" t="b">
        <v>1</v>
      </c>
    </row>
    <row r="2818" spans="1:14" ht="19" customHeight="1" x14ac:dyDescent="0.3">
      <c r="A2818">
        <v>2813</v>
      </c>
      <c r="B2818" s="1">
        <v>11</v>
      </c>
      <c r="C2818" s="1">
        <v>50</v>
      </c>
      <c r="D2818" s="1">
        <v>2.5000000000000001E-2</v>
      </c>
      <c r="E2818" s="1">
        <v>0.04</v>
      </c>
      <c r="F2818" s="1">
        <v>5</v>
      </c>
      <c r="G2818" s="1">
        <v>0</v>
      </c>
      <c r="H2818" s="1">
        <v>1.28554638049</v>
      </c>
      <c r="I2818" s="1">
        <v>1.8385961952100001</v>
      </c>
      <c r="J2818" s="1">
        <v>0.69248212885899996</v>
      </c>
      <c r="K2818" s="1">
        <v>7175.7649785499998</v>
      </c>
      <c r="L2818" s="1">
        <v>1590.5448897199999</v>
      </c>
      <c r="M2818" s="1" t="s">
        <v>198</v>
      </c>
      <c r="N2818" s="1" t="b">
        <v>1</v>
      </c>
    </row>
    <row r="2819" spans="1:14" ht="19" customHeight="1" x14ac:dyDescent="0.3">
      <c r="A2819">
        <v>2814</v>
      </c>
      <c r="B2819" s="1">
        <v>11</v>
      </c>
      <c r="C2819" s="1">
        <v>50</v>
      </c>
      <c r="D2819" s="1">
        <v>2.5000000000000001E-2</v>
      </c>
      <c r="E2819" s="1">
        <v>0.04</v>
      </c>
      <c r="F2819" s="1">
        <v>5</v>
      </c>
      <c r="G2819" s="1">
        <v>1</v>
      </c>
      <c r="H2819" s="1">
        <v>1.28554638049</v>
      </c>
      <c r="I2819" s="1">
        <v>1.37894714641</v>
      </c>
      <c r="J2819" s="1">
        <v>0.56783534566399996</v>
      </c>
      <c r="K2819" s="1">
        <v>6120.0085695799999</v>
      </c>
      <c r="L2819" s="1">
        <v>1304.2468095700001</v>
      </c>
      <c r="M2819" s="1" t="s">
        <v>198</v>
      </c>
      <c r="N2819" s="1" t="b">
        <v>1</v>
      </c>
    </row>
    <row r="2820" spans="1:14" ht="19" customHeight="1" x14ac:dyDescent="0.3">
      <c r="A2820">
        <v>2815</v>
      </c>
      <c r="B2820" s="1">
        <v>11</v>
      </c>
      <c r="C2820" s="1">
        <v>50</v>
      </c>
      <c r="D2820" s="1">
        <v>2.5000000000000001E-2</v>
      </c>
      <c r="E2820" s="1">
        <v>0.06</v>
      </c>
      <c r="F2820" s="1">
        <v>-5</v>
      </c>
      <c r="G2820" s="1">
        <v>0</v>
      </c>
      <c r="H2820" s="1">
        <v>1.3261613941199999</v>
      </c>
      <c r="I2820" s="1">
        <v>1.89951871566</v>
      </c>
      <c r="J2820" s="1">
        <v>0.69611680970400003</v>
      </c>
      <c r="K2820" s="1">
        <v>7408.9840021600003</v>
      </c>
      <c r="L2820" s="1">
        <v>1598.89329729</v>
      </c>
      <c r="M2820" s="1" t="s">
        <v>198</v>
      </c>
      <c r="N2820" s="1" t="b">
        <v>1</v>
      </c>
    </row>
    <row r="2821" spans="1:14" ht="19" customHeight="1" x14ac:dyDescent="0.3">
      <c r="A2821">
        <v>2816</v>
      </c>
      <c r="B2821" s="1">
        <v>11</v>
      </c>
      <c r="C2821" s="1">
        <v>50</v>
      </c>
      <c r="D2821" s="1">
        <v>2.5000000000000001E-2</v>
      </c>
      <c r="E2821" s="1">
        <v>0.06</v>
      </c>
      <c r="F2821" s="1">
        <v>-5</v>
      </c>
      <c r="G2821" s="1">
        <v>1</v>
      </c>
      <c r="H2821" s="1">
        <v>1.3261613941199999</v>
      </c>
      <c r="I2821" s="1">
        <v>1.4246390367499999</v>
      </c>
      <c r="J2821" s="1">
        <v>0.57081578395699994</v>
      </c>
      <c r="K2821" s="1">
        <v>6318.2447396500002</v>
      </c>
      <c r="L2821" s="1">
        <v>1311.09250378</v>
      </c>
      <c r="M2821" s="1" t="s">
        <v>198</v>
      </c>
      <c r="N2821" s="1" t="b">
        <v>1</v>
      </c>
    </row>
    <row r="2822" spans="1:14" ht="19" customHeight="1" x14ac:dyDescent="0.3">
      <c r="A2822">
        <v>2817</v>
      </c>
      <c r="B2822" s="1">
        <v>11</v>
      </c>
      <c r="C2822" s="1">
        <v>50</v>
      </c>
      <c r="D2822" s="1">
        <v>2.5000000000000001E-2</v>
      </c>
      <c r="E2822" s="1">
        <v>0.06</v>
      </c>
      <c r="F2822" s="1">
        <v>0</v>
      </c>
      <c r="G2822" s="1">
        <v>0</v>
      </c>
      <c r="H2822" s="1">
        <v>1.3563382419500001</v>
      </c>
      <c r="I2822" s="1">
        <v>1.9427423289300001</v>
      </c>
      <c r="J2822" s="1">
        <v>0.68861680970399997</v>
      </c>
      <c r="K2822" s="1">
        <v>7577.5756862500002</v>
      </c>
      <c r="L2822" s="1">
        <v>1581.66673479</v>
      </c>
      <c r="M2822" s="1" t="s">
        <v>198</v>
      </c>
      <c r="N2822" s="1" t="b">
        <v>1</v>
      </c>
    </row>
    <row r="2823" spans="1:14" ht="19" customHeight="1" x14ac:dyDescent="0.3">
      <c r="A2823">
        <v>2818</v>
      </c>
      <c r="B2823" s="1">
        <v>11</v>
      </c>
      <c r="C2823" s="1">
        <v>50</v>
      </c>
      <c r="D2823" s="1">
        <v>2.5000000000000001E-2</v>
      </c>
      <c r="E2823" s="1">
        <v>0.06</v>
      </c>
      <c r="F2823" s="1">
        <v>0</v>
      </c>
      <c r="G2823" s="1">
        <v>1</v>
      </c>
      <c r="H2823" s="1">
        <v>1.3563382419500001</v>
      </c>
      <c r="I2823" s="1">
        <v>1.4570567467</v>
      </c>
      <c r="J2823" s="1">
        <v>0.56466578395699996</v>
      </c>
      <c r="K2823" s="1">
        <v>6462.0166145599997</v>
      </c>
      <c r="L2823" s="1">
        <v>1296.96672253</v>
      </c>
      <c r="M2823" s="1" t="s">
        <v>198</v>
      </c>
      <c r="N2823" s="1" t="b">
        <v>1</v>
      </c>
    </row>
    <row r="2824" spans="1:14" ht="19" customHeight="1" x14ac:dyDescent="0.3">
      <c r="A2824">
        <v>2819</v>
      </c>
      <c r="B2824" s="1">
        <v>11</v>
      </c>
      <c r="C2824" s="1">
        <v>50</v>
      </c>
      <c r="D2824" s="1">
        <v>2.5000000000000001E-2</v>
      </c>
      <c r="E2824" s="1">
        <v>0.06</v>
      </c>
      <c r="F2824" s="1">
        <v>5</v>
      </c>
      <c r="G2824" s="1">
        <v>0</v>
      </c>
      <c r="H2824" s="1">
        <v>1.3261613941199999</v>
      </c>
      <c r="I2824" s="1">
        <v>1.89951871566</v>
      </c>
      <c r="J2824" s="1">
        <v>0.69611680970400003</v>
      </c>
      <c r="K2824" s="1">
        <v>7408.9840021600003</v>
      </c>
      <c r="L2824" s="1">
        <v>1598.89329729</v>
      </c>
      <c r="M2824" s="1" t="s">
        <v>198</v>
      </c>
      <c r="N2824" s="1" t="b">
        <v>1</v>
      </c>
    </row>
    <row r="2825" spans="1:14" ht="19" customHeight="1" x14ac:dyDescent="0.3">
      <c r="A2825">
        <v>2820</v>
      </c>
      <c r="B2825" s="1">
        <v>11</v>
      </c>
      <c r="C2825" s="1">
        <v>50</v>
      </c>
      <c r="D2825" s="1">
        <v>2.5000000000000001E-2</v>
      </c>
      <c r="E2825" s="1">
        <v>0.06</v>
      </c>
      <c r="F2825" s="1">
        <v>5</v>
      </c>
      <c r="G2825" s="1">
        <v>1</v>
      </c>
      <c r="H2825" s="1">
        <v>1.3261613941199999</v>
      </c>
      <c r="I2825" s="1">
        <v>1.4246390367499999</v>
      </c>
      <c r="J2825" s="1">
        <v>0.57081578395699994</v>
      </c>
      <c r="K2825" s="1">
        <v>6318.2447396500002</v>
      </c>
      <c r="L2825" s="1">
        <v>1311.09250378</v>
      </c>
      <c r="M2825" s="1" t="s">
        <v>198</v>
      </c>
      <c r="N2825" s="1" t="b">
        <v>1</v>
      </c>
    </row>
    <row r="2826" spans="1:14" ht="19" customHeight="1" x14ac:dyDescent="0.3">
      <c r="A2826">
        <v>2821</v>
      </c>
      <c r="B2826" s="1">
        <v>11</v>
      </c>
      <c r="C2826" s="1">
        <v>50</v>
      </c>
      <c r="D2826" s="1">
        <v>2.5000000000000001E-2</v>
      </c>
      <c r="E2826" s="1">
        <v>8.5000000000000006E-2</v>
      </c>
      <c r="F2826" s="1">
        <v>-5</v>
      </c>
      <c r="G2826" s="1">
        <v>0</v>
      </c>
      <c r="H2826" s="1">
        <v>1.22232988518</v>
      </c>
      <c r="I2826" s="1">
        <v>1.7437714522500001</v>
      </c>
      <c r="J2826" s="1">
        <v>0.68682481733699996</v>
      </c>
      <c r="K2826" s="1">
        <v>6812.76400939</v>
      </c>
      <c r="L2826" s="1">
        <v>1577.5507523199999</v>
      </c>
      <c r="M2826" s="1" t="s">
        <v>198</v>
      </c>
      <c r="N2826" s="1" t="b">
        <v>1</v>
      </c>
    </row>
    <row r="2827" spans="1:14" ht="19" customHeight="1" x14ac:dyDescent="0.3">
      <c r="A2827">
        <v>2822</v>
      </c>
      <c r="B2827" s="1">
        <v>11</v>
      </c>
      <c r="C2827" s="1">
        <v>50</v>
      </c>
      <c r="D2827" s="1">
        <v>2.5000000000000001E-2</v>
      </c>
      <c r="E2827" s="1">
        <v>8.5000000000000006E-2</v>
      </c>
      <c r="F2827" s="1">
        <v>-5</v>
      </c>
      <c r="G2827" s="1">
        <v>1</v>
      </c>
      <c r="H2827" s="1">
        <v>1.22232988518</v>
      </c>
      <c r="I2827" s="1">
        <v>1.3078285891899999</v>
      </c>
      <c r="J2827" s="1">
        <v>0.56319635021600001</v>
      </c>
      <c r="K2827" s="1">
        <v>5811.4577458000003</v>
      </c>
      <c r="L2827" s="1">
        <v>1293.5916169</v>
      </c>
      <c r="M2827" s="1" t="s">
        <v>198</v>
      </c>
      <c r="N2827" s="1" t="b">
        <v>1</v>
      </c>
    </row>
    <row r="2828" spans="1:14" ht="19" customHeight="1" x14ac:dyDescent="0.3">
      <c r="A2828">
        <v>2823</v>
      </c>
      <c r="B2828" s="1">
        <v>11</v>
      </c>
      <c r="C2828" s="1">
        <v>50</v>
      </c>
      <c r="D2828" s="1">
        <v>2.5000000000000001E-2</v>
      </c>
      <c r="E2828" s="1">
        <v>8.5000000000000006E-2</v>
      </c>
      <c r="F2828" s="1">
        <v>0</v>
      </c>
      <c r="G2828" s="1">
        <v>0</v>
      </c>
      <c r="H2828" s="1">
        <v>1.25014404347</v>
      </c>
      <c r="I2828" s="1">
        <v>1.78345103122</v>
      </c>
      <c r="J2828" s="1">
        <v>0.67932481733700001</v>
      </c>
      <c r="K2828" s="1">
        <v>6967.7886871800001</v>
      </c>
      <c r="L2828" s="1">
        <v>1560.3241898199999</v>
      </c>
      <c r="M2828" s="1" t="s">
        <v>198</v>
      </c>
      <c r="N2828" s="1" t="b">
        <v>1</v>
      </c>
    </row>
    <row r="2829" spans="1:14" ht="19" customHeight="1" x14ac:dyDescent="0.3">
      <c r="A2829">
        <v>2824</v>
      </c>
      <c r="B2829" s="1">
        <v>11</v>
      </c>
      <c r="C2829" s="1">
        <v>50</v>
      </c>
      <c r="D2829" s="1">
        <v>2.5000000000000001E-2</v>
      </c>
      <c r="E2829" s="1">
        <v>8.5000000000000006E-2</v>
      </c>
      <c r="F2829" s="1">
        <v>0</v>
      </c>
      <c r="G2829" s="1">
        <v>1</v>
      </c>
      <c r="H2829" s="1">
        <v>1.25014404347</v>
      </c>
      <c r="I2829" s="1">
        <v>1.33758827341</v>
      </c>
      <c r="J2829" s="1">
        <v>0.55704635021600002</v>
      </c>
      <c r="K2829" s="1">
        <v>5943.6976653499996</v>
      </c>
      <c r="L2829" s="1">
        <v>1279.4658356499999</v>
      </c>
      <c r="M2829" s="1" t="s">
        <v>198</v>
      </c>
      <c r="N2829" s="1" t="b">
        <v>1</v>
      </c>
    </row>
    <row r="2830" spans="1:14" ht="19" customHeight="1" x14ac:dyDescent="0.3">
      <c r="A2830">
        <v>2825</v>
      </c>
      <c r="B2830" s="1">
        <v>11</v>
      </c>
      <c r="C2830" s="1">
        <v>50</v>
      </c>
      <c r="D2830" s="1">
        <v>2.5000000000000001E-2</v>
      </c>
      <c r="E2830" s="1">
        <v>8.5000000000000006E-2</v>
      </c>
      <c r="F2830" s="1">
        <v>5</v>
      </c>
      <c r="G2830" s="1">
        <v>0</v>
      </c>
      <c r="H2830" s="1">
        <v>1.22232988518</v>
      </c>
      <c r="I2830" s="1">
        <v>1.7437714522500001</v>
      </c>
      <c r="J2830" s="1">
        <v>0.68682481733699996</v>
      </c>
      <c r="K2830" s="1">
        <v>6812.76400939</v>
      </c>
      <c r="L2830" s="1">
        <v>1577.5507523199999</v>
      </c>
      <c r="M2830" s="1" t="s">
        <v>198</v>
      </c>
      <c r="N2830" s="1" t="b">
        <v>1</v>
      </c>
    </row>
    <row r="2831" spans="1:14" ht="19" customHeight="1" x14ac:dyDescent="0.3">
      <c r="A2831">
        <v>2826</v>
      </c>
      <c r="B2831" s="1">
        <v>11</v>
      </c>
      <c r="C2831" s="1">
        <v>50</v>
      </c>
      <c r="D2831" s="1">
        <v>2.5000000000000001E-2</v>
      </c>
      <c r="E2831" s="1">
        <v>8.5000000000000006E-2</v>
      </c>
      <c r="F2831" s="1">
        <v>5</v>
      </c>
      <c r="G2831" s="1">
        <v>1</v>
      </c>
      <c r="H2831" s="1">
        <v>1.22232988518</v>
      </c>
      <c r="I2831" s="1">
        <v>1.3078285891899999</v>
      </c>
      <c r="J2831" s="1">
        <v>0.56319635021600001</v>
      </c>
      <c r="K2831" s="1">
        <v>5811.4577458000003</v>
      </c>
      <c r="L2831" s="1">
        <v>1293.5916169</v>
      </c>
      <c r="M2831" s="1" t="s">
        <v>198</v>
      </c>
      <c r="N2831" s="1" t="b">
        <v>1</v>
      </c>
    </row>
    <row r="2832" spans="1:14" ht="19" customHeight="1" x14ac:dyDescent="0.3">
      <c r="A2832">
        <v>2827</v>
      </c>
      <c r="B2832" s="1">
        <v>11</v>
      </c>
      <c r="C2832" s="1">
        <v>50</v>
      </c>
      <c r="D2832" s="1">
        <v>0.04</v>
      </c>
      <c r="E2832" s="1">
        <v>0.04</v>
      </c>
      <c r="F2832" s="1">
        <v>-5</v>
      </c>
      <c r="G2832" s="1">
        <v>0</v>
      </c>
      <c r="H2832" s="1">
        <v>1.2915351939399999</v>
      </c>
      <c r="I2832" s="1">
        <v>1.84757941539</v>
      </c>
      <c r="J2832" s="1">
        <v>0.69301807415600003</v>
      </c>
      <c r="K2832" s="1">
        <v>7210.1538682999999</v>
      </c>
      <c r="L2832" s="1">
        <v>1591.7758890800001</v>
      </c>
      <c r="M2832" s="1" t="s">
        <v>198</v>
      </c>
      <c r="N2832" s="1" t="b">
        <v>1</v>
      </c>
    </row>
    <row r="2833" spans="1:14" ht="19" customHeight="1" x14ac:dyDescent="0.3">
      <c r="A2833">
        <v>2828</v>
      </c>
      <c r="B2833" s="1">
        <v>11</v>
      </c>
      <c r="C2833" s="1">
        <v>50</v>
      </c>
      <c r="D2833" s="1">
        <v>0.04</v>
      </c>
      <c r="E2833" s="1">
        <v>0.04</v>
      </c>
      <c r="F2833" s="1">
        <v>-5</v>
      </c>
      <c r="G2833" s="1">
        <v>1</v>
      </c>
      <c r="H2833" s="1">
        <v>1.2915351939399999</v>
      </c>
      <c r="I2833" s="1">
        <v>1.38568456154</v>
      </c>
      <c r="J2833" s="1">
        <v>0.56827482080799996</v>
      </c>
      <c r="K2833" s="1">
        <v>6149.23912587</v>
      </c>
      <c r="L2833" s="1">
        <v>1305.2562290400001</v>
      </c>
      <c r="M2833" s="1" t="s">
        <v>198</v>
      </c>
      <c r="N2833" s="1" t="b">
        <v>1</v>
      </c>
    </row>
    <row r="2834" spans="1:14" ht="19" customHeight="1" x14ac:dyDescent="0.3">
      <c r="A2834">
        <v>2829</v>
      </c>
      <c r="B2834" s="1">
        <v>11</v>
      </c>
      <c r="C2834" s="1">
        <v>50</v>
      </c>
      <c r="D2834" s="1">
        <v>0.04</v>
      </c>
      <c r="E2834" s="1">
        <v>0.04</v>
      </c>
      <c r="F2834" s="1">
        <v>0</v>
      </c>
      <c r="G2834" s="1">
        <v>0</v>
      </c>
      <c r="H2834" s="1">
        <v>1.3209241214</v>
      </c>
      <c r="I2834" s="1">
        <v>1.88962114811</v>
      </c>
      <c r="J2834" s="1">
        <v>0.68551807415599997</v>
      </c>
      <c r="K2834" s="1">
        <v>7374.2211659000004</v>
      </c>
      <c r="L2834" s="1">
        <v>1574.5493265800001</v>
      </c>
      <c r="M2834" s="1" t="s">
        <v>198</v>
      </c>
      <c r="N2834" s="1" t="b">
        <v>1</v>
      </c>
    </row>
    <row r="2835" spans="1:14" ht="19" customHeight="1" x14ac:dyDescent="0.3">
      <c r="A2835">
        <v>2830</v>
      </c>
      <c r="B2835" s="1">
        <v>11</v>
      </c>
      <c r="C2835" s="1">
        <v>50</v>
      </c>
      <c r="D2835" s="1">
        <v>0.04</v>
      </c>
      <c r="E2835" s="1">
        <v>0.04</v>
      </c>
      <c r="F2835" s="1">
        <v>0</v>
      </c>
      <c r="G2835" s="1">
        <v>1</v>
      </c>
      <c r="H2835" s="1">
        <v>1.3209241214</v>
      </c>
      <c r="I2835" s="1">
        <v>1.4172158610800001</v>
      </c>
      <c r="J2835" s="1">
        <v>0.56212482080799997</v>
      </c>
      <c r="K2835" s="1">
        <v>6289.1652722600002</v>
      </c>
      <c r="L2835" s="1">
        <v>1291.1304477900001</v>
      </c>
      <c r="M2835" s="1" t="s">
        <v>198</v>
      </c>
      <c r="N2835" s="1" t="b">
        <v>1</v>
      </c>
    </row>
    <row r="2836" spans="1:14" ht="19" customHeight="1" x14ac:dyDescent="0.3">
      <c r="A2836">
        <v>2831</v>
      </c>
      <c r="B2836" s="1">
        <v>11</v>
      </c>
      <c r="C2836" s="1">
        <v>50</v>
      </c>
      <c r="D2836" s="1">
        <v>0.04</v>
      </c>
      <c r="E2836" s="1">
        <v>0.04</v>
      </c>
      <c r="F2836" s="1">
        <v>5</v>
      </c>
      <c r="G2836" s="1">
        <v>0</v>
      </c>
      <c r="H2836" s="1">
        <v>1.2915351939399999</v>
      </c>
      <c r="I2836" s="1">
        <v>1.84757941539</v>
      </c>
      <c r="J2836" s="1">
        <v>0.69301807415600003</v>
      </c>
      <c r="K2836" s="1">
        <v>7210.1538682999999</v>
      </c>
      <c r="L2836" s="1">
        <v>1591.7758890800001</v>
      </c>
      <c r="M2836" s="1" t="s">
        <v>198</v>
      </c>
      <c r="N2836" s="1" t="b">
        <v>1</v>
      </c>
    </row>
    <row r="2837" spans="1:14" ht="19" customHeight="1" x14ac:dyDescent="0.3">
      <c r="A2837">
        <v>2832</v>
      </c>
      <c r="B2837" s="1">
        <v>11</v>
      </c>
      <c r="C2837" s="1">
        <v>50</v>
      </c>
      <c r="D2837" s="1">
        <v>0.04</v>
      </c>
      <c r="E2837" s="1">
        <v>0.04</v>
      </c>
      <c r="F2837" s="1">
        <v>5</v>
      </c>
      <c r="G2837" s="1">
        <v>1</v>
      </c>
      <c r="H2837" s="1">
        <v>1.2915351939399999</v>
      </c>
      <c r="I2837" s="1">
        <v>1.38568456154</v>
      </c>
      <c r="J2837" s="1">
        <v>0.56827482080799996</v>
      </c>
      <c r="K2837" s="1">
        <v>6149.23912587</v>
      </c>
      <c r="L2837" s="1">
        <v>1305.2562290400001</v>
      </c>
      <c r="M2837" s="1" t="s">
        <v>198</v>
      </c>
      <c r="N2837" s="1" t="b">
        <v>1</v>
      </c>
    </row>
    <row r="2838" spans="1:14" ht="19" customHeight="1" x14ac:dyDescent="0.3">
      <c r="A2838">
        <v>2833</v>
      </c>
      <c r="B2838" s="1">
        <v>11</v>
      </c>
      <c r="C2838" s="1">
        <v>50</v>
      </c>
      <c r="D2838" s="1">
        <v>0.04</v>
      </c>
      <c r="E2838" s="1">
        <v>0.06</v>
      </c>
      <c r="F2838" s="1">
        <v>-5</v>
      </c>
      <c r="G2838" s="1">
        <v>0</v>
      </c>
      <c r="H2838" s="1">
        <v>1.33273100949</v>
      </c>
      <c r="I2838" s="1">
        <v>1.9093731387199999</v>
      </c>
      <c r="J2838" s="1">
        <v>0.69670473158400004</v>
      </c>
      <c r="K2838" s="1">
        <v>7446.7079654400004</v>
      </c>
      <c r="L2838" s="1">
        <v>1600.2436803600001</v>
      </c>
      <c r="M2838" s="1" t="s">
        <v>198</v>
      </c>
      <c r="N2838" s="1" t="b">
        <v>1</v>
      </c>
    </row>
    <row r="2839" spans="1:14" ht="19" customHeight="1" x14ac:dyDescent="0.3">
      <c r="A2839">
        <v>2834</v>
      </c>
      <c r="B2839" s="1">
        <v>11</v>
      </c>
      <c r="C2839" s="1">
        <v>50</v>
      </c>
      <c r="D2839" s="1">
        <v>0.04</v>
      </c>
      <c r="E2839" s="1">
        <v>0.06</v>
      </c>
      <c r="F2839" s="1">
        <v>-5</v>
      </c>
      <c r="G2839" s="1">
        <v>1</v>
      </c>
      <c r="H2839" s="1">
        <v>1.33273100949</v>
      </c>
      <c r="I2839" s="1">
        <v>1.43202985404</v>
      </c>
      <c r="J2839" s="1">
        <v>0.57129787989900005</v>
      </c>
      <c r="K2839" s="1">
        <v>6350.3101084399996</v>
      </c>
      <c r="L2839" s="1">
        <v>1312.1998178900001</v>
      </c>
      <c r="M2839" s="1" t="s">
        <v>198</v>
      </c>
      <c r="N2839" s="1" t="b">
        <v>1</v>
      </c>
    </row>
    <row r="2840" spans="1:14" ht="19" customHeight="1" x14ac:dyDescent="0.3">
      <c r="A2840">
        <v>2835</v>
      </c>
      <c r="B2840" s="1">
        <v>11</v>
      </c>
      <c r="C2840" s="1">
        <v>50</v>
      </c>
      <c r="D2840" s="1">
        <v>0.04</v>
      </c>
      <c r="E2840" s="1">
        <v>0.06</v>
      </c>
      <c r="F2840" s="1">
        <v>0</v>
      </c>
      <c r="G2840" s="1">
        <v>0</v>
      </c>
      <c r="H2840" s="1">
        <v>1.36305734915</v>
      </c>
      <c r="I2840" s="1">
        <v>1.95282098973</v>
      </c>
      <c r="J2840" s="1">
        <v>0.68920473158399997</v>
      </c>
      <c r="K2840" s="1">
        <v>7616.1580596000003</v>
      </c>
      <c r="L2840" s="1">
        <v>1583.0171178600001</v>
      </c>
      <c r="M2840" s="1" t="s">
        <v>198</v>
      </c>
      <c r="N2840" s="1" t="b">
        <v>1</v>
      </c>
    </row>
    <row r="2841" spans="1:14" ht="19" customHeight="1" x14ac:dyDescent="0.3">
      <c r="A2841">
        <v>2836</v>
      </c>
      <c r="B2841" s="1">
        <v>11</v>
      </c>
      <c r="C2841" s="1">
        <v>50</v>
      </c>
      <c r="D2841" s="1">
        <v>0.04</v>
      </c>
      <c r="E2841" s="1">
        <v>0.06</v>
      </c>
      <c r="F2841" s="1">
        <v>0</v>
      </c>
      <c r="G2841" s="1">
        <v>1</v>
      </c>
      <c r="H2841" s="1">
        <v>1.36305734915</v>
      </c>
      <c r="I2841" s="1">
        <v>1.4646157422999999</v>
      </c>
      <c r="J2841" s="1">
        <v>0.56514787989899995</v>
      </c>
      <c r="K2841" s="1">
        <v>6494.81163191</v>
      </c>
      <c r="L2841" s="1">
        <v>1298.07403664</v>
      </c>
      <c r="M2841" s="1" t="s">
        <v>198</v>
      </c>
      <c r="N2841" s="1" t="b">
        <v>1</v>
      </c>
    </row>
    <row r="2842" spans="1:14" ht="19" customHeight="1" x14ac:dyDescent="0.3">
      <c r="A2842">
        <v>2837</v>
      </c>
      <c r="B2842" s="1">
        <v>11</v>
      </c>
      <c r="C2842" s="1">
        <v>50</v>
      </c>
      <c r="D2842" s="1">
        <v>0.04</v>
      </c>
      <c r="E2842" s="1">
        <v>0.06</v>
      </c>
      <c r="F2842" s="1">
        <v>5</v>
      </c>
      <c r="G2842" s="1">
        <v>0</v>
      </c>
      <c r="H2842" s="1">
        <v>1.33273100949</v>
      </c>
      <c r="I2842" s="1">
        <v>1.9093731387199999</v>
      </c>
      <c r="J2842" s="1">
        <v>0.69670473158400004</v>
      </c>
      <c r="K2842" s="1">
        <v>7446.7079654400004</v>
      </c>
      <c r="L2842" s="1">
        <v>1600.2436803600001</v>
      </c>
      <c r="M2842" s="1" t="s">
        <v>198</v>
      </c>
      <c r="N2842" s="1" t="b">
        <v>1</v>
      </c>
    </row>
    <row r="2843" spans="1:14" ht="19" customHeight="1" x14ac:dyDescent="0.3">
      <c r="A2843">
        <v>2838</v>
      </c>
      <c r="B2843" s="1">
        <v>11</v>
      </c>
      <c r="C2843" s="1">
        <v>50</v>
      </c>
      <c r="D2843" s="1">
        <v>0.04</v>
      </c>
      <c r="E2843" s="1">
        <v>0.06</v>
      </c>
      <c r="F2843" s="1">
        <v>5</v>
      </c>
      <c r="G2843" s="1">
        <v>1</v>
      </c>
      <c r="H2843" s="1">
        <v>1.33273100949</v>
      </c>
      <c r="I2843" s="1">
        <v>1.43202985404</v>
      </c>
      <c r="J2843" s="1">
        <v>0.57129787989900005</v>
      </c>
      <c r="K2843" s="1">
        <v>6350.3101084399996</v>
      </c>
      <c r="L2843" s="1">
        <v>1312.1998178900001</v>
      </c>
      <c r="M2843" s="1" t="s">
        <v>198</v>
      </c>
      <c r="N2843" s="1" t="b">
        <v>1</v>
      </c>
    </row>
    <row r="2844" spans="1:14" ht="19" customHeight="1" x14ac:dyDescent="0.3">
      <c r="A2844">
        <v>2839</v>
      </c>
      <c r="B2844" s="1">
        <v>11</v>
      </c>
      <c r="C2844" s="1">
        <v>50</v>
      </c>
      <c r="D2844" s="1">
        <v>0.04</v>
      </c>
      <c r="E2844" s="1">
        <v>8.5000000000000006E-2</v>
      </c>
      <c r="F2844" s="1">
        <v>-5</v>
      </c>
      <c r="G2844" s="1">
        <v>0</v>
      </c>
      <c r="H2844" s="1">
        <v>1.2274146914999999</v>
      </c>
      <c r="I2844" s="1">
        <v>1.7513986617299999</v>
      </c>
      <c r="J2844" s="1">
        <v>0.68727986207299996</v>
      </c>
      <c r="K2844" s="1">
        <v>6841.9619206999996</v>
      </c>
      <c r="L2844" s="1">
        <v>1578.5959332</v>
      </c>
      <c r="M2844" s="1" t="s">
        <v>198</v>
      </c>
      <c r="N2844" s="1" t="b">
        <v>1</v>
      </c>
    </row>
    <row r="2845" spans="1:14" ht="19" customHeight="1" x14ac:dyDescent="0.3">
      <c r="A2845">
        <v>2840</v>
      </c>
      <c r="B2845" s="1">
        <v>11</v>
      </c>
      <c r="C2845" s="1">
        <v>50</v>
      </c>
      <c r="D2845" s="1">
        <v>0.04</v>
      </c>
      <c r="E2845" s="1">
        <v>8.5000000000000006E-2</v>
      </c>
      <c r="F2845" s="1">
        <v>-5</v>
      </c>
      <c r="G2845" s="1">
        <v>1</v>
      </c>
      <c r="H2845" s="1">
        <v>1.2274146914999999</v>
      </c>
      <c r="I2845" s="1">
        <v>1.3135489963</v>
      </c>
      <c r="J2845" s="1">
        <v>0.56356948689999997</v>
      </c>
      <c r="K2845" s="1">
        <v>5836.2759704099999</v>
      </c>
      <c r="L2845" s="1">
        <v>1294.4486652200001</v>
      </c>
      <c r="M2845" s="1" t="s">
        <v>198</v>
      </c>
      <c r="N2845" s="1" t="b">
        <v>1</v>
      </c>
    </row>
    <row r="2846" spans="1:14" ht="19" customHeight="1" x14ac:dyDescent="0.3">
      <c r="A2846">
        <v>2841</v>
      </c>
      <c r="B2846" s="1">
        <v>11</v>
      </c>
      <c r="C2846" s="1">
        <v>50</v>
      </c>
      <c r="D2846" s="1">
        <v>0.04</v>
      </c>
      <c r="E2846" s="1">
        <v>8.5000000000000006E-2</v>
      </c>
      <c r="F2846" s="1">
        <v>0</v>
      </c>
      <c r="G2846" s="1">
        <v>0</v>
      </c>
      <c r="H2846" s="1">
        <v>1.25534455474</v>
      </c>
      <c r="I2846" s="1">
        <v>1.79125179811</v>
      </c>
      <c r="J2846" s="1">
        <v>0.67977986207300001</v>
      </c>
      <c r="K2846" s="1">
        <v>6997.6509979599996</v>
      </c>
      <c r="L2846" s="1">
        <v>1561.3693707</v>
      </c>
      <c r="M2846" s="1" t="s">
        <v>198</v>
      </c>
      <c r="N2846" s="1" t="b">
        <v>1</v>
      </c>
    </row>
    <row r="2847" spans="1:14" ht="19" customHeight="1" x14ac:dyDescent="0.3">
      <c r="A2847">
        <v>2842</v>
      </c>
      <c r="B2847" s="1">
        <v>11</v>
      </c>
      <c r="C2847" s="1">
        <v>50</v>
      </c>
      <c r="D2847" s="1">
        <v>0.04</v>
      </c>
      <c r="E2847" s="1">
        <v>8.5000000000000006E-2</v>
      </c>
      <c r="F2847" s="1">
        <v>0</v>
      </c>
      <c r="G2847" s="1">
        <v>1</v>
      </c>
      <c r="H2847" s="1">
        <v>1.25534455474</v>
      </c>
      <c r="I2847" s="1">
        <v>1.34343884859</v>
      </c>
      <c r="J2847" s="1">
        <v>0.55741948689999998</v>
      </c>
      <c r="K2847" s="1">
        <v>5969.0806295100001</v>
      </c>
      <c r="L2847" s="1">
        <v>1280.32288397</v>
      </c>
      <c r="M2847" s="1" t="s">
        <v>198</v>
      </c>
      <c r="N2847" s="1" t="b">
        <v>1</v>
      </c>
    </row>
    <row r="2848" spans="1:14" ht="19" customHeight="1" x14ac:dyDescent="0.3">
      <c r="A2848">
        <v>2843</v>
      </c>
      <c r="B2848" s="1">
        <v>11</v>
      </c>
      <c r="C2848" s="1">
        <v>50</v>
      </c>
      <c r="D2848" s="1">
        <v>0.04</v>
      </c>
      <c r="E2848" s="1">
        <v>8.5000000000000006E-2</v>
      </c>
      <c r="F2848" s="1">
        <v>5</v>
      </c>
      <c r="G2848" s="1">
        <v>0</v>
      </c>
      <c r="H2848" s="1">
        <v>1.2274146914999999</v>
      </c>
      <c r="I2848" s="1">
        <v>1.7513986617299999</v>
      </c>
      <c r="J2848" s="1">
        <v>0.68727986207299996</v>
      </c>
      <c r="K2848" s="1">
        <v>6841.9619206999996</v>
      </c>
      <c r="L2848" s="1">
        <v>1578.5959332</v>
      </c>
      <c r="M2848" s="1" t="s">
        <v>198</v>
      </c>
      <c r="N2848" s="1" t="b">
        <v>1</v>
      </c>
    </row>
    <row r="2849" spans="1:14" ht="19" customHeight="1" x14ac:dyDescent="0.3">
      <c r="A2849">
        <v>2844</v>
      </c>
      <c r="B2849" s="1">
        <v>11</v>
      </c>
      <c r="C2849" s="1">
        <v>50</v>
      </c>
      <c r="D2849" s="1">
        <v>0.04</v>
      </c>
      <c r="E2849" s="1">
        <v>8.5000000000000006E-2</v>
      </c>
      <c r="F2849" s="1">
        <v>5</v>
      </c>
      <c r="G2849" s="1">
        <v>1</v>
      </c>
      <c r="H2849" s="1">
        <v>1.2274146914999999</v>
      </c>
      <c r="I2849" s="1">
        <v>1.3135489963</v>
      </c>
      <c r="J2849" s="1">
        <v>0.56356948689999997</v>
      </c>
      <c r="K2849" s="1">
        <v>5836.2759704099999</v>
      </c>
      <c r="L2849" s="1">
        <v>1294.4486652200001</v>
      </c>
      <c r="M2849" s="1" t="s">
        <v>198</v>
      </c>
      <c r="N2849" s="1" t="b">
        <v>1</v>
      </c>
    </row>
    <row r="2850" spans="1:14" ht="19" customHeight="1" x14ac:dyDescent="0.3">
      <c r="A2850">
        <v>2845</v>
      </c>
      <c r="B2850" s="1">
        <v>11</v>
      </c>
      <c r="C2850" s="1">
        <v>50</v>
      </c>
      <c r="D2850" s="1">
        <v>5.5E-2</v>
      </c>
      <c r="E2850" s="1">
        <v>0.04</v>
      </c>
      <c r="F2850" s="1">
        <v>-5</v>
      </c>
      <c r="G2850" s="1">
        <v>0</v>
      </c>
      <c r="H2850" s="1">
        <v>1.1516500918699999</v>
      </c>
      <c r="I2850" s="1">
        <v>1.63775176229</v>
      </c>
      <c r="J2850" s="1">
        <v>0.68049960732600001</v>
      </c>
      <c r="K2850" s="1">
        <v>6406.9073837899996</v>
      </c>
      <c r="L2850" s="1">
        <v>1563.0225355800001</v>
      </c>
      <c r="M2850" s="1" t="s">
        <v>198</v>
      </c>
      <c r="N2850" s="1" t="b">
        <v>1</v>
      </c>
    </row>
    <row r="2851" spans="1:14" ht="19" customHeight="1" x14ac:dyDescent="0.3">
      <c r="A2851">
        <v>2846</v>
      </c>
      <c r="B2851" s="1">
        <v>11</v>
      </c>
      <c r="C2851" s="1">
        <v>50</v>
      </c>
      <c r="D2851" s="1">
        <v>5.5E-2</v>
      </c>
      <c r="E2851" s="1">
        <v>0.04</v>
      </c>
      <c r="F2851" s="1">
        <v>-5</v>
      </c>
      <c r="G2851" s="1">
        <v>1</v>
      </c>
      <c r="H2851" s="1">
        <v>1.1516500918699999</v>
      </c>
      <c r="I2851" s="1">
        <v>1.22831382172</v>
      </c>
      <c r="J2851" s="1">
        <v>0.55800967800699997</v>
      </c>
      <c r="K2851" s="1">
        <v>5466.4796140400003</v>
      </c>
      <c r="L2851" s="1">
        <v>1281.6784791699999</v>
      </c>
      <c r="M2851" s="1" t="s">
        <v>198</v>
      </c>
      <c r="N2851" s="1" t="b">
        <v>1</v>
      </c>
    </row>
    <row r="2852" spans="1:14" ht="19" customHeight="1" x14ac:dyDescent="0.3">
      <c r="A2852">
        <v>2847</v>
      </c>
      <c r="B2852" s="1">
        <v>11</v>
      </c>
      <c r="C2852" s="1">
        <v>50</v>
      </c>
      <c r="D2852" s="1">
        <v>5.5E-2</v>
      </c>
      <c r="E2852" s="1">
        <v>0.04</v>
      </c>
      <c r="F2852" s="1">
        <v>0</v>
      </c>
      <c r="G2852" s="1">
        <v>0</v>
      </c>
      <c r="H2852" s="1">
        <v>1.1778559290599999</v>
      </c>
      <c r="I2852" s="1">
        <v>1.6750188596</v>
      </c>
      <c r="J2852" s="1">
        <v>0.67299960732599995</v>
      </c>
      <c r="K2852" s="1">
        <v>6552.6967801999999</v>
      </c>
      <c r="L2852" s="1">
        <v>1545.7959730800001</v>
      </c>
      <c r="M2852" s="1" t="s">
        <v>198</v>
      </c>
      <c r="N2852" s="1" t="b">
        <v>1</v>
      </c>
    </row>
    <row r="2853" spans="1:14" ht="19" customHeight="1" x14ac:dyDescent="0.3">
      <c r="A2853">
        <v>2848</v>
      </c>
      <c r="B2853" s="1">
        <v>11</v>
      </c>
      <c r="C2853" s="1">
        <v>50</v>
      </c>
      <c r="D2853" s="1">
        <v>5.5E-2</v>
      </c>
      <c r="E2853" s="1">
        <v>0.04</v>
      </c>
      <c r="F2853" s="1">
        <v>0</v>
      </c>
      <c r="G2853" s="1">
        <v>1</v>
      </c>
      <c r="H2853" s="1">
        <v>1.1778559290599999</v>
      </c>
      <c r="I2853" s="1">
        <v>1.2562641447</v>
      </c>
      <c r="J2853" s="1">
        <v>0.55185967800699998</v>
      </c>
      <c r="K2853" s="1">
        <v>5590.8695444100003</v>
      </c>
      <c r="L2853" s="1">
        <v>1267.5526979199999</v>
      </c>
      <c r="M2853" s="1" t="s">
        <v>198</v>
      </c>
      <c r="N2853" s="1" t="b">
        <v>1</v>
      </c>
    </row>
    <row r="2854" spans="1:14" ht="19" customHeight="1" x14ac:dyDescent="0.3">
      <c r="A2854">
        <v>2849</v>
      </c>
      <c r="B2854" s="1">
        <v>11</v>
      </c>
      <c r="C2854" s="1">
        <v>50</v>
      </c>
      <c r="D2854" s="1">
        <v>5.5E-2</v>
      </c>
      <c r="E2854" s="1">
        <v>0.04</v>
      </c>
      <c r="F2854" s="1">
        <v>5</v>
      </c>
      <c r="G2854" s="1">
        <v>0</v>
      </c>
      <c r="H2854" s="1">
        <v>1.1516500918699999</v>
      </c>
      <c r="I2854" s="1">
        <v>1.63775176229</v>
      </c>
      <c r="J2854" s="1">
        <v>0.68049960732600001</v>
      </c>
      <c r="K2854" s="1">
        <v>6406.9073837899996</v>
      </c>
      <c r="L2854" s="1">
        <v>1563.0225355800001</v>
      </c>
      <c r="M2854" s="1" t="s">
        <v>198</v>
      </c>
      <c r="N2854" s="1" t="b">
        <v>1</v>
      </c>
    </row>
    <row r="2855" spans="1:14" ht="19" customHeight="1" x14ac:dyDescent="0.3">
      <c r="A2855">
        <v>2850</v>
      </c>
      <c r="B2855" s="1">
        <v>11</v>
      </c>
      <c r="C2855" s="1">
        <v>50</v>
      </c>
      <c r="D2855" s="1">
        <v>5.5E-2</v>
      </c>
      <c r="E2855" s="1">
        <v>0.04</v>
      </c>
      <c r="F2855" s="1">
        <v>5</v>
      </c>
      <c r="G2855" s="1">
        <v>1</v>
      </c>
      <c r="H2855" s="1">
        <v>1.1516500918699999</v>
      </c>
      <c r="I2855" s="1">
        <v>1.22831382172</v>
      </c>
      <c r="J2855" s="1">
        <v>0.55800967800699997</v>
      </c>
      <c r="K2855" s="1">
        <v>5466.4796140400003</v>
      </c>
      <c r="L2855" s="1">
        <v>1281.6784791699999</v>
      </c>
      <c r="M2855" s="1" t="s">
        <v>198</v>
      </c>
      <c r="N2855" s="1" t="b">
        <v>1</v>
      </c>
    </row>
    <row r="2856" spans="1:14" ht="19" customHeight="1" x14ac:dyDescent="0.3">
      <c r="A2856">
        <v>2851</v>
      </c>
      <c r="B2856" s="1">
        <v>11</v>
      </c>
      <c r="C2856" s="1">
        <v>50</v>
      </c>
      <c r="D2856" s="1">
        <v>5.5E-2</v>
      </c>
      <c r="E2856" s="1">
        <v>0.06</v>
      </c>
      <c r="F2856" s="1">
        <v>-5</v>
      </c>
      <c r="G2856" s="1">
        <v>0</v>
      </c>
      <c r="H2856" s="1">
        <v>1.1792796915799999</v>
      </c>
      <c r="I2856" s="1">
        <v>1.67919616185</v>
      </c>
      <c r="J2856" s="1">
        <v>0.68297220964299998</v>
      </c>
      <c r="K2856" s="1">
        <v>6565.5617258599996</v>
      </c>
      <c r="L2856" s="1">
        <v>1568.7017940200001</v>
      </c>
      <c r="M2856" s="1" t="s">
        <v>198</v>
      </c>
      <c r="N2856" s="1" t="b">
        <v>1</v>
      </c>
    </row>
    <row r="2857" spans="1:14" ht="19" customHeight="1" x14ac:dyDescent="0.3">
      <c r="A2857">
        <v>2852</v>
      </c>
      <c r="B2857" s="1">
        <v>11</v>
      </c>
      <c r="C2857" s="1">
        <v>50</v>
      </c>
      <c r="D2857" s="1">
        <v>5.5E-2</v>
      </c>
      <c r="E2857" s="1">
        <v>0.06</v>
      </c>
      <c r="F2857" s="1">
        <v>-5</v>
      </c>
      <c r="G2857" s="1">
        <v>1</v>
      </c>
      <c r="H2857" s="1">
        <v>1.1792796915799999</v>
      </c>
      <c r="I2857" s="1">
        <v>1.2593971213899999</v>
      </c>
      <c r="J2857" s="1">
        <v>0.56003721190699995</v>
      </c>
      <c r="K2857" s="1">
        <v>5601.3358048</v>
      </c>
      <c r="L2857" s="1">
        <v>1286.3354710999999</v>
      </c>
      <c r="M2857" s="1" t="s">
        <v>198</v>
      </c>
      <c r="N2857" s="1" t="b">
        <v>1</v>
      </c>
    </row>
    <row r="2858" spans="1:14" ht="19" customHeight="1" x14ac:dyDescent="0.3">
      <c r="A2858">
        <v>2853</v>
      </c>
      <c r="B2858" s="1">
        <v>11</v>
      </c>
      <c r="C2858" s="1">
        <v>50</v>
      </c>
      <c r="D2858" s="1">
        <v>5.5E-2</v>
      </c>
      <c r="E2858" s="1">
        <v>0.06</v>
      </c>
      <c r="F2858" s="1">
        <v>0</v>
      </c>
      <c r="G2858" s="1">
        <v>0</v>
      </c>
      <c r="H2858" s="1">
        <v>1.2061142412500001</v>
      </c>
      <c r="I2858" s="1">
        <v>1.71740632789</v>
      </c>
      <c r="J2858" s="1">
        <v>0.67547220964300003</v>
      </c>
      <c r="K2858" s="1">
        <v>6714.9613072399998</v>
      </c>
      <c r="L2858" s="1">
        <v>1551.4752315200001</v>
      </c>
      <c r="M2858" s="1" t="s">
        <v>198</v>
      </c>
      <c r="N2858" s="1" t="b">
        <v>1</v>
      </c>
    </row>
    <row r="2859" spans="1:14" ht="19" customHeight="1" x14ac:dyDescent="0.3">
      <c r="A2859">
        <v>2854</v>
      </c>
      <c r="B2859" s="1">
        <v>11</v>
      </c>
      <c r="C2859" s="1">
        <v>50</v>
      </c>
      <c r="D2859" s="1">
        <v>5.5E-2</v>
      </c>
      <c r="E2859" s="1">
        <v>0.06</v>
      </c>
      <c r="F2859" s="1">
        <v>0</v>
      </c>
      <c r="G2859" s="1">
        <v>1</v>
      </c>
      <c r="H2859" s="1">
        <v>1.2061142412500001</v>
      </c>
      <c r="I2859" s="1">
        <v>1.28805474591</v>
      </c>
      <c r="J2859" s="1">
        <v>0.55388721190699997</v>
      </c>
      <c r="K2859" s="1">
        <v>5728.7943924000001</v>
      </c>
      <c r="L2859" s="1">
        <v>1272.2096898499999</v>
      </c>
      <c r="M2859" s="1" t="s">
        <v>198</v>
      </c>
      <c r="N2859" s="1" t="b">
        <v>1</v>
      </c>
    </row>
    <row r="2860" spans="1:14" ht="19" customHeight="1" x14ac:dyDescent="0.3">
      <c r="A2860">
        <v>2855</v>
      </c>
      <c r="B2860" s="1">
        <v>11</v>
      </c>
      <c r="C2860" s="1">
        <v>50</v>
      </c>
      <c r="D2860" s="1">
        <v>5.5E-2</v>
      </c>
      <c r="E2860" s="1">
        <v>0.06</v>
      </c>
      <c r="F2860" s="1">
        <v>5</v>
      </c>
      <c r="G2860" s="1">
        <v>0</v>
      </c>
      <c r="H2860" s="1">
        <v>1.1792796915799999</v>
      </c>
      <c r="I2860" s="1">
        <v>1.67919616185</v>
      </c>
      <c r="J2860" s="1">
        <v>0.68297220964299998</v>
      </c>
      <c r="K2860" s="1">
        <v>6565.5617258599996</v>
      </c>
      <c r="L2860" s="1">
        <v>1568.7017940200001</v>
      </c>
      <c r="M2860" s="1" t="s">
        <v>198</v>
      </c>
      <c r="N2860" s="1" t="b">
        <v>1</v>
      </c>
    </row>
    <row r="2861" spans="1:14" ht="19" customHeight="1" x14ac:dyDescent="0.3">
      <c r="A2861">
        <v>2856</v>
      </c>
      <c r="B2861" s="1">
        <v>11</v>
      </c>
      <c r="C2861" s="1">
        <v>50</v>
      </c>
      <c r="D2861" s="1">
        <v>5.5E-2</v>
      </c>
      <c r="E2861" s="1">
        <v>0.06</v>
      </c>
      <c r="F2861" s="1">
        <v>5</v>
      </c>
      <c r="G2861" s="1">
        <v>1</v>
      </c>
      <c r="H2861" s="1">
        <v>1.1792796915799999</v>
      </c>
      <c r="I2861" s="1">
        <v>1.2593971213899999</v>
      </c>
      <c r="J2861" s="1">
        <v>0.56003721190699995</v>
      </c>
      <c r="K2861" s="1">
        <v>5601.3358048</v>
      </c>
      <c r="L2861" s="1">
        <v>1286.3354710999999</v>
      </c>
      <c r="M2861" s="1" t="s">
        <v>198</v>
      </c>
      <c r="N2861" s="1" t="b">
        <v>1</v>
      </c>
    </row>
    <row r="2862" spans="1:14" ht="19" customHeight="1" x14ac:dyDescent="0.3">
      <c r="A2862">
        <v>2857</v>
      </c>
      <c r="B2862" s="1">
        <v>11</v>
      </c>
      <c r="C2862" s="1">
        <v>50</v>
      </c>
      <c r="D2862" s="1">
        <v>5.5E-2</v>
      </c>
      <c r="E2862" s="1">
        <v>8.5000000000000006E-2</v>
      </c>
      <c r="F2862" s="1">
        <v>-5</v>
      </c>
      <c r="G2862" s="1">
        <v>0</v>
      </c>
      <c r="H2862" s="1">
        <v>1.10864514607</v>
      </c>
      <c r="I2862" s="1">
        <v>1.5732443435900001</v>
      </c>
      <c r="J2862" s="1">
        <v>0.67665104890500005</v>
      </c>
      <c r="K2862" s="1">
        <v>6159.9649215500003</v>
      </c>
      <c r="L2862" s="1">
        <v>1554.1828779499999</v>
      </c>
      <c r="M2862" s="1" t="s">
        <v>198</v>
      </c>
      <c r="N2862" s="1" t="b">
        <v>1</v>
      </c>
    </row>
    <row r="2863" spans="1:14" ht="19" customHeight="1" x14ac:dyDescent="0.3">
      <c r="A2863">
        <v>2858</v>
      </c>
      <c r="B2863" s="1">
        <v>11</v>
      </c>
      <c r="C2863" s="1">
        <v>50</v>
      </c>
      <c r="D2863" s="1">
        <v>5.5E-2</v>
      </c>
      <c r="E2863" s="1">
        <v>8.5000000000000006E-2</v>
      </c>
      <c r="F2863" s="1">
        <v>-5</v>
      </c>
      <c r="G2863" s="1">
        <v>1</v>
      </c>
      <c r="H2863" s="1">
        <v>1.10864514607</v>
      </c>
      <c r="I2863" s="1">
        <v>1.1799332576899999</v>
      </c>
      <c r="J2863" s="1">
        <v>0.554853860102</v>
      </c>
      <c r="K2863" s="1">
        <v>5256.5785211299999</v>
      </c>
      <c r="L2863" s="1">
        <v>1274.4299599200001</v>
      </c>
      <c r="M2863" s="1" t="s">
        <v>198</v>
      </c>
      <c r="N2863" s="1" t="b">
        <v>1</v>
      </c>
    </row>
    <row r="2864" spans="1:14" ht="19" customHeight="1" x14ac:dyDescent="0.3">
      <c r="A2864">
        <v>2859</v>
      </c>
      <c r="B2864" s="1">
        <v>11</v>
      </c>
      <c r="C2864" s="1">
        <v>50</v>
      </c>
      <c r="D2864" s="1">
        <v>5.5E-2</v>
      </c>
      <c r="E2864" s="1">
        <v>8.5000000000000006E-2</v>
      </c>
      <c r="F2864" s="1">
        <v>0</v>
      </c>
      <c r="G2864" s="1">
        <v>0</v>
      </c>
      <c r="H2864" s="1">
        <v>1.1338724042399999</v>
      </c>
      <c r="I2864" s="1">
        <v>1.6090435723700001</v>
      </c>
      <c r="J2864" s="1">
        <v>0.66915104890499999</v>
      </c>
      <c r="K2864" s="1">
        <v>6300.1351337899996</v>
      </c>
      <c r="L2864" s="1">
        <v>1536.9563154499999</v>
      </c>
      <c r="M2864" s="1" t="s">
        <v>198</v>
      </c>
      <c r="N2864" s="1" t="b">
        <v>1</v>
      </c>
    </row>
    <row r="2865" spans="1:14" ht="19" customHeight="1" x14ac:dyDescent="0.3">
      <c r="A2865">
        <v>2860</v>
      </c>
      <c r="B2865" s="1">
        <v>11</v>
      </c>
      <c r="C2865" s="1">
        <v>50</v>
      </c>
      <c r="D2865" s="1">
        <v>5.5E-2</v>
      </c>
      <c r="E2865" s="1">
        <v>8.5000000000000006E-2</v>
      </c>
      <c r="F2865" s="1">
        <v>0</v>
      </c>
      <c r="G2865" s="1">
        <v>1</v>
      </c>
      <c r="H2865" s="1">
        <v>1.1338724042399999</v>
      </c>
      <c r="I2865" s="1">
        <v>1.20678267928</v>
      </c>
      <c r="J2865" s="1">
        <v>0.54870386010200001</v>
      </c>
      <c r="K2865" s="1">
        <v>5376.1921449700003</v>
      </c>
      <c r="L2865" s="1">
        <v>1260.3041786700001</v>
      </c>
      <c r="M2865" s="1" t="s">
        <v>198</v>
      </c>
      <c r="N2865" s="1" t="b">
        <v>1</v>
      </c>
    </row>
    <row r="2866" spans="1:14" ht="19" customHeight="1" x14ac:dyDescent="0.3">
      <c r="A2866">
        <v>2861</v>
      </c>
      <c r="B2866" s="1">
        <v>11</v>
      </c>
      <c r="C2866" s="1">
        <v>50</v>
      </c>
      <c r="D2866" s="1">
        <v>5.5E-2</v>
      </c>
      <c r="E2866" s="1">
        <v>8.5000000000000006E-2</v>
      </c>
      <c r="F2866" s="1">
        <v>5</v>
      </c>
      <c r="G2866" s="1">
        <v>0</v>
      </c>
      <c r="H2866" s="1">
        <v>1.10864514607</v>
      </c>
      <c r="I2866" s="1">
        <v>1.5732443435900001</v>
      </c>
      <c r="J2866" s="1">
        <v>0.67665104890500005</v>
      </c>
      <c r="K2866" s="1">
        <v>6159.9649215500003</v>
      </c>
      <c r="L2866" s="1">
        <v>1554.1828779499999</v>
      </c>
      <c r="M2866" s="1" t="s">
        <v>198</v>
      </c>
      <c r="N2866" s="1" t="b">
        <v>1</v>
      </c>
    </row>
    <row r="2867" spans="1:14" ht="19" customHeight="1" x14ac:dyDescent="0.3">
      <c r="A2867">
        <v>2862</v>
      </c>
      <c r="B2867" s="1">
        <v>11</v>
      </c>
      <c r="C2867" s="1">
        <v>50</v>
      </c>
      <c r="D2867" s="1">
        <v>5.5E-2</v>
      </c>
      <c r="E2867" s="1">
        <v>8.5000000000000006E-2</v>
      </c>
      <c r="F2867" s="1">
        <v>5</v>
      </c>
      <c r="G2867" s="1">
        <v>1</v>
      </c>
      <c r="H2867" s="1">
        <v>1.10864514607</v>
      </c>
      <c r="I2867" s="1">
        <v>1.1799332576899999</v>
      </c>
      <c r="J2867" s="1">
        <v>0.554853860102</v>
      </c>
      <c r="K2867" s="1">
        <v>5256.5785211299999</v>
      </c>
      <c r="L2867" s="1">
        <v>1274.4299599200001</v>
      </c>
      <c r="M2867" s="1" t="s">
        <v>198</v>
      </c>
      <c r="N2867" s="1" t="b">
        <v>1</v>
      </c>
    </row>
    <row r="2868" spans="1:14" ht="19" customHeight="1" x14ac:dyDescent="0.3">
      <c r="A2868">
        <v>2863</v>
      </c>
      <c r="B2868" s="1">
        <v>11</v>
      </c>
      <c r="C2868" s="1">
        <v>70</v>
      </c>
      <c r="D2868" s="1">
        <v>2.5000000000000001E-2</v>
      </c>
      <c r="E2868" s="1">
        <v>0.04</v>
      </c>
      <c r="F2868" s="1">
        <v>-5</v>
      </c>
      <c r="G2868" s="1">
        <v>0</v>
      </c>
      <c r="H2868" s="1">
        <v>1.28554638049</v>
      </c>
      <c r="I2868" s="1">
        <v>1.8385961952100001</v>
      </c>
      <c r="J2868" s="1">
        <v>0.69248212885899996</v>
      </c>
      <c r="K2868" s="1">
        <v>14064.499357999999</v>
      </c>
      <c r="L2868" s="1">
        <v>3117.46798386</v>
      </c>
      <c r="M2868" s="1" t="s">
        <v>198</v>
      </c>
      <c r="N2868" s="1" t="b">
        <v>1</v>
      </c>
    </row>
    <row r="2869" spans="1:14" ht="19" customHeight="1" x14ac:dyDescent="0.3">
      <c r="A2869">
        <v>2864</v>
      </c>
      <c r="B2869" s="1">
        <v>11</v>
      </c>
      <c r="C2869" s="1">
        <v>70</v>
      </c>
      <c r="D2869" s="1">
        <v>2.5000000000000001E-2</v>
      </c>
      <c r="E2869" s="1">
        <v>0.04</v>
      </c>
      <c r="F2869" s="1">
        <v>-5</v>
      </c>
      <c r="G2869" s="1">
        <v>1</v>
      </c>
      <c r="H2869" s="1">
        <v>1.28554638049</v>
      </c>
      <c r="I2869" s="1">
        <v>1.37894714641</v>
      </c>
      <c r="J2869" s="1">
        <v>0.56783534566399996</v>
      </c>
      <c r="K2869" s="1">
        <v>11995.2167964</v>
      </c>
      <c r="L2869" s="1">
        <v>2556.3237467600002</v>
      </c>
      <c r="M2869" s="1" t="s">
        <v>198</v>
      </c>
      <c r="N2869" s="1" t="b">
        <v>1</v>
      </c>
    </row>
    <row r="2870" spans="1:14" ht="19" customHeight="1" x14ac:dyDescent="0.3">
      <c r="A2870">
        <v>2865</v>
      </c>
      <c r="B2870" s="1">
        <v>11</v>
      </c>
      <c r="C2870" s="1">
        <v>70</v>
      </c>
      <c r="D2870" s="1">
        <v>2.5000000000000001E-2</v>
      </c>
      <c r="E2870" s="1">
        <v>0.04</v>
      </c>
      <c r="F2870" s="1">
        <v>0</v>
      </c>
      <c r="G2870" s="1">
        <v>0</v>
      </c>
      <c r="H2870" s="1">
        <v>1.3147990322900001</v>
      </c>
      <c r="I2870" s="1">
        <v>1.88043351445</v>
      </c>
      <c r="J2870" s="1">
        <v>0.68498212885900001</v>
      </c>
      <c r="K2870" s="1">
        <v>14384.5375214</v>
      </c>
      <c r="L2870" s="1">
        <v>3083.7039213600001</v>
      </c>
      <c r="M2870" s="1" t="s">
        <v>198</v>
      </c>
      <c r="N2870" s="1" t="b">
        <v>1</v>
      </c>
    </row>
    <row r="2871" spans="1:14" ht="19" customHeight="1" x14ac:dyDescent="0.3">
      <c r="A2871">
        <v>2866</v>
      </c>
      <c r="B2871" s="1">
        <v>11</v>
      </c>
      <c r="C2871" s="1">
        <v>70</v>
      </c>
      <c r="D2871" s="1">
        <v>2.5000000000000001E-2</v>
      </c>
      <c r="E2871" s="1">
        <v>0.04</v>
      </c>
      <c r="F2871" s="1">
        <v>0</v>
      </c>
      <c r="G2871" s="1">
        <v>1</v>
      </c>
      <c r="H2871" s="1">
        <v>1.3147990322900001</v>
      </c>
      <c r="I2871" s="1">
        <v>1.41032513583</v>
      </c>
      <c r="J2871" s="1">
        <v>0.56168534566399997</v>
      </c>
      <c r="K2871" s="1">
        <v>12268.1683644</v>
      </c>
      <c r="L2871" s="1">
        <v>2528.6372155099998</v>
      </c>
      <c r="M2871" s="1" t="s">
        <v>198</v>
      </c>
      <c r="N2871" s="1" t="b">
        <v>1</v>
      </c>
    </row>
    <row r="2872" spans="1:14" ht="19" customHeight="1" x14ac:dyDescent="0.3">
      <c r="A2872">
        <v>2867</v>
      </c>
      <c r="B2872" s="1">
        <v>11</v>
      </c>
      <c r="C2872" s="1">
        <v>70</v>
      </c>
      <c r="D2872" s="1">
        <v>2.5000000000000001E-2</v>
      </c>
      <c r="E2872" s="1">
        <v>0.04</v>
      </c>
      <c r="F2872" s="1">
        <v>5</v>
      </c>
      <c r="G2872" s="1">
        <v>0</v>
      </c>
      <c r="H2872" s="1">
        <v>1.28554638049</v>
      </c>
      <c r="I2872" s="1">
        <v>1.8385961952100001</v>
      </c>
      <c r="J2872" s="1">
        <v>0.69248212885899996</v>
      </c>
      <c r="K2872" s="1">
        <v>14064.499357999999</v>
      </c>
      <c r="L2872" s="1">
        <v>3117.46798386</v>
      </c>
      <c r="M2872" s="1" t="s">
        <v>198</v>
      </c>
      <c r="N2872" s="1" t="b">
        <v>1</v>
      </c>
    </row>
    <row r="2873" spans="1:14" ht="19" customHeight="1" x14ac:dyDescent="0.3">
      <c r="A2873">
        <v>2868</v>
      </c>
      <c r="B2873" s="1">
        <v>11</v>
      </c>
      <c r="C2873" s="1">
        <v>70</v>
      </c>
      <c r="D2873" s="1">
        <v>2.5000000000000001E-2</v>
      </c>
      <c r="E2873" s="1">
        <v>0.04</v>
      </c>
      <c r="F2873" s="1">
        <v>5</v>
      </c>
      <c r="G2873" s="1">
        <v>1</v>
      </c>
      <c r="H2873" s="1">
        <v>1.28554638049</v>
      </c>
      <c r="I2873" s="1">
        <v>1.37894714641</v>
      </c>
      <c r="J2873" s="1">
        <v>0.56783534566399996</v>
      </c>
      <c r="K2873" s="1">
        <v>11995.2167964</v>
      </c>
      <c r="L2873" s="1">
        <v>2556.3237467600002</v>
      </c>
      <c r="M2873" s="1" t="s">
        <v>198</v>
      </c>
      <c r="N2873" s="1" t="b">
        <v>1</v>
      </c>
    </row>
    <row r="2874" spans="1:14" ht="19" customHeight="1" x14ac:dyDescent="0.3">
      <c r="A2874">
        <v>2869</v>
      </c>
      <c r="B2874" s="1">
        <v>11</v>
      </c>
      <c r="C2874" s="1">
        <v>70</v>
      </c>
      <c r="D2874" s="1">
        <v>2.5000000000000001E-2</v>
      </c>
      <c r="E2874" s="1">
        <v>0.06</v>
      </c>
      <c r="F2874" s="1">
        <v>-5</v>
      </c>
      <c r="G2874" s="1">
        <v>0</v>
      </c>
      <c r="H2874" s="1">
        <v>1.3261613941199999</v>
      </c>
      <c r="I2874" s="1">
        <v>1.89951871566</v>
      </c>
      <c r="J2874" s="1">
        <v>0.69611680970400003</v>
      </c>
      <c r="K2874" s="1">
        <v>14521.6086442</v>
      </c>
      <c r="L2874" s="1">
        <v>3133.8308626899998</v>
      </c>
      <c r="M2874" s="1" t="s">
        <v>198</v>
      </c>
      <c r="N2874" s="1" t="b">
        <v>1</v>
      </c>
    </row>
    <row r="2875" spans="1:14" ht="19" customHeight="1" x14ac:dyDescent="0.3">
      <c r="A2875">
        <v>2870</v>
      </c>
      <c r="B2875" s="1">
        <v>11</v>
      </c>
      <c r="C2875" s="1">
        <v>70</v>
      </c>
      <c r="D2875" s="1">
        <v>2.5000000000000001E-2</v>
      </c>
      <c r="E2875" s="1">
        <v>0.06</v>
      </c>
      <c r="F2875" s="1">
        <v>-5</v>
      </c>
      <c r="G2875" s="1">
        <v>1</v>
      </c>
      <c r="H2875" s="1">
        <v>1.3261613941199999</v>
      </c>
      <c r="I2875" s="1">
        <v>1.4246390367499999</v>
      </c>
      <c r="J2875" s="1">
        <v>0.57081578395699994</v>
      </c>
      <c r="K2875" s="1">
        <v>12383.7596897</v>
      </c>
      <c r="L2875" s="1">
        <v>2569.7413074000001</v>
      </c>
      <c r="M2875" s="1" t="s">
        <v>198</v>
      </c>
      <c r="N2875" s="1" t="b">
        <v>1</v>
      </c>
    </row>
    <row r="2876" spans="1:14" ht="19" customHeight="1" x14ac:dyDescent="0.3">
      <c r="A2876">
        <v>2871</v>
      </c>
      <c r="B2876" s="1">
        <v>11</v>
      </c>
      <c r="C2876" s="1">
        <v>70</v>
      </c>
      <c r="D2876" s="1">
        <v>2.5000000000000001E-2</v>
      </c>
      <c r="E2876" s="1">
        <v>0.06</v>
      </c>
      <c r="F2876" s="1">
        <v>0</v>
      </c>
      <c r="G2876" s="1">
        <v>0</v>
      </c>
      <c r="H2876" s="1">
        <v>1.3563382419500001</v>
      </c>
      <c r="I2876" s="1">
        <v>1.9427423289300001</v>
      </c>
      <c r="J2876" s="1">
        <v>0.68861680970399997</v>
      </c>
      <c r="K2876" s="1">
        <v>14852.0483451</v>
      </c>
      <c r="L2876" s="1">
        <v>3100.0668001899999</v>
      </c>
      <c r="M2876" s="1" t="s">
        <v>198</v>
      </c>
      <c r="N2876" s="1" t="b">
        <v>1</v>
      </c>
    </row>
    <row r="2877" spans="1:14" ht="19" customHeight="1" x14ac:dyDescent="0.3">
      <c r="A2877">
        <v>2872</v>
      </c>
      <c r="B2877" s="1">
        <v>11</v>
      </c>
      <c r="C2877" s="1">
        <v>70</v>
      </c>
      <c r="D2877" s="1">
        <v>2.5000000000000001E-2</v>
      </c>
      <c r="E2877" s="1">
        <v>0.06</v>
      </c>
      <c r="F2877" s="1">
        <v>0</v>
      </c>
      <c r="G2877" s="1">
        <v>1</v>
      </c>
      <c r="H2877" s="1">
        <v>1.3563382419500001</v>
      </c>
      <c r="I2877" s="1">
        <v>1.4570567467</v>
      </c>
      <c r="J2877" s="1">
        <v>0.56466578395699996</v>
      </c>
      <c r="K2877" s="1">
        <v>12665.5525645</v>
      </c>
      <c r="L2877" s="1">
        <v>2542.0547761500002</v>
      </c>
      <c r="M2877" s="1" t="s">
        <v>198</v>
      </c>
      <c r="N2877" s="1" t="b">
        <v>1</v>
      </c>
    </row>
    <row r="2878" spans="1:14" ht="19" customHeight="1" x14ac:dyDescent="0.3">
      <c r="A2878">
        <v>2873</v>
      </c>
      <c r="B2878" s="1">
        <v>11</v>
      </c>
      <c r="C2878" s="1">
        <v>70</v>
      </c>
      <c r="D2878" s="1">
        <v>2.5000000000000001E-2</v>
      </c>
      <c r="E2878" s="1">
        <v>0.06</v>
      </c>
      <c r="F2878" s="1">
        <v>5</v>
      </c>
      <c r="G2878" s="1">
        <v>0</v>
      </c>
      <c r="H2878" s="1">
        <v>1.3261613941199999</v>
      </c>
      <c r="I2878" s="1">
        <v>1.89951871566</v>
      </c>
      <c r="J2878" s="1">
        <v>0.69611680970400003</v>
      </c>
      <c r="K2878" s="1">
        <v>14521.6086442</v>
      </c>
      <c r="L2878" s="1">
        <v>3133.8308626899998</v>
      </c>
      <c r="M2878" s="1" t="s">
        <v>198</v>
      </c>
      <c r="N2878" s="1" t="b">
        <v>1</v>
      </c>
    </row>
    <row r="2879" spans="1:14" ht="19" customHeight="1" x14ac:dyDescent="0.3">
      <c r="A2879">
        <v>2874</v>
      </c>
      <c r="B2879" s="1">
        <v>11</v>
      </c>
      <c r="C2879" s="1">
        <v>70</v>
      </c>
      <c r="D2879" s="1">
        <v>2.5000000000000001E-2</v>
      </c>
      <c r="E2879" s="1">
        <v>0.06</v>
      </c>
      <c r="F2879" s="1">
        <v>5</v>
      </c>
      <c r="G2879" s="1">
        <v>1</v>
      </c>
      <c r="H2879" s="1">
        <v>1.3261613941199999</v>
      </c>
      <c r="I2879" s="1">
        <v>1.4246390367499999</v>
      </c>
      <c r="J2879" s="1">
        <v>0.57081578395699994</v>
      </c>
      <c r="K2879" s="1">
        <v>12383.7596897</v>
      </c>
      <c r="L2879" s="1">
        <v>2569.7413074000001</v>
      </c>
      <c r="M2879" s="1" t="s">
        <v>198</v>
      </c>
      <c r="N2879" s="1" t="b">
        <v>1</v>
      </c>
    </row>
    <row r="2880" spans="1:14" ht="19" customHeight="1" x14ac:dyDescent="0.3">
      <c r="A2880">
        <v>2875</v>
      </c>
      <c r="B2880" s="1">
        <v>11</v>
      </c>
      <c r="C2880" s="1">
        <v>70</v>
      </c>
      <c r="D2880" s="1">
        <v>2.5000000000000001E-2</v>
      </c>
      <c r="E2880" s="1">
        <v>8.5000000000000006E-2</v>
      </c>
      <c r="F2880" s="1">
        <v>-5</v>
      </c>
      <c r="G2880" s="1">
        <v>0</v>
      </c>
      <c r="H2880" s="1">
        <v>1.22232988518</v>
      </c>
      <c r="I2880" s="1">
        <v>1.7437714522500001</v>
      </c>
      <c r="J2880" s="1">
        <v>0.68682481733699996</v>
      </c>
      <c r="K2880" s="1">
        <v>13353.0174584</v>
      </c>
      <c r="L2880" s="1">
        <v>3091.9994745499998</v>
      </c>
      <c r="M2880" s="1" t="s">
        <v>198</v>
      </c>
      <c r="N2880" s="1" t="b">
        <v>1</v>
      </c>
    </row>
    <row r="2881" spans="1:14" ht="19" customHeight="1" x14ac:dyDescent="0.3">
      <c r="A2881">
        <v>2876</v>
      </c>
      <c r="B2881" s="1">
        <v>11</v>
      </c>
      <c r="C2881" s="1">
        <v>70</v>
      </c>
      <c r="D2881" s="1">
        <v>2.5000000000000001E-2</v>
      </c>
      <c r="E2881" s="1">
        <v>8.5000000000000006E-2</v>
      </c>
      <c r="F2881" s="1">
        <v>-5</v>
      </c>
      <c r="G2881" s="1">
        <v>1</v>
      </c>
      <c r="H2881" s="1">
        <v>1.22232988518</v>
      </c>
      <c r="I2881" s="1">
        <v>1.3078285891899999</v>
      </c>
      <c r="J2881" s="1">
        <v>0.56319635021600001</v>
      </c>
      <c r="K2881" s="1">
        <v>11390.4571818</v>
      </c>
      <c r="L2881" s="1">
        <v>2535.4395691300001</v>
      </c>
      <c r="M2881" s="1" t="s">
        <v>198</v>
      </c>
      <c r="N2881" s="1" t="b">
        <v>1</v>
      </c>
    </row>
    <row r="2882" spans="1:14" ht="19" customHeight="1" x14ac:dyDescent="0.3">
      <c r="A2882">
        <v>2877</v>
      </c>
      <c r="B2882" s="1">
        <v>11</v>
      </c>
      <c r="C2882" s="1">
        <v>70</v>
      </c>
      <c r="D2882" s="1">
        <v>2.5000000000000001E-2</v>
      </c>
      <c r="E2882" s="1">
        <v>8.5000000000000006E-2</v>
      </c>
      <c r="F2882" s="1">
        <v>0</v>
      </c>
      <c r="G2882" s="1">
        <v>0</v>
      </c>
      <c r="H2882" s="1">
        <v>1.25014404347</v>
      </c>
      <c r="I2882" s="1">
        <v>1.78345103122</v>
      </c>
      <c r="J2882" s="1">
        <v>0.67932481733700001</v>
      </c>
      <c r="K2882" s="1">
        <v>13656.865826900001</v>
      </c>
      <c r="L2882" s="1">
        <v>3058.2354120499999</v>
      </c>
      <c r="M2882" s="1" t="s">
        <v>198</v>
      </c>
      <c r="N2882" s="1" t="b">
        <v>1</v>
      </c>
    </row>
    <row r="2883" spans="1:14" ht="19" customHeight="1" x14ac:dyDescent="0.3">
      <c r="A2883">
        <v>2878</v>
      </c>
      <c r="B2883" s="1">
        <v>11</v>
      </c>
      <c r="C2883" s="1">
        <v>70</v>
      </c>
      <c r="D2883" s="1">
        <v>2.5000000000000001E-2</v>
      </c>
      <c r="E2883" s="1">
        <v>8.5000000000000006E-2</v>
      </c>
      <c r="F2883" s="1">
        <v>0</v>
      </c>
      <c r="G2883" s="1">
        <v>1</v>
      </c>
      <c r="H2883" s="1">
        <v>1.25014404347</v>
      </c>
      <c r="I2883" s="1">
        <v>1.33758827341</v>
      </c>
      <c r="J2883" s="1">
        <v>0.55704635021600002</v>
      </c>
      <c r="K2883" s="1">
        <v>11649.6474241</v>
      </c>
      <c r="L2883" s="1">
        <v>2507.7530378800002</v>
      </c>
      <c r="M2883" s="1" t="s">
        <v>198</v>
      </c>
      <c r="N2883" s="1" t="b">
        <v>1</v>
      </c>
    </row>
    <row r="2884" spans="1:14" ht="19" customHeight="1" x14ac:dyDescent="0.3">
      <c r="A2884">
        <v>2879</v>
      </c>
      <c r="B2884" s="1">
        <v>11</v>
      </c>
      <c r="C2884" s="1">
        <v>70</v>
      </c>
      <c r="D2884" s="1">
        <v>2.5000000000000001E-2</v>
      </c>
      <c r="E2884" s="1">
        <v>8.5000000000000006E-2</v>
      </c>
      <c r="F2884" s="1">
        <v>5</v>
      </c>
      <c r="G2884" s="1">
        <v>0</v>
      </c>
      <c r="H2884" s="1">
        <v>1.22232988518</v>
      </c>
      <c r="I2884" s="1">
        <v>1.7437714522500001</v>
      </c>
      <c r="J2884" s="1">
        <v>0.68682481733699996</v>
      </c>
      <c r="K2884" s="1">
        <v>13353.0174584</v>
      </c>
      <c r="L2884" s="1">
        <v>3091.9994745499998</v>
      </c>
      <c r="M2884" s="1" t="s">
        <v>198</v>
      </c>
      <c r="N2884" s="1" t="b">
        <v>1</v>
      </c>
    </row>
    <row r="2885" spans="1:14" ht="19" customHeight="1" x14ac:dyDescent="0.3">
      <c r="A2885">
        <v>2880</v>
      </c>
      <c r="B2885" s="1">
        <v>11</v>
      </c>
      <c r="C2885" s="1">
        <v>70</v>
      </c>
      <c r="D2885" s="1">
        <v>2.5000000000000001E-2</v>
      </c>
      <c r="E2885" s="1">
        <v>8.5000000000000006E-2</v>
      </c>
      <c r="F2885" s="1">
        <v>5</v>
      </c>
      <c r="G2885" s="1">
        <v>1</v>
      </c>
      <c r="H2885" s="1">
        <v>1.22232988518</v>
      </c>
      <c r="I2885" s="1">
        <v>1.3078285891899999</v>
      </c>
      <c r="J2885" s="1">
        <v>0.56319635021600001</v>
      </c>
      <c r="K2885" s="1">
        <v>11390.4571818</v>
      </c>
      <c r="L2885" s="1">
        <v>2535.4395691300001</v>
      </c>
      <c r="M2885" s="1" t="s">
        <v>198</v>
      </c>
      <c r="N2885" s="1" t="b">
        <v>1</v>
      </c>
    </row>
    <row r="2886" spans="1:14" ht="19" customHeight="1" x14ac:dyDescent="0.3">
      <c r="A2886">
        <v>2881</v>
      </c>
      <c r="B2886" s="1">
        <v>11</v>
      </c>
      <c r="C2886" s="1">
        <v>70</v>
      </c>
      <c r="D2886" s="1">
        <v>0.04</v>
      </c>
      <c r="E2886" s="1">
        <v>0.04</v>
      </c>
      <c r="F2886" s="1">
        <v>-5</v>
      </c>
      <c r="G2886" s="1">
        <v>0</v>
      </c>
      <c r="H2886" s="1">
        <v>1.2915351939399999</v>
      </c>
      <c r="I2886" s="1">
        <v>1.84757941539</v>
      </c>
      <c r="J2886" s="1">
        <v>0.69301807415600003</v>
      </c>
      <c r="K2886" s="1">
        <v>14131.9015819</v>
      </c>
      <c r="L2886" s="1">
        <v>3119.88074259</v>
      </c>
      <c r="M2886" s="1" t="s">
        <v>198</v>
      </c>
      <c r="N2886" s="1" t="b">
        <v>1</v>
      </c>
    </row>
    <row r="2887" spans="1:14" ht="19" customHeight="1" x14ac:dyDescent="0.3">
      <c r="A2887">
        <v>2882</v>
      </c>
      <c r="B2887" s="1">
        <v>11</v>
      </c>
      <c r="C2887" s="1">
        <v>70</v>
      </c>
      <c r="D2887" s="1">
        <v>0.04</v>
      </c>
      <c r="E2887" s="1">
        <v>0.04</v>
      </c>
      <c r="F2887" s="1">
        <v>-5</v>
      </c>
      <c r="G2887" s="1">
        <v>1</v>
      </c>
      <c r="H2887" s="1">
        <v>1.2915351939399999</v>
      </c>
      <c r="I2887" s="1">
        <v>1.38568456154</v>
      </c>
      <c r="J2887" s="1">
        <v>0.56827482080799996</v>
      </c>
      <c r="K2887" s="1">
        <v>12052.508686700001</v>
      </c>
      <c r="L2887" s="1">
        <v>2558.3022089199999</v>
      </c>
      <c r="M2887" s="1" t="s">
        <v>198</v>
      </c>
      <c r="N2887" s="1" t="b">
        <v>1</v>
      </c>
    </row>
    <row r="2888" spans="1:14" ht="19" customHeight="1" x14ac:dyDescent="0.3">
      <c r="A2888">
        <v>2883</v>
      </c>
      <c r="B2888" s="1">
        <v>11</v>
      </c>
      <c r="C2888" s="1">
        <v>70</v>
      </c>
      <c r="D2888" s="1">
        <v>0.04</v>
      </c>
      <c r="E2888" s="1">
        <v>0.04</v>
      </c>
      <c r="F2888" s="1">
        <v>0</v>
      </c>
      <c r="G2888" s="1">
        <v>0</v>
      </c>
      <c r="H2888" s="1">
        <v>1.3209241214</v>
      </c>
      <c r="I2888" s="1">
        <v>1.88962114811</v>
      </c>
      <c r="J2888" s="1">
        <v>0.68551807415599997</v>
      </c>
      <c r="K2888" s="1">
        <v>14453.4734852</v>
      </c>
      <c r="L2888" s="1">
        <v>3086.11668009</v>
      </c>
      <c r="M2888" s="1" t="s">
        <v>198</v>
      </c>
      <c r="N2888" s="1" t="b">
        <v>1</v>
      </c>
    </row>
    <row r="2889" spans="1:14" ht="19" customHeight="1" x14ac:dyDescent="0.3">
      <c r="A2889">
        <v>2884</v>
      </c>
      <c r="B2889" s="1">
        <v>11</v>
      </c>
      <c r="C2889" s="1">
        <v>70</v>
      </c>
      <c r="D2889" s="1">
        <v>0.04</v>
      </c>
      <c r="E2889" s="1">
        <v>0.04</v>
      </c>
      <c r="F2889" s="1">
        <v>0</v>
      </c>
      <c r="G2889" s="1">
        <v>1</v>
      </c>
      <c r="H2889" s="1">
        <v>1.3209241214</v>
      </c>
      <c r="I2889" s="1">
        <v>1.4172158610800001</v>
      </c>
      <c r="J2889" s="1">
        <v>0.56212482080799997</v>
      </c>
      <c r="K2889" s="1">
        <v>12326.763933599999</v>
      </c>
      <c r="L2889" s="1">
        <v>2530.61567767</v>
      </c>
      <c r="M2889" s="1" t="s">
        <v>198</v>
      </c>
      <c r="N2889" s="1" t="b">
        <v>1</v>
      </c>
    </row>
    <row r="2890" spans="1:14" ht="19" customHeight="1" x14ac:dyDescent="0.3">
      <c r="A2890">
        <v>2885</v>
      </c>
      <c r="B2890" s="1">
        <v>11</v>
      </c>
      <c r="C2890" s="1">
        <v>70</v>
      </c>
      <c r="D2890" s="1">
        <v>0.04</v>
      </c>
      <c r="E2890" s="1">
        <v>0.04</v>
      </c>
      <c r="F2890" s="1">
        <v>5</v>
      </c>
      <c r="G2890" s="1">
        <v>0</v>
      </c>
      <c r="H2890" s="1">
        <v>1.2915351939399999</v>
      </c>
      <c r="I2890" s="1">
        <v>1.84757941539</v>
      </c>
      <c r="J2890" s="1">
        <v>0.69301807415600003</v>
      </c>
      <c r="K2890" s="1">
        <v>14131.9015819</v>
      </c>
      <c r="L2890" s="1">
        <v>3119.88074259</v>
      </c>
      <c r="M2890" s="1" t="s">
        <v>198</v>
      </c>
      <c r="N2890" s="1" t="b">
        <v>1</v>
      </c>
    </row>
    <row r="2891" spans="1:14" ht="19" customHeight="1" x14ac:dyDescent="0.3">
      <c r="A2891">
        <v>2886</v>
      </c>
      <c r="B2891" s="1">
        <v>11</v>
      </c>
      <c r="C2891" s="1">
        <v>70</v>
      </c>
      <c r="D2891" s="1">
        <v>0.04</v>
      </c>
      <c r="E2891" s="1">
        <v>0.04</v>
      </c>
      <c r="F2891" s="1">
        <v>5</v>
      </c>
      <c r="G2891" s="1">
        <v>1</v>
      </c>
      <c r="H2891" s="1">
        <v>1.2915351939399999</v>
      </c>
      <c r="I2891" s="1">
        <v>1.38568456154</v>
      </c>
      <c r="J2891" s="1">
        <v>0.56827482080799996</v>
      </c>
      <c r="K2891" s="1">
        <v>12052.508686700001</v>
      </c>
      <c r="L2891" s="1">
        <v>2558.3022089199999</v>
      </c>
      <c r="M2891" s="1" t="s">
        <v>198</v>
      </c>
      <c r="N2891" s="1" t="b">
        <v>1</v>
      </c>
    </row>
    <row r="2892" spans="1:14" ht="19" customHeight="1" x14ac:dyDescent="0.3">
      <c r="A2892">
        <v>2887</v>
      </c>
      <c r="B2892" s="1">
        <v>11</v>
      </c>
      <c r="C2892" s="1">
        <v>70</v>
      </c>
      <c r="D2892" s="1">
        <v>0.04</v>
      </c>
      <c r="E2892" s="1">
        <v>0.06</v>
      </c>
      <c r="F2892" s="1">
        <v>-5</v>
      </c>
      <c r="G2892" s="1">
        <v>0</v>
      </c>
      <c r="H2892" s="1">
        <v>1.33273100949</v>
      </c>
      <c r="I2892" s="1">
        <v>1.9093731387199999</v>
      </c>
      <c r="J2892" s="1">
        <v>0.69670473158400004</v>
      </c>
      <c r="K2892" s="1">
        <v>14595.547612300001</v>
      </c>
      <c r="L2892" s="1">
        <v>3136.4776135000002</v>
      </c>
      <c r="M2892" s="1" t="s">
        <v>198</v>
      </c>
      <c r="N2892" s="1" t="b">
        <v>1</v>
      </c>
    </row>
    <row r="2893" spans="1:14" ht="19" customHeight="1" x14ac:dyDescent="0.3">
      <c r="A2893">
        <v>2888</v>
      </c>
      <c r="B2893" s="1">
        <v>11</v>
      </c>
      <c r="C2893" s="1">
        <v>70</v>
      </c>
      <c r="D2893" s="1">
        <v>0.04</v>
      </c>
      <c r="E2893" s="1">
        <v>0.06</v>
      </c>
      <c r="F2893" s="1">
        <v>-5</v>
      </c>
      <c r="G2893" s="1">
        <v>1</v>
      </c>
      <c r="H2893" s="1">
        <v>1.33273100949</v>
      </c>
      <c r="I2893" s="1">
        <v>1.43202985404</v>
      </c>
      <c r="J2893" s="1">
        <v>0.57129787989900005</v>
      </c>
      <c r="K2893" s="1">
        <v>12446.6078125</v>
      </c>
      <c r="L2893" s="1">
        <v>2571.9116430700001</v>
      </c>
      <c r="M2893" s="1" t="s">
        <v>198</v>
      </c>
      <c r="N2893" s="1" t="b">
        <v>1</v>
      </c>
    </row>
    <row r="2894" spans="1:14" ht="19" customHeight="1" x14ac:dyDescent="0.3">
      <c r="A2894">
        <v>2889</v>
      </c>
      <c r="B2894" s="1">
        <v>11</v>
      </c>
      <c r="C2894" s="1">
        <v>70</v>
      </c>
      <c r="D2894" s="1">
        <v>0.04</v>
      </c>
      <c r="E2894" s="1">
        <v>0.06</v>
      </c>
      <c r="F2894" s="1">
        <v>0</v>
      </c>
      <c r="G2894" s="1">
        <v>0</v>
      </c>
      <c r="H2894" s="1">
        <v>1.36305734915</v>
      </c>
      <c r="I2894" s="1">
        <v>1.95282098973</v>
      </c>
      <c r="J2894" s="1">
        <v>0.68920473158399997</v>
      </c>
      <c r="K2894" s="1">
        <v>14927.669796800001</v>
      </c>
      <c r="L2894" s="1">
        <v>3102.7135509999998</v>
      </c>
      <c r="M2894" s="1" t="s">
        <v>198</v>
      </c>
      <c r="N2894" s="1" t="b">
        <v>1</v>
      </c>
    </row>
    <row r="2895" spans="1:14" ht="19" customHeight="1" x14ac:dyDescent="0.3">
      <c r="A2895">
        <v>2890</v>
      </c>
      <c r="B2895" s="1">
        <v>11</v>
      </c>
      <c r="C2895" s="1">
        <v>70</v>
      </c>
      <c r="D2895" s="1">
        <v>0.04</v>
      </c>
      <c r="E2895" s="1">
        <v>0.06</v>
      </c>
      <c r="F2895" s="1">
        <v>0</v>
      </c>
      <c r="G2895" s="1">
        <v>1</v>
      </c>
      <c r="H2895" s="1">
        <v>1.36305734915</v>
      </c>
      <c r="I2895" s="1">
        <v>1.4646157422999999</v>
      </c>
      <c r="J2895" s="1">
        <v>0.56514787989899995</v>
      </c>
      <c r="K2895" s="1">
        <v>12729.830798499999</v>
      </c>
      <c r="L2895" s="1">
        <v>2544.2251118200002</v>
      </c>
      <c r="M2895" s="1" t="s">
        <v>198</v>
      </c>
      <c r="N2895" s="1" t="b">
        <v>1</v>
      </c>
    </row>
    <row r="2896" spans="1:14" ht="19" customHeight="1" x14ac:dyDescent="0.3">
      <c r="A2896">
        <v>2891</v>
      </c>
      <c r="B2896" s="1">
        <v>11</v>
      </c>
      <c r="C2896" s="1">
        <v>70</v>
      </c>
      <c r="D2896" s="1">
        <v>0.04</v>
      </c>
      <c r="E2896" s="1">
        <v>0.06</v>
      </c>
      <c r="F2896" s="1">
        <v>5</v>
      </c>
      <c r="G2896" s="1">
        <v>0</v>
      </c>
      <c r="H2896" s="1">
        <v>1.33273100949</v>
      </c>
      <c r="I2896" s="1">
        <v>1.9093731387199999</v>
      </c>
      <c r="J2896" s="1">
        <v>0.69670473158400004</v>
      </c>
      <c r="K2896" s="1">
        <v>14595.547612300001</v>
      </c>
      <c r="L2896" s="1">
        <v>3136.4776135000002</v>
      </c>
      <c r="M2896" s="1" t="s">
        <v>198</v>
      </c>
      <c r="N2896" s="1" t="b">
        <v>1</v>
      </c>
    </row>
    <row r="2897" spans="1:14" ht="19" customHeight="1" x14ac:dyDescent="0.3">
      <c r="A2897">
        <v>2892</v>
      </c>
      <c r="B2897" s="1">
        <v>11</v>
      </c>
      <c r="C2897" s="1">
        <v>70</v>
      </c>
      <c r="D2897" s="1">
        <v>0.04</v>
      </c>
      <c r="E2897" s="1">
        <v>0.06</v>
      </c>
      <c r="F2897" s="1">
        <v>5</v>
      </c>
      <c r="G2897" s="1">
        <v>1</v>
      </c>
      <c r="H2897" s="1">
        <v>1.33273100949</v>
      </c>
      <c r="I2897" s="1">
        <v>1.43202985404</v>
      </c>
      <c r="J2897" s="1">
        <v>0.57129787989900005</v>
      </c>
      <c r="K2897" s="1">
        <v>12446.6078125</v>
      </c>
      <c r="L2897" s="1">
        <v>2571.9116430700001</v>
      </c>
      <c r="M2897" s="1" t="s">
        <v>198</v>
      </c>
      <c r="N2897" s="1" t="b">
        <v>1</v>
      </c>
    </row>
    <row r="2898" spans="1:14" ht="19" customHeight="1" x14ac:dyDescent="0.3">
      <c r="A2898">
        <v>2893</v>
      </c>
      <c r="B2898" s="1">
        <v>11</v>
      </c>
      <c r="C2898" s="1">
        <v>70</v>
      </c>
      <c r="D2898" s="1">
        <v>0.04</v>
      </c>
      <c r="E2898" s="1">
        <v>8.5000000000000006E-2</v>
      </c>
      <c r="F2898" s="1">
        <v>-5</v>
      </c>
      <c r="G2898" s="1">
        <v>0</v>
      </c>
      <c r="H2898" s="1">
        <v>1.2274146914999999</v>
      </c>
      <c r="I2898" s="1">
        <v>1.7513986617299999</v>
      </c>
      <c r="J2898" s="1">
        <v>0.68727986207299996</v>
      </c>
      <c r="K2898" s="1">
        <v>13410.245364599999</v>
      </c>
      <c r="L2898" s="1">
        <v>3094.0480290700002</v>
      </c>
      <c r="M2898" s="1" t="s">
        <v>198</v>
      </c>
      <c r="N2898" s="1" t="b">
        <v>1</v>
      </c>
    </row>
    <row r="2899" spans="1:14" ht="19" customHeight="1" x14ac:dyDescent="0.3">
      <c r="A2899">
        <v>2894</v>
      </c>
      <c r="B2899" s="1">
        <v>11</v>
      </c>
      <c r="C2899" s="1">
        <v>70</v>
      </c>
      <c r="D2899" s="1">
        <v>0.04</v>
      </c>
      <c r="E2899" s="1">
        <v>8.5000000000000006E-2</v>
      </c>
      <c r="F2899" s="1">
        <v>-5</v>
      </c>
      <c r="G2899" s="1">
        <v>1</v>
      </c>
      <c r="H2899" s="1">
        <v>1.2274146914999999</v>
      </c>
      <c r="I2899" s="1">
        <v>1.3135489963</v>
      </c>
      <c r="J2899" s="1">
        <v>0.56356948689999997</v>
      </c>
      <c r="K2899" s="1">
        <v>11439.100902</v>
      </c>
      <c r="L2899" s="1">
        <v>2537.11938384</v>
      </c>
      <c r="M2899" s="1" t="s">
        <v>198</v>
      </c>
      <c r="N2899" s="1" t="b">
        <v>1</v>
      </c>
    </row>
    <row r="2900" spans="1:14" ht="19" customHeight="1" x14ac:dyDescent="0.3">
      <c r="A2900">
        <v>2895</v>
      </c>
      <c r="B2900" s="1">
        <v>11</v>
      </c>
      <c r="C2900" s="1">
        <v>70</v>
      </c>
      <c r="D2900" s="1">
        <v>0.04</v>
      </c>
      <c r="E2900" s="1">
        <v>8.5000000000000006E-2</v>
      </c>
      <c r="F2900" s="1">
        <v>0</v>
      </c>
      <c r="G2900" s="1">
        <v>0</v>
      </c>
      <c r="H2900" s="1">
        <v>1.25534455474</v>
      </c>
      <c r="I2900" s="1">
        <v>1.79125179811</v>
      </c>
      <c r="J2900" s="1">
        <v>0.67977986207300001</v>
      </c>
      <c r="K2900" s="1">
        <v>13715.395956</v>
      </c>
      <c r="L2900" s="1">
        <v>3060.2839665699998</v>
      </c>
      <c r="M2900" s="1" t="s">
        <v>198</v>
      </c>
      <c r="N2900" s="1" t="b">
        <v>1</v>
      </c>
    </row>
    <row r="2901" spans="1:14" ht="19" customHeight="1" x14ac:dyDescent="0.3">
      <c r="A2901">
        <v>2896</v>
      </c>
      <c r="B2901" s="1">
        <v>11</v>
      </c>
      <c r="C2901" s="1">
        <v>70</v>
      </c>
      <c r="D2901" s="1">
        <v>0.04</v>
      </c>
      <c r="E2901" s="1">
        <v>8.5000000000000006E-2</v>
      </c>
      <c r="F2901" s="1">
        <v>0</v>
      </c>
      <c r="G2901" s="1">
        <v>1</v>
      </c>
      <c r="H2901" s="1">
        <v>1.25534455474</v>
      </c>
      <c r="I2901" s="1">
        <v>1.34343884859</v>
      </c>
      <c r="J2901" s="1">
        <v>0.55741948689999998</v>
      </c>
      <c r="K2901" s="1">
        <v>11699.3980338</v>
      </c>
      <c r="L2901" s="1">
        <v>2509.43285259</v>
      </c>
      <c r="M2901" s="1" t="s">
        <v>198</v>
      </c>
      <c r="N2901" s="1" t="b">
        <v>1</v>
      </c>
    </row>
    <row r="2902" spans="1:14" ht="19" customHeight="1" x14ac:dyDescent="0.3">
      <c r="A2902">
        <v>2897</v>
      </c>
      <c r="B2902" s="1">
        <v>11</v>
      </c>
      <c r="C2902" s="1">
        <v>70</v>
      </c>
      <c r="D2902" s="1">
        <v>0.04</v>
      </c>
      <c r="E2902" s="1">
        <v>8.5000000000000006E-2</v>
      </c>
      <c r="F2902" s="1">
        <v>5</v>
      </c>
      <c r="G2902" s="1">
        <v>0</v>
      </c>
      <c r="H2902" s="1">
        <v>1.2274146914999999</v>
      </c>
      <c r="I2902" s="1">
        <v>1.7513986617299999</v>
      </c>
      <c r="J2902" s="1">
        <v>0.68727986207299996</v>
      </c>
      <c r="K2902" s="1">
        <v>13410.245364599999</v>
      </c>
      <c r="L2902" s="1">
        <v>3094.0480290700002</v>
      </c>
      <c r="M2902" s="1" t="s">
        <v>198</v>
      </c>
      <c r="N2902" s="1" t="b">
        <v>1</v>
      </c>
    </row>
    <row r="2903" spans="1:14" ht="19" customHeight="1" x14ac:dyDescent="0.3">
      <c r="A2903">
        <v>2898</v>
      </c>
      <c r="B2903" s="1">
        <v>11</v>
      </c>
      <c r="C2903" s="1">
        <v>70</v>
      </c>
      <c r="D2903" s="1">
        <v>0.04</v>
      </c>
      <c r="E2903" s="1">
        <v>8.5000000000000006E-2</v>
      </c>
      <c r="F2903" s="1">
        <v>5</v>
      </c>
      <c r="G2903" s="1">
        <v>1</v>
      </c>
      <c r="H2903" s="1">
        <v>1.2274146914999999</v>
      </c>
      <c r="I2903" s="1">
        <v>1.3135489963</v>
      </c>
      <c r="J2903" s="1">
        <v>0.56356948689999997</v>
      </c>
      <c r="K2903" s="1">
        <v>11439.100902</v>
      </c>
      <c r="L2903" s="1">
        <v>2537.11938384</v>
      </c>
      <c r="M2903" s="1" t="s">
        <v>198</v>
      </c>
      <c r="N2903" s="1" t="b">
        <v>1</v>
      </c>
    </row>
    <row r="2904" spans="1:14" ht="19" customHeight="1" x14ac:dyDescent="0.3">
      <c r="A2904">
        <v>2899</v>
      </c>
      <c r="B2904" s="1">
        <v>11</v>
      </c>
      <c r="C2904" s="1">
        <v>70</v>
      </c>
      <c r="D2904" s="1">
        <v>5.5E-2</v>
      </c>
      <c r="E2904" s="1">
        <v>0.04</v>
      </c>
      <c r="F2904" s="1">
        <v>-5</v>
      </c>
      <c r="G2904" s="1">
        <v>0</v>
      </c>
      <c r="H2904" s="1">
        <v>1.1516500918699999</v>
      </c>
      <c r="I2904" s="1">
        <v>1.63775176229</v>
      </c>
      <c r="J2904" s="1">
        <v>0.68049960732600001</v>
      </c>
      <c r="K2904" s="1">
        <v>12557.5384722</v>
      </c>
      <c r="L2904" s="1">
        <v>3063.5241697299998</v>
      </c>
      <c r="M2904" s="1" t="s">
        <v>198</v>
      </c>
      <c r="N2904" s="1" t="b">
        <v>1</v>
      </c>
    </row>
    <row r="2905" spans="1:14" ht="19" customHeight="1" x14ac:dyDescent="0.3">
      <c r="A2905">
        <v>2900</v>
      </c>
      <c r="B2905" s="1">
        <v>11</v>
      </c>
      <c r="C2905" s="1">
        <v>70</v>
      </c>
      <c r="D2905" s="1">
        <v>5.5E-2</v>
      </c>
      <c r="E2905" s="1">
        <v>0.04</v>
      </c>
      <c r="F2905" s="1">
        <v>-5</v>
      </c>
      <c r="G2905" s="1">
        <v>1</v>
      </c>
      <c r="H2905" s="1">
        <v>1.1516500918699999</v>
      </c>
      <c r="I2905" s="1">
        <v>1.22831382172</v>
      </c>
      <c r="J2905" s="1">
        <v>0.55800967800699997</v>
      </c>
      <c r="K2905" s="1">
        <v>10714.300043499999</v>
      </c>
      <c r="L2905" s="1">
        <v>2512.0898191800002</v>
      </c>
      <c r="M2905" s="1" t="s">
        <v>198</v>
      </c>
      <c r="N2905" s="1" t="b">
        <v>1</v>
      </c>
    </row>
    <row r="2906" spans="1:14" ht="19" customHeight="1" x14ac:dyDescent="0.3">
      <c r="A2906">
        <v>2901</v>
      </c>
      <c r="B2906" s="1">
        <v>11</v>
      </c>
      <c r="C2906" s="1">
        <v>70</v>
      </c>
      <c r="D2906" s="1">
        <v>5.5E-2</v>
      </c>
      <c r="E2906" s="1">
        <v>0.04</v>
      </c>
      <c r="F2906" s="1">
        <v>0</v>
      </c>
      <c r="G2906" s="1">
        <v>0</v>
      </c>
      <c r="H2906" s="1">
        <v>1.1778559290599999</v>
      </c>
      <c r="I2906" s="1">
        <v>1.6750188596</v>
      </c>
      <c r="J2906" s="1">
        <v>0.67299960732599995</v>
      </c>
      <c r="K2906" s="1">
        <v>12843.2856892</v>
      </c>
      <c r="L2906" s="1">
        <v>3029.7601072299999</v>
      </c>
      <c r="M2906" s="1" t="s">
        <v>198</v>
      </c>
      <c r="N2906" s="1" t="b">
        <v>1</v>
      </c>
    </row>
    <row r="2907" spans="1:14" ht="19" customHeight="1" x14ac:dyDescent="0.3">
      <c r="A2907">
        <v>2902</v>
      </c>
      <c r="B2907" s="1">
        <v>11</v>
      </c>
      <c r="C2907" s="1">
        <v>70</v>
      </c>
      <c r="D2907" s="1">
        <v>5.5E-2</v>
      </c>
      <c r="E2907" s="1">
        <v>0.04</v>
      </c>
      <c r="F2907" s="1">
        <v>0</v>
      </c>
      <c r="G2907" s="1">
        <v>1</v>
      </c>
      <c r="H2907" s="1">
        <v>1.1778559290599999</v>
      </c>
      <c r="I2907" s="1">
        <v>1.2562641447</v>
      </c>
      <c r="J2907" s="1">
        <v>0.55185967800699998</v>
      </c>
      <c r="K2907" s="1">
        <v>10958.1043071</v>
      </c>
      <c r="L2907" s="1">
        <v>2484.4032879299998</v>
      </c>
      <c r="M2907" s="1" t="s">
        <v>198</v>
      </c>
      <c r="N2907" s="1" t="b">
        <v>1</v>
      </c>
    </row>
    <row r="2908" spans="1:14" ht="19" customHeight="1" x14ac:dyDescent="0.3">
      <c r="A2908">
        <v>2903</v>
      </c>
      <c r="B2908" s="1">
        <v>11</v>
      </c>
      <c r="C2908" s="1">
        <v>70</v>
      </c>
      <c r="D2908" s="1">
        <v>5.5E-2</v>
      </c>
      <c r="E2908" s="1">
        <v>0.04</v>
      </c>
      <c r="F2908" s="1">
        <v>5</v>
      </c>
      <c r="G2908" s="1">
        <v>0</v>
      </c>
      <c r="H2908" s="1">
        <v>1.1516500918699999</v>
      </c>
      <c r="I2908" s="1">
        <v>1.63775176229</v>
      </c>
      <c r="J2908" s="1">
        <v>0.68049960732600001</v>
      </c>
      <c r="K2908" s="1">
        <v>12557.5384722</v>
      </c>
      <c r="L2908" s="1">
        <v>3063.5241697299998</v>
      </c>
      <c r="M2908" s="1" t="s">
        <v>198</v>
      </c>
      <c r="N2908" s="1" t="b">
        <v>1</v>
      </c>
    </row>
    <row r="2909" spans="1:14" ht="19" customHeight="1" x14ac:dyDescent="0.3">
      <c r="A2909">
        <v>2904</v>
      </c>
      <c r="B2909" s="1">
        <v>11</v>
      </c>
      <c r="C2909" s="1">
        <v>70</v>
      </c>
      <c r="D2909" s="1">
        <v>5.5E-2</v>
      </c>
      <c r="E2909" s="1">
        <v>0.04</v>
      </c>
      <c r="F2909" s="1">
        <v>5</v>
      </c>
      <c r="G2909" s="1">
        <v>1</v>
      </c>
      <c r="H2909" s="1">
        <v>1.1516500918699999</v>
      </c>
      <c r="I2909" s="1">
        <v>1.22831382172</v>
      </c>
      <c r="J2909" s="1">
        <v>0.55800967800699997</v>
      </c>
      <c r="K2909" s="1">
        <v>10714.300043499999</v>
      </c>
      <c r="L2909" s="1">
        <v>2512.0898191800002</v>
      </c>
      <c r="M2909" s="1" t="s">
        <v>198</v>
      </c>
      <c r="N2909" s="1" t="b">
        <v>1</v>
      </c>
    </row>
    <row r="2910" spans="1:14" ht="19" customHeight="1" x14ac:dyDescent="0.3">
      <c r="A2910">
        <v>2905</v>
      </c>
      <c r="B2910" s="1">
        <v>11</v>
      </c>
      <c r="C2910" s="1">
        <v>70</v>
      </c>
      <c r="D2910" s="1">
        <v>5.5E-2</v>
      </c>
      <c r="E2910" s="1">
        <v>0.06</v>
      </c>
      <c r="F2910" s="1">
        <v>-5</v>
      </c>
      <c r="G2910" s="1">
        <v>0</v>
      </c>
      <c r="H2910" s="1">
        <v>1.1792796915799999</v>
      </c>
      <c r="I2910" s="1">
        <v>1.67919616185</v>
      </c>
      <c r="J2910" s="1">
        <v>0.68297220964299998</v>
      </c>
      <c r="K2910" s="1">
        <v>12868.500982699999</v>
      </c>
      <c r="L2910" s="1">
        <v>3074.6555162899999</v>
      </c>
      <c r="M2910" s="1" t="s">
        <v>198</v>
      </c>
      <c r="N2910" s="1" t="b">
        <v>1</v>
      </c>
    </row>
    <row r="2911" spans="1:14" ht="19" customHeight="1" x14ac:dyDescent="0.3">
      <c r="A2911">
        <v>2906</v>
      </c>
      <c r="B2911" s="1">
        <v>11</v>
      </c>
      <c r="C2911" s="1">
        <v>70</v>
      </c>
      <c r="D2911" s="1">
        <v>5.5E-2</v>
      </c>
      <c r="E2911" s="1">
        <v>0.06</v>
      </c>
      <c r="F2911" s="1">
        <v>-5</v>
      </c>
      <c r="G2911" s="1">
        <v>1</v>
      </c>
      <c r="H2911" s="1">
        <v>1.1792796915799999</v>
      </c>
      <c r="I2911" s="1">
        <v>1.2593971213899999</v>
      </c>
      <c r="J2911" s="1">
        <v>0.56003721190699995</v>
      </c>
      <c r="K2911" s="1">
        <v>10978.6181774</v>
      </c>
      <c r="L2911" s="1">
        <v>2521.2175233500002</v>
      </c>
      <c r="M2911" s="1" t="s">
        <v>198</v>
      </c>
      <c r="N2911" s="1" t="b">
        <v>1</v>
      </c>
    </row>
    <row r="2912" spans="1:14" ht="19" customHeight="1" x14ac:dyDescent="0.3">
      <c r="A2912">
        <v>2907</v>
      </c>
      <c r="B2912" s="1">
        <v>11</v>
      </c>
      <c r="C2912" s="1">
        <v>70</v>
      </c>
      <c r="D2912" s="1">
        <v>5.5E-2</v>
      </c>
      <c r="E2912" s="1">
        <v>0.06</v>
      </c>
      <c r="F2912" s="1">
        <v>0</v>
      </c>
      <c r="G2912" s="1">
        <v>0</v>
      </c>
      <c r="H2912" s="1">
        <v>1.2061142412500001</v>
      </c>
      <c r="I2912" s="1">
        <v>1.71740632789</v>
      </c>
      <c r="J2912" s="1">
        <v>0.67547220964300003</v>
      </c>
      <c r="K2912" s="1">
        <v>13161.324162200001</v>
      </c>
      <c r="L2912" s="1">
        <v>3040.89145379</v>
      </c>
      <c r="M2912" s="1" t="s">
        <v>198</v>
      </c>
      <c r="N2912" s="1" t="b">
        <v>1</v>
      </c>
    </row>
    <row r="2913" spans="1:14" ht="19" customHeight="1" x14ac:dyDescent="0.3">
      <c r="A2913">
        <v>2908</v>
      </c>
      <c r="B2913" s="1">
        <v>11</v>
      </c>
      <c r="C2913" s="1">
        <v>70</v>
      </c>
      <c r="D2913" s="1">
        <v>5.5E-2</v>
      </c>
      <c r="E2913" s="1">
        <v>0.06</v>
      </c>
      <c r="F2913" s="1">
        <v>0</v>
      </c>
      <c r="G2913" s="1">
        <v>1</v>
      </c>
      <c r="H2913" s="1">
        <v>1.2061142412500001</v>
      </c>
      <c r="I2913" s="1">
        <v>1.28805474591</v>
      </c>
      <c r="J2913" s="1">
        <v>0.55388721190699997</v>
      </c>
      <c r="K2913" s="1">
        <v>11228.4370091</v>
      </c>
      <c r="L2913" s="1">
        <v>2493.5309920999998</v>
      </c>
      <c r="M2913" s="1" t="s">
        <v>198</v>
      </c>
      <c r="N2913" s="1" t="b">
        <v>1</v>
      </c>
    </row>
    <row r="2914" spans="1:14" ht="19" customHeight="1" x14ac:dyDescent="0.3">
      <c r="A2914">
        <v>2909</v>
      </c>
      <c r="B2914" s="1">
        <v>11</v>
      </c>
      <c r="C2914" s="1">
        <v>70</v>
      </c>
      <c r="D2914" s="1">
        <v>5.5E-2</v>
      </c>
      <c r="E2914" s="1">
        <v>0.06</v>
      </c>
      <c r="F2914" s="1">
        <v>5</v>
      </c>
      <c r="G2914" s="1">
        <v>0</v>
      </c>
      <c r="H2914" s="1">
        <v>1.1792796915799999</v>
      </c>
      <c r="I2914" s="1">
        <v>1.67919616185</v>
      </c>
      <c r="J2914" s="1">
        <v>0.68297220964299998</v>
      </c>
      <c r="K2914" s="1">
        <v>12868.500982699999</v>
      </c>
      <c r="L2914" s="1">
        <v>3074.6555162899999</v>
      </c>
      <c r="M2914" s="1" t="s">
        <v>198</v>
      </c>
      <c r="N2914" s="1" t="b">
        <v>1</v>
      </c>
    </row>
    <row r="2915" spans="1:14" ht="19" customHeight="1" x14ac:dyDescent="0.3">
      <c r="A2915">
        <v>2910</v>
      </c>
      <c r="B2915" s="1">
        <v>11</v>
      </c>
      <c r="C2915" s="1">
        <v>70</v>
      </c>
      <c r="D2915" s="1">
        <v>5.5E-2</v>
      </c>
      <c r="E2915" s="1">
        <v>0.06</v>
      </c>
      <c r="F2915" s="1">
        <v>5</v>
      </c>
      <c r="G2915" s="1">
        <v>1</v>
      </c>
      <c r="H2915" s="1">
        <v>1.1792796915799999</v>
      </c>
      <c r="I2915" s="1">
        <v>1.2593971213899999</v>
      </c>
      <c r="J2915" s="1">
        <v>0.56003721190699995</v>
      </c>
      <c r="K2915" s="1">
        <v>10978.6181774</v>
      </c>
      <c r="L2915" s="1">
        <v>2521.2175233500002</v>
      </c>
      <c r="M2915" s="1" t="s">
        <v>198</v>
      </c>
      <c r="N2915" s="1" t="b">
        <v>1</v>
      </c>
    </row>
    <row r="2916" spans="1:14" ht="19" customHeight="1" x14ac:dyDescent="0.3">
      <c r="A2916">
        <v>2911</v>
      </c>
      <c r="B2916" s="1">
        <v>11</v>
      </c>
      <c r="C2916" s="1">
        <v>70</v>
      </c>
      <c r="D2916" s="1">
        <v>5.5E-2</v>
      </c>
      <c r="E2916" s="1">
        <v>8.5000000000000006E-2</v>
      </c>
      <c r="F2916" s="1">
        <v>-5</v>
      </c>
      <c r="G2916" s="1">
        <v>0</v>
      </c>
      <c r="H2916" s="1">
        <v>1.10864514607</v>
      </c>
      <c r="I2916" s="1">
        <v>1.5732443435900001</v>
      </c>
      <c r="J2916" s="1">
        <v>0.67665104890500005</v>
      </c>
      <c r="K2916" s="1">
        <v>12073.5312462</v>
      </c>
      <c r="L2916" s="1">
        <v>3046.1984407899999</v>
      </c>
      <c r="M2916" s="1" t="s">
        <v>198</v>
      </c>
      <c r="N2916" s="1" t="b">
        <v>1</v>
      </c>
    </row>
    <row r="2917" spans="1:14" ht="19" customHeight="1" x14ac:dyDescent="0.3">
      <c r="A2917">
        <v>2912</v>
      </c>
      <c r="B2917" s="1">
        <v>11</v>
      </c>
      <c r="C2917" s="1">
        <v>70</v>
      </c>
      <c r="D2917" s="1">
        <v>5.5E-2</v>
      </c>
      <c r="E2917" s="1">
        <v>8.5000000000000006E-2</v>
      </c>
      <c r="F2917" s="1">
        <v>-5</v>
      </c>
      <c r="G2917" s="1">
        <v>1</v>
      </c>
      <c r="H2917" s="1">
        <v>1.10864514607</v>
      </c>
      <c r="I2917" s="1">
        <v>1.1799332576899999</v>
      </c>
      <c r="J2917" s="1">
        <v>0.554853860102</v>
      </c>
      <c r="K2917" s="1">
        <v>10302.893901400001</v>
      </c>
      <c r="L2917" s="1">
        <v>2497.8827214500002</v>
      </c>
      <c r="M2917" s="1" t="s">
        <v>198</v>
      </c>
      <c r="N2917" s="1" t="b">
        <v>1</v>
      </c>
    </row>
    <row r="2918" spans="1:14" ht="19" customHeight="1" x14ac:dyDescent="0.3">
      <c r="A2918">
        <v>2913</v>
      </c>
      <c r="B2918" s="1">
        <v>11</v>
      </c>
      <c r="C2918" s="1">
        <v>70</v>
      </c>
      <c r="D2918" s="1">
        <v>5.5E-2</v>
      </c>
      <c r="E2918" s="1">
        <v>8.5000000000000006E-2</v>
      </c>
      <c r="F2918" s="1">
        <v>0</v>
      </c>
      <c r="G2918" s="1">
        <v>0</v>
      </c>
      <c r="H2918" s="1">
        <v>1.1338724042399999</v>
      </c>
      <c r="I2918" s="1">
        <v>1.6090435723700001</v>
      </c>
      <c r="J2918" s="1">
        <v>0.66915104890499999</v>
      </c>
      <c r="K2918" s="1">
        <v>12348.2648622</v>
      </c>
      <c r="L2918" s="1">
        <v>3012.43437829</v>
      </c>
      <c r="M2918" s="1" t="s">
        <v>198</v>
      </c>
      <c r="N2918" s="1" t="b">
        <v>1</v>
      </c>
    </row>
    <row r="2919" spans="1:14" ht="19" customHeight="1" x14ac:dyDescent="0.3">
      <c r="A2919">
        <v>2914</v>
      </c>
      <c r="B2919" s="1">
        <v>11</v>
      </c>
      <c r="C2919" s="1">
        <v>70</v>
      </c>
      <c r="D2919" s="1">
        <v>5.5E-2</v>
      </c>
      <c r="E2919" s="1">
        <v>8.5000000000000006E-2</v>
      </c>
      <c r="F2919" s="1">
        <v>0</v>
      </c>
      <c r="G2919" s="1">
        <v>1</v>
      </c>
      <c r="H2919" s="1">
        <v>1.1338724042399999</v>
      </c>
      <c r="I2919" s="1">
        <v>1.20678267928</v>
      </c>
      <c r="J2919" s="1">
        <v>0.54870386010200001</v>
      </c>
      <c r="K2919" s="1">
        <v>10537.336604100001</v>
      </c>
      <c r="L2919" s="1">
        <v>2470.1961901999998</v>
      </c>
      <c r="M2919" s="1" t="s">
        <v>198</v>
      </c>
      <c r="N2919" s="1" t="b">
        <v>1</v>
      </c>
    </row>
    <row r="2920" spans="1:14" ht="19" customHeight="1" x14ac:dyDescent="0.3">
      <c r="A2920">
        <v>2915</v>
      </c>
      <c r="B2920" s="1">
        <v>11</v>
      </c>
      <c r="C2920" s="1">
        <v>70</v>
      </c>
      <c r="D2920" s="1">
        <v>5.5E-2</v>
      </c>
      <c r="E2920" s="1">
        <v>8.5000000000000006E-2</v>
      </c>
      <c r="F2920" s="1">
        <v>5</v>
      </c>
      <c r="G2920" s="1">
        <v>0</v>
      </c>
      <c r="H2920" s="1">
        <v>1.10864514607</v>
      </c>
      <c r="I2920" s="1">
        <v>1.5732443435900001</v>
      </c>
      <c r="J2920" s="1">
        <v>0.67665104890500005</v>
      </c>
      <c r="K2920" s="1">
        <v>12073.5312462</v>
      </c>
      <c r="L2920" s="1">
        <v>3046.1984407899999</v>
      </c>
      <c r="M2920" s="1" t="s">
        <v>198</v>
      </c>
      <c r="N2920" s="1" t="b">
        <v>1</v>
      </c>
    </row>
    <row r="2921" spans="1:14" ht="19" customHeight="1" x14ac:dyDescent="0.3">
      <c r="A2921">
        <v>2916</v>
      </c>
      <c r="B2921" s="1">
        <v>11</v>
      </c>
      <c r="C2921" s="1">
        <v>70</v>
      </c>
      <c r="D2921" s="1">
        <v>5.5E-2</v>
      </c>
      <c r="E2921" s="1">
        <v>8.5000000000000006E-2</v>
      </c>
      <c r="F2921" s="1">
        <v>5</v>
      </c>
      <c r="G2921" s="1">
        <v>1</v>
      </c>
      <c r="H2921" s="1">
        <v>1.10864514607</v>
      </c>
      <c r="I2921" s="1">
        <v>1.1799332576899999</v>
      </c>
      <c r="J2921" s="1">
        <v>0.554853860102</v>
      </c>
      <c r="K2921" s="1">
        <v>10302.893901400001</v>
      </c>
      <c r="L2921" s="1">
        <v>2497.8827214500002</v>
      </c>
      <c r="M2921" s="1" t="s">
        <v>198</v>
      </c>
      <c r="N2921" s="1" t="b">
        <v>1</v>
      </c>
    </row>
    <row r="2922" spans="1:14" ht="19" customHeight="1" x14ac:dyDescent="0.3">
      <c r="A2922">
        <v>2917</v>
      </c>
      <c r="B2922" s="1">
        <v>11</v>
      </c>
      <c r="C2922" s="1">
        <v>90</v>
      </c>
      <c r="D2922" s="1">
        <v>2.5000000000000001E-2</v>
      </c>
      <c r="E2922" s="1">
        <v>0.04</v>
      </c>
      <c r="F2922" s="1">
        <v>-5</v>
      </c>
      <c r="G2922" s="1">
        <v>0</v>
      </c>
      <c r="H2922" s="1">
        <v>1.28554638049</v>
      </c>
      <c r="I2922" s="1">
        <v>1.8385961952100001</v>
      </c>
      <c r="J2922" s="1">
        <v>0.69248212885899996</v>
      </c>
      <c r="K2922" s="1">
        <v>23249.4785305</v>
      </c>
      <c r="L2922" s="1">
        <v>5153.3654427000001</v>
      </c>
      <c r="M2922" s="1" t="s">
        <v>198</v>
      </c>
      <c r="N2922" s="1" t="b">
        <v>1</v>
      </c>
    </row>
    <row r="2923" spans="1:14" ht="19" customHeight="1" x14ac:dyDescent="0.3">
      <c r="A2923">
        <v>2918</v>
      </c>
      <c r="B2923" s="1">
        <v>11</v>
      </c>
      <c r="C2923" s="1">
        <v>90</v>
      </c>
      <c r="D2923" s="1">
        <v>2.5000000000000001E-2</v>
      </c>
      <c r="E2923" s="1">
        <v>0.04</v>
      </c>
      <c r="F2923" s="1">
        <v>-5</v>
      </c>
      <c r="G2923" s="1">
        <v>1</v>
      </c>
      <c r="H2923" s="1">
        <v>1.28554638049</v>
      </c>
      <c r="I2923" s="1">
        <v>1.37894714641</v>
      </c>
      <c r="J2923" s="1">
        <v>0.56783534566399996</v>
      </c>
      <c r="K2923" s="1">
        <v>19828.827765400001</v>
      </c>
      <c r="L2923" s="1">
        <v>4225.7596630099997</v>
      </c>
      <c r="M2923" s="1" t="s">
        <v>198</v>
      </c>
      <c r="N2923" s="1" t="b">
        <v>1</v>
      </c>
    </row>
    <row r="2924" spans="1:14" ht="19" customHeight="1" x14ac:dyDescent="0.3">
      <c r="A2924">
        <v>2919</v>
      </c>
      <c r="B2924" s="1">
        <v>11</v>
      </c>
      <c r="C2924" s="1">
        <v>90</v>
      </c>
      <c r="D2924" s="1">
        <v>2.5000000000000001E-2</v>
      </c>
      <c r="E2924" s="1">
        <v>0.04</v>
      </c>
      <c r="F2924" s="1">
        <v>0</v>
      </c>
      <c r="G2924" s="1">
        <v>0</v>
      </c>
      <c r="H2924" s="1">
        <v>1.3147990322900001</v>
      </c>
      <c r="I2924" s="1">
        <v>1.88043351445</v>
      </c>
      <c r="J2924" s="1">
        <v>0.68498212885900001</v>
      </c>
      <c r="K2924" s="1">
        <v>23778.521208800001</v>
      </c>
      <c r="L2924" s="1">
        <v>5097.5513801999996</v>
      </c>
      <c r="M2924" s="1" t="s">
        <v>198</v>
      </c>
      <c r="N2924" s="1" t="b">
        <v>1</v>
      </c>
    </row>
    <row r="2925" spans="1:14" ht="19" customHeight="1" x14ac:dyDescent="0.3">
      <c r="A2925">
        <v>2920</v>
      </c>
      <c r="B2925" s="1">
        <v>11</v>
      </c>
      <c r="C2925" s="1">
        <v>90</v>
      </c>
      <c r="D2925" s="1">
        <v>2.5000000000000001E-2</v>
      </c>
      <c r="E2925" s="1">
        <v>0.04</v>
      </c>
      <c r="F2925" s="1">
        <v>0</v>
      </c>
      <c r="G2925" s="1">
        <v>1</v>
      </c>
      <c r="H2925" s="1">
        <v>1.3147990322900001</v>
      </c>
      <c r="I2925" s="1">
        <v>1.41032513583</v>
      </c>
      <c r="J2925" s="1">
        <v>0.56168534566399997</v>
      </c>
      <c r="K2925" s="1">
        <v>20280.033418700001</v>
      </c>
      <c r="L2925" s="1">
        <v>4179.9921317600001</v>
      </c>
      <c r="M2925" s="1" t="s">
        <v>198</v>
      </c>
      <c r="N2925" s="1" t="b">
        <v>1</v>
      </c>
    </row>
    <row r="2926" spans="1:14" ht="19" customHeight="1" x14ac:dyDescent="0.3">
      <c r="A2926">
        <v>2921</v>
      </c>
      <c r="B2926" s="1">
        <v>11</v>
      </c>
      <c r="C2926" s="1">
        <v>90</v>
      </c>
      <c r="D2926" s="1">
        <v>2.5000000000000001E-2</v>
      </c>
      <c r="E2926" s="1">
        <v>0.04</v>
      </c>
      <c r="F2926" s="1">
        <v>5</v>
      </c>
      <c r="G2926" s="1">
        <v>0</v>
      </c>
      <c r="H2926" s="1">
        <v>1.28554638049</v>
      </c>
      <c r="I2926" s="1">
        <v>1.8385961952100001</v>
      </c>
      <c r="J2926" s="1">
        <v>0.69248212885899996</v>
      </c>
      <c r="K2926" s="1">
        <v>23249.4785305</v>
      </c>
      <c r="L2926" s="1">
        <v>5153.3654427000001</v>
      </c>
      <c r="M2926" s="1" t="s">
        <v>198</v>
      </c>
      <c r="N2926" s="1" t="b">
        <v>1</v>
      </c>
    </row>
    <row r="2927" spans="1:14" ht="19" customHeight="1" x14ac:dyDescent="0.3">
      <c r="A2927">
        <v>2922</v>
      </c>
      <c r="B2927" s="1">
        <v>11</v>
      </c>
      <c r="C2927" s="1">
        <v>90</v>
      </c>
      <c r="D2927" s="1">
        <v>2.5000000000000001E-2</v>
      </c>
      <c r="E2927" s="1">
        <v>0.04</v>
      </c>
      <c r="F2927" s="1">
        <v>5</v>
      </c>
      <c r="G2927" s="1">
        <v>1</v>
      </c>
      <c r="H2927" s="1">
        <v>1.28554638049</v>
      </c>
      <c r="I2927" s="1">
        <v>1.37894714641</v>
      </c>
      <c r="J2927" s="1">
        <v>0.56783534566399996</v>
      </c>
      <c r="K2927" s="1">
        <v>19828.827765400001</v>
      </c>
      <c r="L2927" s="1">
        <v>4225.7596630099997</v>
      </c>
      <c r="M2927" s="1" t="s">
        <v>198</v>
      </c>
      <c r="N2927" s="1" t="b">
        <v>1</v>
      </c>
    </row>
    <row r="2928" spans="1:14" ht="19" customHeight="1" x14ac:dyDescent="0.3">
      <c r="A2928">
        <v>2923</v>
      </c>
      <c r="B2928" s="1">
        <v>11</v>
      </c>
      <c r="C2928" s="1">
        <v>90</v>
      </c>
      <c r="D2928" s="1">
        <v>2.5000000000000001E-2</v>
      </c>
      <c r="E2928" s="1">
        <v>0.06</v>
      </c>
      <c r="F2928" s="1">
        <v>-5</v>
      </c>
      <c r="G2928" s="1">
        <v>0</v>
      </c>
      <c r="H2928" s="1">
        <v>1.3261613941199999</v>
      </c>
      <c r="I2928" s="1">
        <v>1.89951871566</v>
      </c>
      <c r="J2928" s="1">
        <v>0.69611680970400003</v>
      </c>
      <c r="K2928" s="1">
        <v>24005.108166999999</v>
      </c>
      <c r="L2928" s="1">
        <v>5180.4142832199996</v>
      </c>
      <c r="M2928" s="1" t="s">
        <v>198</v>
      </c>
      <c r="N2928" s="1" t="b">
        <v>1</v>
      </c>
    </row>
    <row r="2929" spans="1:14" ht="19" customHeight="1" x14ac:dyDescent="0.3">
      <c r="A2929">
        <v>2924</v>
      </c>
      <c r="B2929" s="1">
        <v>11</v>
      </c>
      <c r="C2929" s="1">
        <v>90</v>
      </c>
      <c r="D2929" s="1">
        <v>2.5000000000000001E-2</v>
      </c>
      <c r="E2929" s="1">
        <v>0.06</v>
      </c>
      <c r="F2929" s="1">
        <v>-5</v>
      </c>
      <c r="G2929" s="1">
        <v>1</v>
      </c>
      <c r="H2929" s="1">
        <v>1.3261613941199999</v>
      </c>
      <c r="I2929" s="1">
        <v>1.4246390367499999</v>
      </c>
      <c r="J2929" s="1">
        <v>0.57081578395699994</v>
      </c>
      <c r="K2929" s="1">
        <v>20471.112956500001</v>
      </c>
      <c r="L2929" s="1">
        <v>4247.9397122399996</v>
      </c>
      <c r="M2929" s="1" t="s">
        <v>198</v>
      </c>
      <c r="N2929" s="1" t="b">
        <v>1</v>
      </c>
    </row>
    <row r="2930" spans="1:14" ht="19" customHeight="1" x14ac:dyDescent="0.3">
      <c r="A2930">
        <v>2925</v>
      </c>
      <c r="B2930" s="1">
        <v>11</v>
      </c>
      <c r="C2930" s="1">
        <v>90</v>
      </c>
      <c r="D2930" s="1">
        <v>2.5000000000000001E-2</v>
      </c>
      <c r="E2930" s="1">
        <v>0.06</v>
      </c>
      <c r="F2930" s="1">
        <v>0</v>
      </c>
      <c r="G2930" s="1">
        <v>0</v>
      </c>
      <c r="H2930" s="1">
        <v>1.3563382419500001</v>
      </c>
      <c r="I2930" s="1">
        <v>1.9427423289300001</v>
      </c>
      <c r="J2930" s="1">
        <v>0.68861680970399997</v>
      </c>
      <c r="K2930" s="1">
        <v>24551.3452235</v>
      </c>
      <c r="L2930" s="1">
        <v>5124.6002207199999</v>
      </c>
      <c r="M2930" s="1" t="s">
        <v>198</v>
      </c>
      <c r="N2930" s="1" t="b">
        <v>1</v>
      </c>
    </row>
    <row r="2931" spans="1:14" ht="19" customHeight="1" x14ac:dyDescent="0.3">
      <c r="A2931">
        <v>2926</v>
      </c>
      <c r="B2931" s="1">
        <v>11</v>
      </c>
      <c r="C2931" s="1">
        <v>90</v>
      </c>
      <c r="D2931" s="1">
        <v>2.5000000000000001E-2</v>
      </c>
      <c r="E2931" s="1">
        <v>0.06</v>
      </c>
      <c r="F2931" s="1">
        <v>0</v>
      </c>
      <c r="G2931" s="1">
        <v>1</v>
      </c>
      <c r="H2931" s="1">
        <v>1.3563382419500001</v>
      </c>
      <c r="I2931" s="1">
        <v>1.4570567467</v>
      </c>
      <c r="J2931" s="1">
        <v>0.56466578395699996</v>
      </c>
      <c r="K2931" s="1">
        <v>20936.9338312</v>
      </c>
      <c r="L2931" s="1">
        <v>4202.17218099</v>
      </c>
      <c r="M2931" s="1" t="s">
        <v>198</v>
      </c>
      <c r="N2931" s="1" t="b">
        <v>1</v>
      </c>
    </row>
    <row r="2932" spans="1:14" ht="19" customHeight="1" x14ac:dyDescent="0.3">
      <c r="A2932">
        <v>2927</v>
      </c>
      <c r="B2932" s="1">
        <v>11</v>
      </c>
      <c r="C2932" s="1">
        <v>90</v>
      </c>
      <c r="D2932" s="1">
        <v>2.5000000000000001E-2</v>
      </c>
      <c r="E2932" s="1">
        <v>0.06</v>
      </c>
      <c r="F2932" s="1">
        <v>5</v>
      </c>
      <c r="G2932" s="1">
        <v>0</v>
      </c>
      <c r="H2932" s="1">
        <v>1.3261613941199999</v>
      </c>
      <c r="I2932" s="1">
        <v>1.89951871566</v>
      </c>
      <c r="J2932" s="1">
        <v>0.69611680970400003</v>
      </c>
      <c r="K2932" s="1">
        <v>24005.108166999999</v>
      </c>
      <c r="L2932" s="1">
        <v>5180.4142832199996</v>
      </c>
      <c r="M2932" s="1" t="s">
        <v>198</v>
      </c>
      <c r="N2932" s="1" t="b">
        <v>1</v>
      </c>
    </row>
    <row r="2933" spans="1:14" ht="19" customHeight="1" x14ac:dyDescent="0.3">
      <c r="A2933">
        <v>2928</v>
      </c>
      <c r="B2933" s="1">
        <v>11</v>
      </c>
      <c r="C2933" s="1">
        <v>90</v>
      </c>
      <c r="D2933" s="1">
        <v>2.5000000000000001E-2</v>
      </c>
      <c r="E2933" s="1">
        <v>0.06</v>
      </c>
      <c r="F2933" s="1">
        <v>5</v>
      </c>
      <c r="G2933" s="1">
        <v>1</v>
      </c>
      <c r="H2933" s="1">
        <v>1.3261613941199999</v>
      </c>
      <c r="I2933" s="1">
        <v>1.4246390367499999</v>
      </c>
      <c r="J2933" s="1">
        <v>0.57081578395699994</v>
      </c>
      <c r="K2933" s="1">
        <v>20471.112956500001</v>
      </c>
      <c r="L2933" s="1">
        <v>4247.9397122399996</v>
      </c>
      <c r="M2933" s="1" t="s">
        <v>198</v>
      </c>
      <c r="N2933" s="1" t="b">
        <v>1</v>
      </c>
    </row>
    <row r="2934" spans="1:14" ht="19" customHeight="1" x14ac:dyDescent="0.3">
      <c r="A2934">
        <v>2929</v>
      </c>
      <c r="B2934" s="1">
        <v>11</v>
      </c>
      <c r="C2934" s="1">
        <v>90</v>
      </c>
      <c r="D2934" s="1">
        <v>2.5000000000000001E-2</v>
      </c>
      <c r="E2934" s="1">
        <v>8.5000000000000006E-2</v>
      </c>
      <c r="F2934" s="1">
        <v>-5</v>
      </c>
      <c r="G2934" s="1">
        <v>0</v>
      </c>
      <c r="H2934" s="1">
        <v>1.22232988518</v>
      </c>
      <c r="I2934" s="1">
        <v>1.7437714522500001</v>
      </c>
      <c r="J2934" s="1">
        <v>0.68682481733699996</v>
      </c>
      <c r="K2934" s="1">
        <v>22073.3553904</v>
      </c>
      <c r="L2934" s="1">
        <v>5111.2644375199998</v>
      </c>
      <c r="M2934" s="1" t="s">
        <v>198</v>
      </c>
      <c r="N2934" s="1" t="b">
        <v>1</v>
      </c>
    </row>
    <row r="2935" spans="1:14" ht="19" customHeight="1" x14ac:dyDescent="0.3">
      <c r="A2935">
        <v>2930</v>
      </c>
      <c r="B2935" s="1">
        <v>11</v>
      </c>
      <c r="C2935" s="1">
        <v>90</v>
      </c>
      <c r="D2935" s="1">
        <v>2.5000000000000001E-2</v>
      </c>
      <c r="E2935" s="1">
        <v>8.5000000000000006E-2</v>
      </c>
      <c r="F2935" s="1">
        <v>-5</v>
      </c>
      <c r="G2935" s="1">
        <v>1</v>
      </c>
      <c r="H2935" s="1">
        <v>1.22232988518</v>
      </c>
      <c r="I2935" s="1">
        <v>1.3078285891899999</v>
      </c>
      <c r="J2935" s="1">
        <v>0.56319635021600001</v>
      </c>
      <c r="K2935" s="1">
        <v>18829.123096399999</v>
      </c>
      <c r="L2935" s="1">
        <v>4191.2368387699998</v>
      </c>
      <c r="M2935" s="1" t="s">
        <v>198</v>
      </c>
      <c r="N2935" s="1" t="b">
        <v>1</v>
      </c>
    </row>
    <row r="2936" spans="1:14" ht="19" customHeight="1" x14ac:dyDescent="0.3">
      <c r="A2936">
        <v>2931</v>
      </c>
      <c r="B2936" s="1">
        <v>11</v>
      </c>
      <c r="C2936" s="1">
        <v>90</v>
      </c>
      <c r="D2936" s="1">
        <v>2.5000000000000001E-2</v>
      </c>
      <c r="E2936" s="1">
        <v>8.5000000000000006E-2</v>
      </c>
      <c r="F2936" s="1">
        <v>0</v>
      </c>
      <c r="G2936" s="1">
        <v>0</v>
      </c>
      <c r="H2936" s="1">
        <v>1.25014404347</v>
      </c>
      <c r="I2936" s="1">
        <v>1.78345103122</v>
      </c>
      <c r="J2936" s="1">
        <v>0.67932481733700001</v>
      </c>
      <c r="K2936" s="1">
        <v>22575.635346499999</v>
      </c>
      <c r="L2936" s="1">
        <v>5055.4503750200001</v>
      </c>
      <c r="M2936" s="1" t="s">
        <v>198</v>
      </c>
      <c r="N2936" s="1" t="b">
        <v>1</v>
      </c>
    </row>
    <row r="2937" spans="1:14" ht="19" customHeight="1" x14ac:dyDescent="0.3">
      <c r="A2937">
        <v>2932</v>
      </c>
      <c r="B2937" s="1">
        <v>11</v>
      </c>
      <c r="C2937" s="1">
        <v>90</v>
      </c>
      <c r="D2937" s="1">
        <v>2.5000000000000001E-2</v>
      </c>
      <c r="E2937" s="1">
        <v>8.5000000000000006E-2</v>
      </c>
      <c r="F2937" s="1">
        <v>0</v>
      </c>
      <c r="G2937" s="1">
        <v>1</v>
      </c>
      <c r="H2937" s="1">
        <v>1.25014404347</v>
      </c>
      <c r="I2937" s="1">
        <v>1.33758827341</v>
      </c>
      <c r="J2937" s="1">
        <v>0.55704635021600002</v>
      </c>
      <c r="K2937" s="1">
        <v>19257.580435700002</v>
      </c>
      <c r="L2937" s="1">
        <v>4145.4693075200003</v>
      </c>
      <c r="M2937" s="1" t="s">
        <v>198</v>
      </c>
      <c r="N2937" s="1" t="b">
        <v>1</v>
      </c>
    </row>
    <row r="2938" spans="1:14" ht="19" customHeight="1" x14ac:dyDescent="0.3">
      <c r="A2938">
        <v>2933</v>
      </c>
      <c r="B2938" s="1">
        <v>11</v>
      </c>
      <c r="C2938" s="1">
        <v>90</v>
      </c>
      <c r="D2938" s="1">
        <v>2.5000000000000001E-2</v>
      </c>
      <c r="E2938" s="1">
        <v>8.5000000000000006E-2</v>
      </c>
      <c r="F2938" s="1">
        <v>5</v>
      </c>
      <c r="G2938" s="1">
        <v>0</v>
      </c>
      <c r="H2938" s="1">
        <v>1.22232988518</v>
      </c>
      <c r="I2938" s="1">
        <v>1.7437714522500001</v>
      </c>
      <c r="J2938" s="1">
        <v>0.68682481733699996</v>
      </c>
      <c r="K2938" s="1">
        <v>22073.3553904</v>
      </c>
      <c r="L2938" s="1">
        <v>5111.2644375199998</v>
      </c>
      <c r="M2938" s="1" t="s">
        <v>198</v>
      </c>
      <c r="N2938" s="1" t="b">
        <v>1</v>
      </c>
    </row>
    <row r="2939" spans="1:14" ht="19" customHeight="1" x14ac:dyDescent="0.3">
      <c r="A2939">
        <v>2934</v>
      </c>
      <c r="B2939" s="1">
        <v>11</v>
      </c>
      <c r="C2939" s="1">
        <v>90</v>
      </c>
      <c r="D2939" s="1">
        <v>2.5000000000000001E-2</v>
      </c>
      <c r="E2939" s="1">
        <v>8.5000000000000006E-2</v>
      </c>
      <c r="F2939" s="1">
        <v>5</v>
      </c>
      <c r="G2939" s="1">
        <v>1</v>
      </c>
      <c r="H2939" s="1">
        <v>1.22232988518</v>
      </c>
      <c r="I2939" s="1">
        <v>1.3078285891899999</v>
      </c>
      <c r="J2939" s="1">
        <v>0.56319635021600001</v>
      </c>
      <c r="K2939" s="1">
        <v>18829.123096399999</v>
      </c>
      <c r="L2939" s="1">
        <v>4191.2368387699998</v>
      </c>
      <c r="M2939" s="1" t="s">
        <v>198</v>
      </c>
      <c r="N2939" s="1" t="b">
        <v>1</v>
      </c>
    </row>
    <row r="2940" spans="1:14" ht="19" customHeight="1" x14ac:dyDescent="0.3">
      <c r="A2940">
        <v>2935</v>
      </c>
      <c r="B2940" s="1">
        <v>11</v>
      </c>
      <c r="C2940" s="1">
        <v>90</v>
      </c>
      <c r="D2940" s="1">
        <v>0.04</v>
      </c>
      <c r="E2940" s="1">
        <v>0.04</v>
      </c>
      <c r="F2940" s="1">
        <v>-5</v>
      </c>
      <c r="G2940" s="1">
        <v>0</v>
      </c>
      <c r="H2940" s="1">
        <v>1.2915351939399999</v>
      </c>
      <c r="I2940" s="1">
        <v>1.84757941539</v>
      </c>
      <c r="J2940" s="1">
        <v>0.69301807415600003</v>
      </c>
      <c r="K2940" s="1">
        <v>23360.898533299998</v>
      </c>
      <c r="L2940" s="1">
        <v>5157.3538806099996</v>
      </c>
      <c r="M2940" s="1" t="s">
        <v>198</v>
      </c>
      <c r="N2940" s="1" t="b">
        <v>1</v>
      </c>
    </row>
    <row r="2941" spans="1:14" ht="19" customHeight="1" x14ac:dyDescent="0.3">
      <c r="A2941">
        <v>2936</v>
      </c>
      <c r="B2941" s="1">
        <v>11</v>
      </c>
      <c r="C2941" s="1">
        <v>90</v>
      </c>
      <c r="D2941" s="1">
        <v>0.04</v>
      </c>
      <c r="E2941" s="1">
        <v>0.04</v>
      </c>
      <c r="F2941" s="1">
        <v>-5</v>
      </c>
      <c r="G2941" s="1">
        <v>1</v>
      </c>
      <c r="H2941" s="1">
        <v>1.2915351939399999</v>
      </c>
      <c r="I2941" s="1">
        <v>1.38568456154</v>
      </c>
      <c r="J2941" s="1">
        <v>0.56827482080799996</v>
      </c>
      <c r="K2941" s="1">
        <v>19923.5347678</v>
      </c>
      <c r="L2941" s="1">
        <v>4229.0301821000003</v>
      </c>
      <c r="M2941" s="1" t="s">
        <v>198</v>
      </c>
      <c r="N2941" s="1" t="b">
        <v>1</v>
      </c>
    </row>
    <row r="2942" spans="1:14" ht="19" customHeight="1" x14ac:dyDescent="0.3">
      <c r="A2942">
        <v>2937</v>
      </c>
      <c r="B2942" s="1">
        <v>11</v>
      </c>
      <c r="C2942" s="1">
        <v>90</v>
      </c>
      <c r="D2942" s="1">
        <v>0.04</v>
      </c>
      <c r="E2942" s="1">
        <v>0.04</v>
      </c>
      <c r="F2942" s="1">
        <v>0</v>
      </c>
      <c r="G2942" s="1">
        <v>0</v>
      </c>
      <c r="H2942" s="1">
        <v>1.3209241214</v>
      </c>
      <c r="I2942" s="1">
        <v>1.88962114811</v>
      </c>
      <c r="J2942" s="1">
        <v>0.68551807415599997</v>
      </c>
      <c r="K2942" s="1">
        <v>23892.476577500001</v>
      </c>
      <c r="L2942" s="1">
        <v>5101.5398181099999</v>
      </c>
      <c r="M2942" s="1" t="s">
        <v>198</v>
      </c>
      <c r="N2942" s="1" t="b">
        <v>1</v>
      </c>
    </row>
    <row r="2943" spans="1:14" ht="19" customHeight="1" x14ac:dyDescent="0.3">
      <c r="A2943">
        <v>2938</v>
      </c>
      <c r="B2943" s="1">
        <v>11</v>
      </c>
      <c r="C2943" s="1">
        <v>90</v>
      </c>
      <c r="D2943" s="1">
        <v>0.04</v>
      </c>
      <c r="E2943" s="1">
        <v>0.04</v>
      </c>
      <c r="F2943" s="1">
        <v>0</v>
      </c>
      <c r="G2943" s="1">
        <v>1</v>
      </c>
      <c r="H2943" s="1">
        <v>1.3209241214</v>
      </c>
      <c r="I2943" s="1">
        <v>1.4172158610800001</v>
      </c>
      <c r="J2943" s="1">
        <v>0.56212482080799997</v>
      </c>
      <c r="K2943" s="1">
        <v>20376.895482100001</v>
      </c>
      <c r="L2943" s="1">
        <v>4183.2626508499998</v>
      </c>
      <c r="M2943" s="1" t="s">
        <v>198</v>
      </c>
      <c r="N2943" s="1" t="b">
        <v>1</v>
      </c>
    </row>
    <row r="2944" spans="1:14" ht="19" customHeight="1" x14ac:dyDescent="0.3">
      <c r="A2944">
        <v>2939</v>
      </c>
      <c r="B2944" s="1">
        <v>11</v>
      </c>
      <c r="C2944" s="1">
        <v>90</v>
      </c>
      <c r="D2944" s="1">
        <v>0.04</v>
      </c>
      <c r="E2944" s="1">
        <v>0.04</v>
      </c>
      <c r="F2944" s="1">
        <v>5</v>
      </c>
      <c r="G2944" s="1">
        <v>0</v>
      </c>
      <c r="H2944" s="1">
        <v>1.2915351939399999</v>
      </c>
      <c r="I2944" s="1">
        <v>1.84757941539</v>
      </c>
      <c r="J2944" s="1">
        <v>0.69301807415600003</v>
      </c>
      <c r="K2944" s="1">
        <v>23360.898533299998</v>
      </c>
      <c r="L2944" s="1">
        <v>5157.3538806099996</v>
      </c>
      <c r="M2944" s="1" t="s">
        <v>198</v>
      </c>
      <c r="N2944" s="1" t="b">
        <v>1</v>
      </c>
    </row>
    <row r="2945" spans="1:14" ht="19" customHeight="1" x14ac:dyDescent="0.3">
      <c r="A2945">
        <v>2940</v>
      </c>
      <c r="B2945" s="1">
        <v>11</v>
      </c>
      <c r="C2945" s="1">
        <v>90</v>
      </c>
      <c r="D2945" s="1">
        <v>0.04</v>
      </c>
      <c r="E2945" s="1">
        <v>0.04</v>
      </c>
      <c r="F2945" s="1">
        <v>5</v>
      </c>
      <c r="G2945" s="1">
        <v>1</v>
      </c>
      <c r="H2945" s="1">
        <v>1.2915351939399999</v>
      </c>
      <c r="I2945" s="1">
        <v>1.38568456154</v>
      </c>
      <c r="J2945" s="1">
        <v>0.56827482080799996</v>
      </c>
      <c r="K2945" s="1">
        <v>19923.5347678</v>
      </c>
      <c r="L2945" s="1">
        <v>4229.0301821000003</v>
      </c>
      <c r="M2945" s="1" t="s">
        <v>198</v>
      </c>
      <c r="N2945" s="1" t="b">
        <v>1</v>
      </c>
    </row>
    <row r="2946" spans="1:14" ht="19" customHeight="1" x14ac:dyDescent="0.3">
      <c r="A2946">
        <v>2941</v>
      </c>
      <c r="B2946" s="1">
        <v>11</v>
      </c>
      <c r="C2946" s="1">
        <v>90</v>
      </c>
      <c r="D2946" s="1">
        <v>0.04</v>
      </c>
      <c r="E2946" s="1">
        <v>0.06</v>
      </c>
      <c r="F2946" s="1">
        <v>-5</v>
      </c>
      <c r="G2946" s="1">
        <v>0</v>
      </c>
      <c r="H2946" s="1">
        <v>1.33273100949</v>
      </c>
      <c r="I2946" s="1">
        <v>1.9093731387199999</v>
      </c>
      <c r="J2946" s="1">
        <v>0.69670473158400004</v>
      </c>
      <c r="K2946" s="1">
        <v>24127.333807999999</v>
      </c>
      <c r="L2946" s="1">
        <v>5184.7895243499997</v>
      </c>
      <c r="M2946" s="1" t="s">
        <v>198</v>
      </c>
      <c r="N2946" s="1" t="b">
        <v>1</v>
      </c>
    </row>
    <row r="2947" spans="1:14" ht="19" customHeight="1" x14ac:dyDescent="0.3">
      <c r="A2947">
        <v>2942</v>
      </c>
      <c r="B2947" s="1">
        <v>11</v>
      </c>
      <c r="C2947" s="1">
        <v>90</v>
      </c>
      <c r="D2947" s="1">
        <v>0.04</v>
      </c>
      <c r="E2947" s="1">
        <v>0.06</v>
      </c>
      <c r="F2947" s="1">
        <v>-5</v>
      </c>
      <c r="G2947" s="1">
        <v>1</v>
      </c>
      <c r="H2947" s="1">
        <v>1.33273100949</v>
      </c>
      <c r="I2947" s="1">
        <v>1.43202985404</v>
      </c>
      <c r="J2947" s="1">
        <v>0.57129787989900005</v>
      </c>
      <c r="K2947" s="1">
        <v>20575.004751299999</v>
      </c>
      <c r="L2947" s="1">
        <v>4251.52740997</v>
      </c>
      <c r="M2947" s="1" t="s">
        <v>198</v>
      </c>
      <c r="N2947" s="1" t="b">
        <v>1</v>
      </c>
    </row>
    <row r="2948" spans="1:14" ht="19" customHeight="1" x14ac:dyDescent="0.3">
      <c r="A2948">
        <v>2943</v>
      </c>
      <c r="B2948" s="1">
        <v>11</v>
      </c>
      <c r="C2948" s="1">
        <v>90</v>
      </c>
      <c r="D2948" s="1">
        <v>0.04</v>
      </c>
      <c r="E2948" s="1">
        <v>0.06</v>
      </c>
      <c r="F2948" s="1">
        <v>0</v>
      </c>
      <c r="G2948" s="1">
        <v>0</v>
      </c>
      <c r="H2948" s="1">
        <v>1.36305734915</v>
      </c>
      <c r="I2948" s="1">
        <v>1.95282098973</v>
      </c>
      <c r="J2948" s="1">
        <v>0.68920473158399997</v>
      </c>
      <c r="K2948" s="1">
        <v>24676.352113100002</v>
      </c>
      <c r="L2948" s="1">
        <v>5128.9754618500001</v>
      </c>
      <c r="M2948" s="1" t="s">
        <v>198</v>
      </c>
      <c r="N2948" s="1" t="b">
        <v>1</v>
      </c>
    </row>
    <row r="2949" spans="1:14" ht="19" customHeight="1" x14ac:dyDescent="0.3">
      <c r="A2949">
        <v>2944</v>
      </c>
      <c r="B2949" s="1">
        <v>11</v>
      </c>
      <c r="C2949" s="1">
        <v>90</v>
      </c>
      <c r="D2949" s="1">
        <v>0.04</v>
      </c>
      <c r="E2949" s="1">
        <v>0.06</v>
      </c>
      <c r="F2949" s="1">
        <v>0</v>
      </c>
      <c r="G2949" s="1">
        <v>1</v>
      </c>
      <c r="H2949" s="1">
        <v>1.36305734915</v>
      </c>
      <c r="I2949" s="1">
        <v>1.4646157422999999</v>
      </c>
      <c r="J2949" s="1">
        <v>0.56514787989899995</v>
      </c>
      <c r="K2949" s="1">
        <v>21043.189687400001</v>
      </c>
      <c r="L2949" s="1">
        <v>4205.7598787200004</v>
      </c>
      <c r="M2949" s="1" t="s">
        <v>198</v>
      </c>
      <c r="N2949" s="1" t="b">
        <v>1</v>
      </c>
    </row>
    <row r="2950" spans="1:14" ht="19" customHeight="1" x14ac:dyDescent="0.3">
      <c r="A2950">
        <v>2945</v>
      </c>
      <c r="B2950" s="1">
        <v>11</v>
      </c>
      <c r="C2950" s="1">
        <v>90</v>
      </c>
      <c r="D2950" s="1">
        <v>0.04</v>
      </c>
      <c r="E2950" s="1">
        <v>0.06</v>
      </c>
      <c r="F2950" s="1">
        <v>5</v>
      </c>
      <c r="G2950" s="1">
        <v>0</v>
      </c>
      <c r="H2950" s="1">
        <v>1.33273100949</v>
      </c>
      <c r="I2950" s="1">
        <v>1.9093731387199999</v>
      </c>
      <c r="J2950" s="1">
        <v>0.69670473158400004</v>
      </c>
      <c r="K2950" s="1">
        <v>24127.333807999999</v>
      </c>
      <c r="L2950" s="1">
        <v>5184.7895243499997</v>
      </c>
      <c r="M2950" s="1" t="s">
        <v>198</v>
      </c>
      <c r="N2950" s="1" t="b">
        <v>1</v>
      </c>
    </row>
    <row r="2951" spans="1:14" ht="19" customHeight="1" x14ac:dyDescent="0.3">
      <c r="A2951">
        <v>2946</v>
      </c>
      <c r="B2951" s="1">
        <v>11</v>
      </c>
      <c r="C2951" s="1">
        <v>90</v>
      </c>
      <c r="D2951" s="1">
        <v>0.04</v>
      </c>
      <c r="E2951" s="1">
        <v>0.06</v>
      </c>
      <c r="F2951" s="1">
        <v>5</v>
      </c>
      <c r="G2951" s="1">
        <v>1</v>
      </c>
      <c r="H2951" s="1">
        <v>1.33273100949</v>
      </c>
      <c r="I2951" s="1">
        <v>1.43202985404</v>
      </c>
      <c r="J2951" s="1">
        <v>0.57129787989900005</v>
      </c>
      <c r="K2951" s="1">
        <v>20575.004751299999</v>
      </c>
      <c r="L2951" s="1">
        <v>4251.52740997</v>
      </c>
      <c r="M2951" s="1" t="s">
        <v>198</v>
      </c>
      <c r="N2951" s="1" t="b">
        <v>1</v>
      </c>
    </row>
    <row r="2952" spans="1:14" ht="19" customHeight="1" x14ac:dyDescent="0.3">
      <c r="A2952">
        <v>2947</v>
      </c>
      <c r="B2952" s="1">
        <v>11</v>
      </c>
      <c r="C2952" s="1">
        <v>90</v>
      </c>
      <c r="D2952" s="1">
        <v>0.04</v>
      </c>
      <c r="E2952" s="1">
        <v>8.5000000000000006E-2</v>
      </c>
      <c r="F2952" s="1">
        <v>-5</v>
      </c>
      <c r="G2952" s="1">
        <v>0</v>
      </c>
      <c r="H2952" s="1">
        <v>1.2274146914999999</v>
      </c>
      <c r="I2952" s="1">
        <v>1.7513986617299999</v>
      </c>
      <c r="J2952" s="1">
        <v>0.68727986207299996</v>
      </c>
      <c r="K2952" s="1">
        <v>22167.956623099999</v>
      </c>
      <c r="L2952" s="1">
        <v>5114.6508235600004</v>
      </c>
      <c r="M2952" s="1" t="s">
        <v>198</v>
      </c>
      <c r="N2952" s="1" t="b">
        <v>1</v>
      </c>
    </row>
    <row r="2953" spans="1:14" ht="19" customHeight="1" x14ac:dyDescent="0.3">
      <c r="A2953">
        <v>2948</v>
      </c>
      <c r="B2953" s="1">
        <v>11</v>
      </c>
      <c r="C2953" s="1">
        <v>90</v>
      </c>
      <c r="D2953" s="1">
        <v>0.04</v>
      </c>
      <c r="E2953" s="1">
        <v>8.5000000000000006E-2</v>
      </c>
      <c r="F2953" s="1">
        <v>-5</v>
      </c>
      <c r="G2953" s="1">
        <v>1</v>
      </c>
      <c r="H2953" s="1">
        <v>1.2274146914999999</v>
      </c>
      <c r="I2953" s="1">
        <v>1.3135489963</v>
      </c>
      <c r="J2953" s="1">
        <v>0.56356948689999997</v>
      </c>
      <c r="K2953" s="1">
        <v>18909.534144099998</v>
      </c>
      <c r="L2953" s="1">
        <v>4194.0136753200004</v>
      </c>
      <c r="M2953" s="1" t="s">
        <v>198</v>
      </c>
      <c r="N2953" s="1" t="b">
        <v>1</v>
      </c>
    </row>
    <row r="2954" spans="1:14" ht="19" customHeight="1" x14ac:dyDescent="0.3">
      <c r="A2954">
        <v>2949</v>
      </c>
      <c r="B2954" s="1">
        <v>11</v>
      </c>
      <c r="C2954" s="1">
        <v>90</v>
      </c>
      <c r="D2954" s="1">
        <v>0.04</v>
      </c>
      <c r="E2954" s="1">
        <v>8.5000000000000006E-2</v>
      </c>
      <c r="F2954" s="1">
        <v>0</v>
      </c>
      <c r="G2954" s="1">
        <v>0</v>
      </c>
      <c r="H2954" s="1">
        <v>1.25534455474</v>
      </c>
      <c r="I2954" s="1">
        <v>1.79125179811</v>
      </c>
      <c r="J2954" s="1">
        <v>0.67977986207300001</v>
      </c>
      <c r="K2954" s="1">
        <v>22672.389233400001</v>
      </c>
      <c r="L2954" s="1">
        <v>5058.8367610599998</v>
      </c>
      <c r="M2954" s="1" t="s">
        <v>198</v>
      </c>
      <c r="N2954" s="1" t="b">
        <v>1</v>
      </c>
    </row>
    <row r="2955" spans="1:14" ht="19" customHeight="1" x14ac:dyDescent="0.3">
      <c r="A2955">
        <v>2950</v>
      </c>
      <c r="B2955" s="1">
        <v>11</v>
      </c>
      <c r="C2955" s="1">
        <v>90</v>
      </c>
      <c r="D2955" s="1">
        <v>0.04</v>
      </c>
      <c r="E2955" s="1">
        <v>8.5000000000000006E-2</v>
      </c>
      <c r="F2955" s="1">
        <v>0</v>
      </c>
      <c r="G2955" s="1">
        <v>1</v>
      </c>
      <c r="H2955" s="1">
        <v>1.25534455474</v>
      </c>
      <c r="I2955" s="1">
        <v>1.34343884859</v>
      </c>
      <c r="J2955" s="1">
        <v>0.55741948689999998</v>
      </c>
      <c r="K2955" s="1">
        <v>19339.821239600002</v>
      </c>
      <c r="L2955" s="1">
        <v>4148.2461440699999</v>
      </c>
      <c r="M2955" s="1" t="s">
        <v>198</v>
      </c>
      <c r="N2955" s="1" t="b">
        <v>1</v>
      </c>
    </row>
    <row r="2956" spans="1:14" ht="19" customHeight="1" x14ac:dyDescent="0.3">
      <c r="A2956">
        <v>2951</v>
      </c>
      <c r="B2956" s="1">
        <v>11</v>
      </c>
      <c r="C2956" s="1">
        <v>90</v>
      </c>
      <c r="D2956" s="1">
        <v>0.04</v>
      </c>
      <c r="E2956" s="1">
        <v>8.5000000000000006E-2</v>
      </c>
      <c r="F2956" s="1">
        <v>5</v>
      </c>
      <c r="G2956" s="1">
        <v>0</v>
      </c>
      <c r="H2956" s="1">
        <v>1.2274146914999999</v>
      </c>
      <c r="I2956" s="1">
        <v>1.7513986617299999</v>
      </c>
      <c r="J2956" s="1">
        <v>0.68727986207299996</v>
      </c>
      <c r="K2956" s="1">
        <v>22167.956623099999</v>
      </c>
      <c r="L2956" s="1">
        <v>5114.6508235600004</v>
      </c>
      <c r="M2956" s="1" t="s">
        <v>198</v>
      </c>
      <c r="N2956" s="1" t="b">
        <v>1</v>
      </c>
    </row>
    <row r="2957" spans="1:14" ht="19" customHeight="1" x14ac:dyDescent="0.3">
      <c r="A2957">
        <v>2952</v>
      </c>
      <c r="B2957" s="1">
        <v>11</v>
      </c>
      <c r="C2957" s="1">
        <v>90</v>
      </c>
      <c r="D2957" s="1">
        <v>0.04</v>
      </c>
      <c r="E2957" s="1">
        <v>8.5000000000000006E-2</v>
      </c>
      <c r="F2957" s="1">
        <v>5</v>
      </c>
      <c r="G2957" s="1">
        <v>1</v>
      </c>
      <c r="H2957" s="1">
        <v>1.2274146914999999</v>
      </c>
      <c r="I2957" s="1">
        <v>1.3135489963</v>
      </c>
      <c r="J2957" s="1">
        <v>0.56356948689999997</v>
      </c>
      <c r="K2957" s="1">
        <v>18909.534144099998</v>
      </c>
      <c r="L2957" s="1">
        <v>4194.0136753200004</v>
      </c>
      <c r="M2957" s="1" t="s">
        <v>198</v>
      </c>
      <c r="N2957" s="1" t="b">
        <v>1</v>
      </c>
    </row>
    <row r="2958" spans="1:14" ht="19" customHeight="1" x14ac:dyDescent="0.3">
      <c r="A2958">
        <v>2953</v>
      </c>
      <c r="B2958" s="1">
        <v>11</v>
      </c>
      <c r="C2958" s="1">
        <v>90</v>
      </c>
      <c r="D2958" s="1">
        <v>5.5E-2</v>
      </c>
      <c r="E2958" s="1">
        <v>0.04</v>
      </c>
      <c r="F2958" s="1">
        <v>-5</v>
      </c>
      <c r="G2958" s="1">
        <v>0</v>
      </c>
      <c r="H2958" s="1">
        <v>1.1516500918699999</v>
      </c>
      <c r="I2958" s="1">
        <v>1.63775176229</v>
      </c>
      <c r="J2958" s="1">
        <v>0.68049960732600001</v>
      </c>
      <c r="K2958" s="1">
        <v>20758.379923500001</v>
      </c>
      <c r="L2958" s="1">
        <v>5064.1930152699997</v>
      </c>
      <c r="M2958" s="1" t="s">
        <v>198</v>
      </c>
      <c r="N2958" s="1" t="b">
        <v>1</v>
      </c>
    </row>
    <row r="2959" spans="1:14" ht="19" customHeight="1" x14ac:dyDescent="0.3">
      <c r="A2959">
        <v>2954</v>
      </c>
      <c r="B2959" s="1">
        <v>11</v>
      </c>
      <c r="C2959" s="1">
        <v>90</v>
      </c>
      <c r="D2959" s="1">
        <v>5.5E-2</v>
      </c>
      <c r="E2959" s="1">
        <v>0.04</v>
      </c>
      <c r="F2959" s="1">
        <v>-5</v>
      </c>
      <c r="G2959" s="1">
        <v>1</v>
      </c>
      <c r="H2959" s="1">
        <v>1.1516500918699999</v>
      </c>
      <c r="I2959" s="1">
        <v>1.22831382172</v>
      </c>
      <c r="J2959" s="1">
        <v>0.55800967800699997</v>
      </c>
      <c r="K2959" s="1">
        <v>17711.393949500001</v>
      </c>
      <c r="L2959" s="1">
        <v>4152.6382725200001</v>
      </c>
      <c r="M2959" s="1" t="s">
        <v>198</v>
      </c>
      <c r="N2959" s="1" t="b">
        <v>1</v>
      </c>
    </row>
    <row r="2960" spans="1:14" ht="19" customHeight="1" x14ac:dyDescent="0.3">
      <c r="A2960">
        <v>2955</v>
      </c>
      <c r="B2960" s="1">
        <v>11</v>
      </c>
      <c r="C2960" s="1">
        <v>90</v>
      </c>
      <c r="D2960" s="1">
        <v>5.5E-2</v>
      </c>
      <c r="E2960" s="1">
        <v>0.04</v>
      </c>
      <c r="F2960" s="1">
        <v>0</v>
      </c>
      <c r="G2960" s="1">
        <v>0</v>
      </c>
      <c r="H2960" s="1">
        <v>1.1778559290599999</v>
      </c>
      <c r="I2960" s="1">
        <v>1.6750188596</v>
      </c>
      <c r="J2960" s="1">
        <v>0.67299960732599995</v>
      </c>
      <c r="K2960" s="1">
        <v>21230.737567799999</v>
      </c>
      <c r="L2960" s="1">
        <v>5008.3789527700001</v>
      </c>
      <c r="M2960" s="1" t="s">
        <v>198</v>
      </c>
      <c r="N2960" s="1" t="b">
        <v>1</v>
      </c>
    </row>
    <row r="2961" spans="1:14" ht="19" customHeight="1" x14ac:dyDescent="0.3">
      <c r="A2961">
        <v>2956</v>
      </c>
      <c r="B2961" s="1">
        <v>11</v>
      </c>
      <c r="C2961" s="1">
        <v>90</v>
      </c>
      <c r="D2961" s="1">
        <v>5.5E-2</v>
      </c>
      <c r="E2961" s="1">
        <v>0.04</v>
      </c>
      <c r="F2961" s="1">
        <v>0</v>
      </c>
      <c r="G2961" s="1">
        <v>1</v>
      </c>
      <c r="H2961" s="1">
        <v>1.1778559290599999</v>
      </c>
      <c r="I2961" s="1">
        <v>1.2562641447</v>
      </c>
      <c r="J2961" s="1">
        <v>0.55185967800699998</v>
      </c>
      <c r="K2961" s="1">
        <v>18114.417323900001</v>
      </c>
      <c r="L2961" s="1">
        <v>4106.8707412699996</v>
      </c>
      <c r="M2961" s="1" t="s">
        <v>198</v>
      </c>
      <c r="N2961" s="1" t="b">
        <v>1</v>
      </c>
    </row>
    <row r="2962" spans="1:14" ht="19" customHeight="1" x14ac:dyDescent="0.3">
      <c r="A2962">
        <v>2957</v>
      </c>
      <c r="B2962" s="1">
        <v>11</v>
      </c>
      <c r="C2962" s="1">
        <v>90</v>
      </c>
      <c r="D2962" s="1">
        <v>5.5E-2</v>
      </c>
      <c r="E2962" s="1">
        <v>0.04</v>
      </c>
      <c r="F2962" s="1">
        <v>5</v>
      </c>
      <c r="G2962" s="1">
        <v>0</v>
      </c>
      <c r="H2962" s="1">
        <v>1.1516500918699999</v>
      </c>
      <c r="I2962" s="1">
        <v>1.63775176229</v>
      </c>
      <c r="J2962" s="1">
        <v>0.68049960732600001</v>
      </c>
      <c r="K2962" s="1">
        <v>20758.379923500001</v>
      </c>
      <c r="L2962" s="1">
        <v>5064.1930152699997</v>
      </c>
      <c r="M2962" s="1" t="s">
        <v>198</v>
      </c>
      <c r="N2962" s="1" t="b">
        <v>1</v>
      </c>
    </row>
    <row r="2963" spans="1:14" ht="19" customHeight="1" x14ac:dyDescent="0.3">
      <c r="A2963">
        <v>2958</v>
      </c>
      <c r="B2963" s="1">
        <v>11</v>
      </c>
      <c r="C2963" s="1">
        <v>90</v>
      </c>
      <c r="D2963" s="1">
        <v>5.5E-2</v>
      </c>
      <c r="E2963" s="1">
        <v>0.04</v>
      </c>
      <c r="F2963" s="1">
        <v>5</v>
      </c>
      <c r="G2963" s="1">
        <v>1</v>
      </c>
      <c r="H2963" s="1">
        <v>1.1516500918699999</v>
      </c>
      <c r="I2963" s="1">
        <v>1.22831382172</v>
      </c>
      <c r="J2963" s="1">
        <v>0.55800967800699997</v>
      </c>
      <c r="K2963" s="1">
        <v>17711.393949500001</v>
      </c>
      <c r="L2963" s="1">
        <v>4152.6382725200001</v>
      </c>
      <c r="M2963" s="1" t="s">
        <v>198</v>
      </c>
      <c r="N2963" s="1" t="b">
        <v>1</v>
      </c>
    </row>
    <row r="2964" spans="1:14" ht="19" customHeight="1" x14ac:dyDescent="0.3">
      <c r="A2964">
        <v>2959</v>
      </c>
      <c r="B2964" s="1">
        <v>11</v>
      </c>
      <c r="C2964" s="1">
        <v>90</v>
      </c>
      <c r="D2964" s="1">
        <v>5.5E-2</v>
      </c>
      <c r="E2964" s="1">
        <v>0.06</v>
      </c>
      <c r="F2964" s="1">
        <v>-5</v>
      </c>
      <c r="G2964" s="1">
        <v>0</v>
      </c>
      <c r="H2964" s="1">
        <v>1.1792796915799999</v>
      </c>
      <c r="I2964" s="1">
        <v>1.67919616185</v>
      </c>
      <c r="J2964" s="1">
        <v>0.68297220964299998</v>
      </c>
      <c r="K2964" s="1">
        <v>21272.419991800001</v>
      </c>
      <c r="L2964" s="1">
        <v>5082.5938126399997</v>
      </c>
      <c r="M2964" s="1" t="s">
        <v>198</v>
      </c>
      <c r="N2964" s="1" t="b">
        <v>1</v>
      </c>
    </row>
    <row r="2965" spans="1:14" ht="19" customHeight="1" x14ac:dyDescent="0.3">
      <c r="A2965">
        <v>2960</v>
      </c>
      <c r="B2965" s="1">
        <v>11</v>
      </c>
      <c r="C2965" s="1">
        <v>90</v>
      </c>
      <c r="D2965" s="1">
        <v>5.5E-2</v>
      </c>
      <c r="E2965" s="1">
        <v>0.06</v>
      </c>
      <c r="F2965" s="1">
        <v>-5</v>
      </c>
      <c r="G2965" s="1">
        <v>1</v>
      </c>
      <c r="H2965" s="1">
        <v>1.1792796915799999</v>
      </c>
      <c r="I2965" s="1">
        <v>1.2593971213899999</v>
      </c>
      <c r="J2965" s="1">
        <v>0.56003721190699995</v>
      </c>
      <c r="K2965" s="1">
        <v>18148.3280075</v>
      </c>
      <c r="L2965" s="1">
        <v>4167.7269263600001</v>
      </c>
      <c r="M2965" s="1" t="s">
        <v>198</v>
      </c>
      <c r="N2965" s="1" t="b">
        <v>1</v>
      </c>
    </row>
    <row r="2966" spans="1:14" ht="19" customHeight="1" x14ac:dyDescent="0.3">
      <c r="A2966">
        <v>2961</v>
      </c>
      <c r="B2966" s="1">
        <v>11</v>
      </c>
      <c r="C2966" s="1">
        <v>90</v>
      </c>
      <c r="D2966" s="1">
        <v>5.5E-2</v>
      </c>
      <c r="E2966" s="1">
        <v>0.06</v>
      </c>
      <c r="F2966" s="1">
        <v>0</v>
      </c>
      <c r="G2966" s="1">
        <v>0</v>
      </c>
      <c r="H2966" s="1">
        <v>1.2061142412500001</v>
      </c>
      <c r="I2966" s="1">
        <v>1.71740632789</v>
      </c>
      <c r="J2966" s="1">
        <v>0.67547220964300003</v>
      </c>
      <c r="K2966" s="1">
        <v>21756.474635499999</v>
      </c>
      <c r="L2966" s="1">
        <v>5026.77975014</v>
      </c>
      <c r="M2966" s="1" t="s">
        <v>198</v>
      </c>
      <c r="N2966" s="1" t="b">
        <v>1</v>
      </c>
    </row>
    <row r="2967" spans="1:14" ht="19" customHeight="1" x14ac:dyDescent="0.3">
      <c r="A2967">
        <v>2962</v>
      </c>
      <c r="B2967" s="1">
        <v>11</v>
      </c>
      <c r="C2967" s="1">
        <v>90</v>
      </c>
      <c r="D2967" s="1">
        <v>5.5E-2</v>
      </c>
      <c r="E2967" s="1">
        <v>0.06</v>
      </c>
      <c r="F2967" s="1">
        <v>0</v>
      </c>
      <c r="G2967" s="1">
        <v>1</v>
      </c>
      <c r="H2967" s="1">
        <v>1.2061142412500001</v>
      </c>
      <c r="I2967" s="1">
        <v>1.28805474591</v>
      </c>
      <c r="J2967" s="1">
        <v>0.55388721190699997</v>
      </c>
      <c r="K2967" s="1">
        <v>18561.293831399998</v>
      </c>
      <c r="L2967" s="1">
        <v>4121.9593951099996</v>
      </c>
      <c r="M2967" s="1" t="s">
        <v>198</v>
      </c>
      <c r="N2967" s="1" t="b">
        <v>1</v>
      </c>
    </row>
    <row r="2968" spans="1:14" ht="19" customHeight="1" x14ac:dyDescent="0.3">
      <c r="A2968">
        <v>2963</v>
      </c>
      <c r="B2968" s="1">
        <v>11</v>
      </c>
      <c r="C2968" s="1">
        <v>90</v>
      </c>
      <c r="D2968" s="1">
        <v>5.5E-2</v>
      </c>
      <c r="E2968" s="1">
        <v>0.06</v>
      </c>
      <c r="F2968" s="1">
        <v>5</v>
      </c>
      <c r="G2968" s="1">
        <v>0</v>
      </c>
      <c r="H2968" s="1">
        <v>1.1792796915799999</v>
      </c>
      <c r="I2968" s="1">
        <v>1.67919616185</v>
      </c>
      <c r="J2968" s="1">
        <v>0.68297220964299998</v>
      </c>
      <c r="K2968" s="1">
        <v>21272.419991800001</v>
      </c>
      <c r="L2968" s="1">
        <v>5082.5938126399997</v>
      </c>
      <c r="M2968" s="1" t="s">
        <v>198</v>
      </c>
      <c r="N2968" s="1" t="b">
        <v>1</v>
      </c>
    </row>
    <row r="2969" spans="1:14" ht="19" customHeight="1" x14ac:dyDescent="0.3">
      <c r="A2969">
        <v>2964</v>
      </c>
      <c r="B2969" s="1">
        <v>11</v>
      </c>
      <c r="C2969" s="1">
        <v>90</v>
      </c>
      <c r="D2969" s="1">
        <v>5.5E-2</v>
      </c>
      <c r="E2969" s="1">
        <v>0.06</v>
      </c>
      <c r="F2969" s="1">
        <v>5</v>
      </c>
      <c r="G2969" s="1">
        <v>1</v>
      </c>
      <c r="H2969" s="1">
        <v>1.1792796915799999</v>
      </c>
      <c r="I2969" s="1">
        <v>1.2593971213899999</v>
      </c>
      <c r="J2969" s="1">
        <v>0.56003721190699995</v>
      </c>
      <c r="K2969" s="1">
        <v>18148.3280075</v>
      </c>
      <c r="L2969" s="1">
        <v>4167.7269263600001</v>
      </c>
      <c r="M2969" s="1" t="s">
        <v>198</v>
      </c>
      <c r="N2969" s="1" t="b">
        <v>1</v>
      </c>
    </row>
    <row r="2970" spans="1:14" ht="19" customHeight="1" x14ac:dyDescent="0.3">
      <c r="A2970">
        <v>2965</v>
      </c>
      <c r="B2970" s="1">
        <v>11</v>
      </c>
      <c r="C2970" s="1">
        <v>90</v>
      </c>
      <c r="D2970" s="1">
        <v>5.5E-2</v>
      </c>
      <c r="E2970" s="1">
        <v>8.5000000000000006E-2</v>
      </c>
      <c r="F2970" s="1">
        <v>-5</v>
      </c>
      <c r="G2970" s="1">
        <v>0</v>
      </c>
      <c r="H2970" s="1">
        <v>1.10864514607</v>
      </c>
      <c r="I2970" s="1">
        <v>1.5732443435900001</v>
      </c>
      <c r="J2970" s="1">
        <v>0.67665104890500005</v>
      </c>
      <c r="K2970" s="1">
        <v>19958.286345799999</v>
      </c>
      <c r="L2970" s="1">
        <v>5035.5525245700001</v>
      </c>
      <c r="M2970" s="1" t="s">
        <v>198</v>
      </c>
      <c r="N2970" s="1" t="b">
        <v>1</v>
      </c>
    </row>
    <row r="2971" spans="1:14" ht="19" customHeight="1" x14ac:dyDescent="0.3">
      <c r="A2971">
        <v>2966</v>
      </c>
      <c r="B2971" s="1">
        <v>11</v>
      </c>
      <c r="C2971" s="1">
        <v>90</v>
      </c>
      <c r="D2971" s="1">
        <v>5.5E-2</v>
      </c>
      <c r="E2971" s="1">
        <v>8.5000000000000006E-2</v>
      </c>
      <c r="F2971" s="1">
        <v>-5</v>
      </c>
      <c r="G2971" s="1">
        <v>1</v>
      </c>
      <c r="H2971" s="1">
        <v>1.10864514607</v>
      </c>
      <c r="I2971" s="1">
        <v>1.1799332576899999</v>
      </c>
      <c r="J2971" s="1">
        <v>0.554853860102</v>
      </c>
      <c r="K2971" s="1">
        <v>17031.314408499999</v>
      </c>
      <c r="L2971" s="1">
        <v>4129.1530701399997</v>
      </c>
      <c r="M2971" s="1" t="s">
        <v>198</v>
      </c>
      <c r="N2971" s="1" t="b">
        <v>1</v>
      </c>
    </row>
    <row r="2972" spans="1:14" ht="19" customHeight="1" x14ac:dyDescent="0.3">
      <c r="A2972">
        <v>2967</v>
      </c>
      <c r="B2972" s="1">
        <v>11</v>
      </c>
      <c r="C2972" s="1">
        <v>90</v>
      </c>
      <c r="D2972" s="1">
        <v>5.5E-2</v>
      </c>
      <c r="E2972" s="1">
        <v>8.5000000000000006E-2</v>
      </c>
      <c r="F2972" s="1">
        <v>0</v>
      </c>
      <c r="G2972" s="1">
        <v>0</v>
      </c>
      <c r="H2972" s="1">
        <v>1.1338724042399999</v>
      </c>
      <c r="I2972" s="1">
        <v>1.6090435723700001</v>
      </c>
      <c r="J2972" s="1">
        <v>0.66915104890499999</v>
      </c>
      <c r="K2972" s="1">
        <v>20412.4378335</v>
      </c>
      <c r="L2972" s="1">
        <v>4979.7384620700004</v>
      </c>
      <c r="M2972" s="1" t="s">
        <v>198</v>
      </c>
      <c r="N2972" s="1" t="b">
        <v>1</v>
      </c>
    </row>
    <row r="2973" spans="1:14" ht="19" customHeight="1" x14ac:dyDescent="0.3">
      <c r="A2973">
        <v>2968</v>
      </c>
      <c r="B2973" s="1">
        <v>11</v>
      </c>
      <c r="C2973" s="1">
        <v>90</v>
      </c>
      <c r="D2973" s="1">
        <v>5.5E-2</v>
      </c>
      <c r="E2973" s="1">
        <v>8.5000000000000006E-2</v>
      </c>
      <c r="F2973" s="1">
        <v>0</v>
      </c>
      <c r="G2973" s="1">
        <v>1</v>
      </c>
      <c r="H2973" s="1">
        <v>1.1338724042399999</v>
      </c>
      <c r="I2973" s="1">
        <v>1.20678267928</v>
      </c>
      <c r="J2973" s="1">
        <v>0.54870386010200001</v>
      </c>
      <c r="K2973" s="1">
        <v>17418.862549699999</v>
      </c>
      <c r="L2973" s="1">
        <v>4083.3855388900001</v>
      </c>
      <c r="M2973" s="1" t="s">
        <v>198</v>
      </c>
      <c r="N2973" s="1" t="b">
        <v>1</v>
      </c>
    </row>
    <row r="2974" spans="1:14" ht="19" customHeight="1" x14ac:dyDescent="0.3">
      <c r="A2974">
        <v>2969</v>
      </c>
      <c r="B2974" s="1">
        <v>11</v>
      </c>
      <c r="C2974" s="1">
        <v>90</v>
      </c>
      <c r="D2974" s="1">
        <v>5.5E-2</v>
      </c>
      <c r="E2974" s="1">
        <v>8.5000000000000006E-2</v>
      </c>
      <c r="F2974" s="1">
        <v>5</v>
      </c>
      <c r="G2974" s="1">
        <v>0</v>
      </c>
      <c r="H2974" s="1">
        <v>1.10864514607</v>
      </c>
      <c r="I2974" s="1">
        <v>1.5732443435900001</v>
      </c>
      <c r="J2974" s="1">
        <v>0.67665104890500005</v>
      </c>
      <c r="K2974" s="1">
        <v>19958.286345799999</v>
      </c>
      <c r="L2974" s="1">
        <v>5035.5525245700001</v>
      </c>
      <c r="M2974" s="1" t="s">
        <v>198</v>
      </c>
      <c r="N2974" s="1" t="b">
        <v>1</v>
      </c>
    </row>
    <row r="2975" spans="1:14" ht="19" customHeight="1" x14ac:dyDescent="0.3">
      <c r="A2975">
        <v>2970</v>
      </c>
      <c r="B2975" s="1">
        <v>11</v>
      </c>
      <c r="C2975" s="1">
        <v>90</v>
      </c>
      <c r="D2975" s="1">
        <v>5.5E-2</v>
      </c>
      <c r="E2975" s="1">
        <v>8.5000000000000006E-2</v>
      </c>
      <c r="F2975" s="1">
        <v>5</v>
      </c>
      <c r="G2975" s="1">
        <v>1</v>
      </c>
      <c r="H2975" s="1">
        <v>1.10864514607</v>
      </c>
      <c r="I2975" s="1">
        <v>1.1799332576899999</v>
      </c>
      <c r="J2975" s="1">
        <v>0.554853860102</v>
      </c>
      <c r="K2975" s="1">
        <v>17031.314408499999</v>
      </c>
      <c r="L2975" s="1">
        <v>4129.1530701399997</v>
      </c>
      <c r="M2975" s="1" t="s">
        <v>198</v>
      </c>
      <c r="N2975" s="1" t="b">
        <v>1</v>
      </c>
    </row>
    <row r="2976" spans="1:14" ht="19" customHeight="1" x14ac:dyDescent="0.3">
      <c r="A2976">
        <v>2971</v>
      </c>
      <c r="B2976" s="1">
        <v>12</v>
      </c>
      <c r="C2976" s="1">
        <v>0</v>
      </c>
      <c r="D2976" s="1">
        <v>2.5000000000000001E-2</v>
      </c>
      <c r="E2976" s="1">
        <v>0.04</v>
      </c>
      <c r="F2976" s="1">
        <v>-5</v>
      </c>
      <c r="G2976" s="1">
        <v>0</v>
      </c>
      <c r="H2976" s="1">
        <v>1.37566485557</v>
      </c>
      <c r="I2976" s="1">
        <v>2.0117155991</v>
      </c>
      <c r="J2976" s="1">
        <v>0.89591646460800001</v>
      </c>
      <c r="K2976" s="1">
        <v>0</v>
      </c>
      <c r="L2976" s="1">
        <v>0</v>
      </c>
      <c r="M2976" s="1" t="s">
        <v>198</v>
      </c>
      <c r="N2976" s="1" t="b">
        <v>1</v>
      </c>
    </row>
    <row r="2977" spans="1:14" ht="19" customHeight="1" x14ac:dyDescent="0.3">
      <c r="A2977">
        <v>2972</v>
      </c>
      <c r="B2977" s="1">
        <v>12</v>
      </c>
      <c r="C2977" s="1">
        <v>0</v>
      </c>
      <c r="D2977" s="1">
        <v>2.5000000000000001E-2</v>
      </c>
      <c r="E2977" s="1">
        <v>0.04</v>
      </c>
      <c r="F2977" s="1">
        <v>-5</v>
      </c>
      <c r="G2977" s="1">
        <v>1</v>
      </c>
      <c r="H2977" s="1">
        <v>1.37566485557</v>
      </c>
      <c r="I2977" s="1">
        <v>1.5087866993200001</v>
      </c>
      <c r="J2977" s="1">
        <v>0.73465150097800003</v>
      </c>
      <c r="K2977" s="1">
        <v>0</v>
      </c>
      <c r="L2977" s="1">
        <v>0</v>
      </c>
      <c r="M2977" s="1" t="s">
        <v>198</v>
      </c>
      <c r="N2977" s="1" t="b">
        <v>1</v>
      </c>
    </row>
    <row r="2978" spans="1:14" ht="19" customHeight="1" x14ac:dyDescent="0.3">
      <c r="A2978">
        <v>2973</v>
      </c>
      <c r="B2978" s="1">
        <v>12</v>
      </c>
      <c r="C2978" s="1">
        <v>0</v>
      </c>
      <c r="D2978" s="1">
        <v>2.5000000000000001E-2</v>
      </c>
      <c r="E2978" s="1">
        <v>0.04</v>
      </c>
      <c r="F2978" s="1">
        <v>0</v>
      </c>
      <c r="G2978" s="1">
        <v>0</v>
      </c>
      <c r="H2978" s="1">
        <v>1.4069681563500001</v>
      </c>
      <c r="I2978" s="1">
        <v>2.0574922562800002</v>
      </c>
      <c r="J2978" s="1">
        <v>0.88841646460799995</v>
      </c>
      <c r="K2978" s="1">
        <v>0</v>
      </c>
      <c r="L2978" s="1">
        <v>0</v>
      </c>
      <c r="M2978" s="1" t="s">
        <v>198</v>
      </c>
      <c r="N2978" s="1" t="b">
        <v>1</v>
      </c>
    </row>
    <row r="2979" spans="1:14" ht="19" customHeight="1" x14ac:dyDescent="0.3">
      <c r="A2979">
        <v>2974</v>
      </c>
      <c r="B2979" s="1">
        <v>12</v>
      </c>
      <c r="C2979" s="1">
        <v>0</v>
      </c>
      <c r="D2979" s="1">
        <v>2.5000000000000001E-2</v>
      </c>
      <c r="E2979" s="1">
        <v>0.04</v>
      </c>
      <c r="F2979" s="1">
        <v>0</v>
      </c>
      <c r="G2979" s="1">
        <v>1</v>
      </c>
      <c r="H2979" s="1">
        <v>1.4069681563500001</v>
      </c>
      <c r="I2979" s="1">
        <v>1.54311919221</v>
      </c>
      <c r="J2979" s="1">
        <v>0.72850150097800004</v>
      </c>
      <c r="K2979" s="1">
        <v>0</v>
      </c>
      <c r="L2979" s="1">
        <v>0</v>
      </c>
      <c r="M2979" s="1" t="s">
        <v>198</v>
      </c>
      <c r="N2979" s="1" t="b">
        <v>1</v>
      </c>
    </row>
    <row r="2980" spans="1:14" ht="19" customHeight="1" x14ac:dyDescent="0.3">
      <c r="A2980">
        <v>2975</v>
      </c>
      <c r="B2980" s="1">
        <v>12</v>
      </c>
      <c r="C2980" s="1">
        <v>0</v>
      </c>
      <c r="D2980" s="1">
        <v>2.5000000000000001E-2</v>
      </c>
      <c r="E2980" s="1">
        <v>0.04</v>
      </c>
      <c r="F2980" s="1">
        <v>5</v>
      </c>
      <c r="G2980" s="1">
        <v>0</v>
      </c>
      <c r="H2980" s="1">
        <v>1.37566485557</v>
      </c>
      <c r="I2980" s="1">
        <v>2.0117155991</v>
      </c>
      <c r="J2980" s="1">
        <v>0.89591646460800001</v>
      </c>
      <c r="K2980" s="1">
        <v>0</v>
      </c>
      <c r="L2980" s="1">
        <v>0</v>
      </c>
      <c r="M2980" s="1" t="s">
        <v>198</v>
      </c>
      <c r="N2980" s="1" t="b">
        <v>1</v>
      </c>
    </row>
    <row r="2981" spans="1:14" ht="19" customHeight="1" x14ac:dyDescent="0.3">
      <c r="A2981">
        <v>2976</v>
      </c>
      <c r="B2981" s="1">
        <v>12</v>
      </c>
      <c r="C2981" s="1">
        <v>0</v>
      </c>
      <c r="D2981" s="1">
        <v>2.5000000000000001E-2</v>
      </c>
      <c r="E2981" s="1">
        <v>0.04</v>
      </c>
      <c r="F2981" s="1">
        <v>5</v>
      </c>
      <c r="G2981" s="1">
        <v>1</v>
      </c>
      <c r="H2981" s="1">
        <v>1.37566485557</v>
      </c>
      <c r="I2981" s="1">
        <v>1.5087866993200001</v>
      </c>
      <c r="J2981" s="1">
        <v>0.73465150097800003</v>
      </c>
      <c r="K2981" s="1">
        <v>0</v>
      </c>
      <c r="L2981" s="1">
        <v>0</v>
      </c>
      <c r="M2981" s="1" t="s">
        <v>198</v>
      </c>
      <c r="N2981" s="1" t="b">
        <v>1</v>
      </c>
    </row>
    <row r="2982" spans="1:14" ht="19" customHeight="1" x14ac:dyDescent="0.3">
      <c r="A2982">
        <v>2977</v>
      </c>
      <c r="B2982" s="1">
        <v>12</v>
      </c>
      <c r="C2982" s="1">
        <v>0</v>
      </c>
      <c r="D2982" s="1">
        <v>2.5000000000000001E-2</v>
      </c>
      <c r="E2982" s="1">
        <v>0.06</v>
      </c>
      <c r="F2982" s="1">
        <v>-5</v>
      </c>
      <c r="G2982" s="1">
        <v>0</v>
      </c>
      <c r="H2982" s="1">
        <v>1.4162798692</v>
      </c>
      <c r="I2982" s="1">
        <v>2.0726381195500001</v>
      </c>
      <c r="J2982" s="1">
        <v>0.89955114545299997</v>
      </c>
      <c r="K2982" s="1">
        <v>0</v>
      </c>
      <c r="L2982" s="1">
        <v>0</v>
      </c>
      <c r="M2982" s="1" t="s">
        <v>198</v>
      </c>
      <c r="N2982" s="1" t="b">
        <v>1</v>
      </c>
    </row>
    <row r="2983" spans="1:14" ht="19" customHeight="1" x14ac:dyDescent="0.3">
      <c r="A2983">
        <v>2978</v>
      </c>
      <c r="B2983" s="1">
        <v>12</v>
      </c>
      <c r="C2983" s="1">
        <v>0</v>
      </c>
      <c r="D2983" s="1">
        <v>2.5000000000000001E-2</v>
      </c>
      <c r="E2983" s="1">
        <v>0.06</v>
      </c>
      <c r="F2983" s="1">
        <v>-5</v>
      </c>
      <c r="G2983" s="1">
        <v>1</v>
      </c>
      <c r="H2983" s="1">
        <v>1.4162798692</v>
      </c>
      <c r="I2983" s="1">
        <v>1.55447858966</v>
      </c>
      <c r="J2983" s="1">
        <v>0.73763193927100001</v>
      </c>
      <c r="K2983" s="1">
        <v>0</v>
      </c>
      <c r="L2983" s="1">
        <v>0</v>
      </c>
      <c r="M2983" s="1" t="s">
        <v>198</v>
      </c>
      <c r="N2983" s="1" t="b">
        <v>1</v>
      </c>
    </row>
    <row r="2984" spans="1:14" ht="19" customHeight="1" x14ac:dyDescent="0.3">
      <c r="A2984">
        <v>2979</v>
      </c>
      <c r="B2984" s="1">
        <v>12</v>
      </c>
      <c r="C2984" s="1">
        <v>0</v>
      </c>
      <c r="D2984" s="1">
        <v>2.5000000000000001E-2</v>
      </c>
      <c r="E2984" s="1">
        <v>0.06</v>
      </c>
      <c r="F2984" s="1">
        <v>0</v>
      </c>
      <c r="G2984" s="1">
        <v>0</v>
      </c>
      <c r="H2984" s="1">
        <v>1.4485073660100001</v>
      </c>
      <c r="I2984" s="1">
        <v>2.1198010707699999</v>
      </c>
      <c r="J2984" s="1">
        <v>0.89205114545300002</v>
      </c>
      <c r="K2984" s="1">
        <v>0</v>
      </c>
      <c r="L2984" s="1">
        <v>0</v>
      </c>
      <c r="M2984" s="1" t="s">
        <v>198</v>
      </c>
      <c r="N2984" s="1" t="b">
        <v>1</v>
      </c>
    </row>
    <row r="2985" spans="1:14" ht="19" customHeight="1" x14ac:dyDescent="0.3">
      <c r="A2985">
        <v>2980</v>
      </c>
      <c r="B2985" s="1">
        <v>12</v>
      </c>
      <c r="C2985" s="1">
        <v>0</v>
      </c>
      <c r="D2985" s="1">
        <v>2.5000000000000001E-2</v>
      </c>
      <c r="E2985" s="1">
        <v>0.06</v>
      </c>
      <c r="F2985" s="1">
        <v>0</v>
      </c>
      <c r="G2985" s="1">
        <v>1</v>
      </c>
      <c r="H2985" s="1">
        <v>1.4485073660100001</v>
      </c>
      <c r="I2985" s="1">
        <v>1.58985080308</v>
      </c>
      <c r="J2985" s="1">
        <v>0.73148193927100003</v>
      </c>
      <c r="K2985" s="1">
        <v>0</v>
      </c>
      <c r="L2985" s="1">
        <v>0</v>
      </c>
      <c r="M2985" s="1" t="s">
        <v>198</v>
      </c>
      <c r="N2985" s="1" t="b">
        <v>1</v>
      </c>
    </row>
    <row r="2986" spans="1:14" ht="19" customHeight="1" x14ac:dyDescent="0.3">
      <c r="A2986">
        <v>2981</v>
      </c>
      <c r="B2986" s="1">
        <v>12</v>
      </c>
      <c r="C2986" s="1">
        <v>0</v>
      </c>
      <c r="D2986" s="1">
        <v>2.5000000000000001E-2</v>
      </c>
      <c r="E2986" s="1">
        <v>0.06</v>
      </c>
      <c r="F2986" s="1">
        <v>5</v>
      </c>
      <c r="G2986" s="1">
        <v>0</v>
      </c>
      <c r="H2986" s="1">
        <v>1.4162798692</v>
      </c>
      <c r="I2986" s="1">
        <v>2.0726381195500001</v>
      </c>
      <c r="J2986" s="1">
        <v>0.89955114545299997</v>
      </c>
      <c r="K2986" s="1">
        <v>0</v>
      </c>
      <c r="L2986" s="1">
        <v>0</v>
      </c>
      <c r="M2986" s="1" t="s">
        <v>198</v>
      </c>
      <c r="N2986" s="1" t="b">
        <v>1</v>
      </c>
    </row>
    <row r="2987" spans="1:14" ht="19" customHeight="1" x14ac:dyDescent="0.3">
      <c r="A2987">
        <v>2982</v>
      </c>
      <c r="B2987" s="1">
        <v>12</v>
      </c>
      <c r="C2987" s="1">
        <v>0</v>
      </c>
      <c r="D2987" s="1">
        <v>2.5000000000000001E-2</v>
      </c>
      <c r="E2987" s="1">
        <v>0.06</v>
      </c>
      <c r="F2987" s="1">
        <v>5</v>
      </c>
      <c r="G2987" s="1">
        <v>1</v>
      </c>
      <c r="H2987" s="1">
        <v>1.4162798692</v>
      </c>
      <c r="I2987" s="1">
        <v>1.55447858966</v>
      </c>
      <c r="J2987" s="1">
        <v>0.73763193927100001</v>
      </c>
      <c r="K2987" s="1">
        <v>0</v>
      </c>
      <c r="L2987" s="1">
        <v>0</v>
      </c>
      <c r="M2987" s="1" t="s">
        <v>198</v>
      </c>
      <c r="N2987" s="1" t="b">
        <v>1</v>
      </c>
    </row>
    <row r="2988" spans="1:14" ht="19" customHeight="1" x14ac:dyDescent="0.3">
      <c r="A2988">
        <v>2983</v>
      </c>
      <c r="B2988" s="1">
        <v>12</v>
      </c>
      <c r="C2988" s="1">
        <v>0</v>
      </c>
      <c r="D2988" s="1">
        <v>2.5000000000000001E-2</v>
      </c>
      <c r="E2988" s="1">
        <v>8.5000000000000006E-2</v>
      </c>
      <c r="F2988" s="1">
        <v>-5</v>
      </c>
      <c r="G2988" s="1">
        <v>0</v>
      </c>
      <c r="H2988" s="1">
        <v>1.3124483602599999</v>
      </c>
      <c r="I2988" s="1">
        <v>1.91689085613</v>
      </c>
      <c r="J2988" s="1">
        <v>0.89025915308600001</v>
      </c>
      <c r="K2988" s="1">
        <v>0</v>
      </c>
      <c r="L2988" s="1">
        <v>0</v>
      </c>
      <c r="M2988" s="1" t="s">
        <v>198</v>
      </c>
      <c r="N2988" s="1" t="b">
        <v>1</v>
      </c>
    </row>
    <row r="2989" spans="1:14" ht="19" customHeight="1" x14ac:dyDescent="0.3">
      <c r="A2989">
        <v>2984</v>
      </c>
      <c r="B2989" s="1">
        <v>12</v>
      </c>
      <c r="C2989" s="1">
        <v>0</v>
      </c>
      <c r="D2989" s="1">
        <v>2.5000000000000001E-2</v>
      </c>
      <c r="E2989" s="1">
        <v>8.5000000000000006E-2</v>
      </c>
      <c r="F2989" s="1">
        <v>-5</v>
      </c>
      <c r="G2989" s="1">
        <v>1</v>
      </c>
      <c r="H2989" s="1">
        <v>1.3124483602599999</v>
      </c>
      <c r="I2989" s="1">
        <v>1.4376681420999999</v>
      </c>
      <c r="J2989" s="1">
        <v>0.73001250552999997</v>
      </c>
      <c r="K2989" s="1">
        <v>0</v>
      </c>
      <c r="L2989" s="1">
        <v>0</v>
      </c>
      <c r="M2989" s="1" t="s">
        <v>198</v>
      </c>
      <c r="N2989" s="1" t="b">
        <v>1</v>
      </c>
    </row>
    <row r="2990" spans="1:14" ht="19" customHeight="1" x14ac:dyDescent="0.3">
      <c r="A2990">
        <v>2985</v>
      </c>
      <c r="B2990" s="1">
        <v>12</v>
      </c>
      <c r="C2990" s="1">
        <v>0</v>
      </c>
      <c r="D2990" s="1">
        <v>2.5000000000000001E-2</v>
      </c>
      <c r="E2990" s="1">
        <v>8.5000000000000006E-2</v>
      </c>
      <c r="F2990" s="1">
        <v>0</v>
      </c>
      <c r="G2990" s="1">
        <v>0</v>
      </c>
      <c r="H2990" s="1">
        <v>1.34231316753</v>
      </c>
      <c r="I2990" s="1">
        <v>1.9605097730500001</v>
      </c>
      <c r="J2990" s="1">
        <v>0.88275915308599995</v>
      </c>
      <c r="K2990" s="1">
        <v>0</v>
      </c>
      <c r="L2990" s="1">
        <v>0</v>
      </c>
      <c r="M2990" s="1" t="s">
        <v>198</v>
      </c>
      <c r="N2990" s="1" t="b">
        <v>1</v>
      </c>
    </row>
    <row r="2991" spans="1:14" ht="19" customHeight="1" x14ac:dyDescent="0.3">
      <c r="A2991">
        <v>2986</v>
      </c>
      <c r="B2991" s="1">
        <v>12</v>
      </c>
      <c r="C2991" s="1">
        <v>0</v>
      </c>
      <c r="D2991" s="1">
        <v>2.5000000000000001E-2</v>
      </c>
      <c r="E2991" s="1">
        <v>8.5000000000000006E-2</v>
      </c>
      <c r="F2991" s="1">
        <v>0</v>
      </c>
      <c r="G2991" s="1">
        <v>1</v>
      </c>
      <c r="H2991" s="1">
        <v>1.34231316753</v>
      </c>
      <c r="I2991" s="1">
        <v>1.4703823297900001</v>
      </c>
      <c r="J2991" s="1">
        <v>0.72386250552999998</v>
      </c>
      <c r="K2991" s="1">
        <v>0</v>
      </c>
      <c r="L2991" s="1">
        <v>0</v>
      </c>
      <c r="M2991" s="1" t="s">
        <v>198</v>
      </c>
      <c r="N2991" s="1" t="b">
        <v>1</v>
      </c>
    </row>
    <row r="2992" spans="1:14" ht="19" customHeight="1" x14ac:dyDescent="0.3">
      <c r="A2992">
        <v>2987</v>
      </c>
      <c r="B2992" s="1">
        <v>12</v>
      </c>
      <c r="C2992" s="1">
        <v>0</v>
      </c>
      <c r="D2992" s="1">
        <v>2.5000000000000001E-2</v>
      </c>
      <c r="E2992" s="1">
        <v>8.5000000000000006E-2</v>
      </c>
      <c r="F2992" s="1">
        <v>5</v>
      </c>
      <c r="G2992" s="1">
        <v>0</v>
      </c>
      <c r="H2992" s="1">
        <v>1.3124483602599999</v>
      </c>
      <c r="I2992" s="1">
        <v>1.91689085613</v>
      </c>
      <c r="J2992" s="1">
        <v>0.89025915308600001</v>
      </c>
      <c r="K2992" s="1">
        <v>0</v>
      </c>
      <c r="L2992" s="1">
        <v>0</v>
      </c>
      <c r="M2992" s="1" t="s">
        <v>198</v>
      </c>
      <c r="N2992" s="1" t="b">
        <v>1</v>
      </c>
    </row>
    <row r="2993" spans="1:14" ht="19" customHeight="1" x14ac:dyDescent="0.3">
      <c r="A2993">
        <v>2988</v>
      </c>
      <c r="B2993" s="1">
        <v>12</v>
      </c>
      <c r="C2993" s="1">
        <v>0</v>
      </c>
      <c r="D2993" s="1">
        <v>2.5000000000000001E-2</v>
      </c>
      <c r="E2993" s="1">
        <v>8.5000000000000006E-2</v>
      </c>
      <c r="F2993" s="1">
        <v>5</v>
      </c>
      <c r="G2993" s="1">
        <v>1</v>
      </c>
      <c r="H2993" s="1">
        <v>1.3124483602599999</v>
      </c>
      <c r="I2993" s="1">
        <v>1.4376681420999999</v>
      </c>
      <c r="J2993" s="1">
        <v>0.73001250552999997</v>
      </c>
      <c r="K2993" s="1">
        <v>0</v>
      </c>
      <c r="L2993" s="1">
        <v>0</v>
      </c>
      <c r="M2993" s="1" t="s">
        <v>198</v>
      </c>
      <c r="N2993" s="1" t="b">
        <v>1</v>
      </c>
    </row>
    <row r="2994" spans="1:14" ht="19" customHeight="1" x14ac:dyDescent="0.3">
      <c r="A2994">
        <v>2989</v>
      </c>
      <c r="B2994" s="1">
        <v>12</v>
      </c>
      <c r="C2994" s="1">
        <v>0</v>
      </c>
      <c r="D2994" s="1">
        <v>0.04</v>
      </c>
      <c r="E2994" s="1">
        <v>0.04</v>
      </c>
      <c r="F2994" s="1">
        <v>-5</v>
      </c>
      <c r="G2994" s="1">
        <v>0</v>
      </c>
      <c r="H2994" s="1">
        <v>1.3816536690200001</v>
      </c>
      <c r="I2994" s="1">
        <v>2.0206988192800002</v>
      </c>
      <c r="J2994" s="1">
        <v>0.89645240990399999</v>
      </c>
      <c r="K2994" s="1">
        <v>0</v>
      </c>
      <c r="L2994" s="1">
        <v>0</v>
      </c>
      <c r="M2994" s="1" t="s">
        <v>198</v>
      </c>
      <c r="N2994" s="1" t="b">
        <v>1</v>
      </c>
    </row>
    <row r="2995" spans="1:14" ht="19" customHeight="1" x14ac:dyDescent="0.3">
      <c r="A2995">
        <v>2990</v>
      </c>
      <c r="B2995" s="1">
        <v>12</v>
      </c>
      <c r="C2995" s="1">
        <v>0</v>
      </c>
      <c r="D2995" s="1">
        <v>0.04</v>
      </c>
      <c r="E2995" s="1">
        <v>0.04</v>
      </c>
      <c r="F2995" s="1">
        <v>-5</v>
      </c>
      <c r="G2995" s="1">
        <v>1</v>
      </c>
      <c r="H2995" s="1">
        <v>1.3816536690200001</v>
      </c>
      <c r="I2995" s="1">
        <v>1.51552411446</v>
      </c>
      <c r="J2995" s="1">
        <v>0.73509097612200003</v>
      </c>
      <c r="K2995" s="1">
        <v>0</v>
      </c>
      <c r="L2995" s="1">
        <v>0</v>
      </c>
      <c r="M2995" s="1" t="s">
        <v>198</v>
      </c>
      <c r="N2995" s="1" t="b">
        <v>1</v>
      </c>
    </row>
    <row r="2996" spans="1:14" ht="19" customHeight="1" x14ac:dyDescent="0.3">
      <c r="A2996">
        <v>2991</v>
      </c>
      <c r="B2996" s="1">
        <v>12</v>
      </c>
      <c r="C2996" s="1">
        <v>0</v>
      </c>
      <c r="D2996" s="1">
        <v>0.04</v>
      </c>
      <c r="E2996" s="1">
        <v>0.04</v>
      </c>
      <c r="F2996" s="1">
        <v>0</v>
      </c>
      <c r="G2996" s="1">
        <v>0</v>
      </c>
      <c r="H2996" s="1">
        <v>1.41309324546</v>
      </c>
      <c r="I2996" s="1">
        <v>2.0666798899400001</v>
      </c>
      <c r="J2996" s="1">
        <v>0.88895240990400004</v>
      </c>
      <c r="K2996" s="1">
        <v>0</v>
      </c>
      <c r="L2996" s="1">
        <v>0</v>
      </c>
      <c r="M2996" s="1" t="s">
        <v>198</v>
      </c>
      <c r="N2996" s="1" t="b">
        <v>1</v>
      </c>
    </row>
    <row r="2997" spans="1:14" ht="19" customHeight="1" x14ac:dyDescent="0.3">
      <c r="A2997">
        <v>2992</v>
      </c>
      <c r="B2997" s="1">
        <v>12</v>
      </c>
      <c r="C2997" s="1">
        <v>0</v>
      </c>
      <c r="D2997" s="1">
        <v>0.04</v>
      </c>
      <c r="E2997" s="1">
        <v>0.04</v>
      </c>
      <c r="F2997" s="1">
        <v>0</v>
      </c>
      <c r="G2997" s="1">
        <v>1</v>
      </c>
      <c r="H2997" s="1">
        <v>1.41309324546</v>
      </c>
      <c r="I2997" s="1">
        <v>1.5500099174599999</v>
      </c>
      <c r="J2997" s="1">
        <v>0.72894097612200004</v>
      </c>
      <c r="K2997" s="1">
        <v>0</v>
      </c>
      <c r="L2997" s="1">
        <v>0</v>
      </c>
      <c r="M2997" s="1" t="s">
        <v>198</v>
      </c>
      <c r="N2997" s="1" t="b">
        <v>1</v>
      </c>
    </row>
    <row r="2998" spans="1:14" ht="19" customHeight="1" x14ac:dyDescent="0.3">
      <c r="A2998">
        <v>2993</v>
      </c>
      <c r="B2998" s="1">
        <v>12</v>
      </c>
      <c r="C2998" s="1">
        <v>0</v>
      </c>
      <c r="D2998" s="1">
        <v>0.04</v>
      </c>
      <c r="E2998" s="1">
        <v>0.04</v>
      </c>
      <c r="F2998" s="1">
        <v>5</v>
      </c>
      <c r="G2998" s="1">
        <v>0</v>
      </c>
      <c r="H2998" s="1">
        <v>1.3816536690200001</v>
      </c>
      <c r="I2998" s="1">
        <v>2.0206988192800002</v>
      </c>
      <c r="J2998" s="1">
        <v>0.89645240990399999</v>
      </c>
      <c r="K2998" s="1">
        <v>0</v>
      </c>
      <c r="L2998" s="1">
        <v>0</v>
      </c>
      <c r="M2998" s="1" t="s">
        <v>198</v>
      </c>
      <c r="N2998" s="1" t="b">
        <v>1</v>
      </c>
    </row>
    <row r="2999" spans="1:14" ht="19" customHeight="1" x14ac:dyDescent="0.3">
      <c r="A2999">
        <v>2994</v>
      </c>
      <c r="B2999" s="1">
        <v>12</v>
      </c>
      <c r="C2999" s="1">
        <v>0</v>
      </c>
      <c r="D2999" s="1">
        <v>0.04</v>
      </c>
      <c r="E2999" s="1">
        <v>0.04</v>
      </c>
      <c r="F2999" s="1">
        <v>5</v>
      </c>
      <c r="G2999" s="1">
        <v>1</v>
      </c>
      <c r="H2999" s="1">
        <v>1.3816536690200001</v>
      </c>
      <c r="I2999" s="1">
        <v>1.51552411446</v>
      </c>
      <c r="J2999" s="1">
        <v>0.73509097612200003</v>
      </c>
      <c r="K2999" s="1">
        <v>0</v>
      </c>
      <c r="L2999" s="1">
        <v>0</v>
      </c>
      <c r="M2999" s="1" t="s">
        <v>198</v>
      </c>
      <c r="N2999" s="1" t="b">
        <v>1</v>
      </c>
    </row>
    <row r="3000" spans="1:14" ht="19" customHeight="1" x14ac:dyDescent="0.3">
      <c r="A3000">
        <v>2995</v>
      </c>
      <c r="B3000" s="1">
        <v>12</v>
      </c>
      <c r="C3000" s="1">
        <v>0</v>
      </c>
      <c r="D3000" s="1">
        <v>0.04</v>
      </c>
      <c r="E3000" s="1">
        <v>0.06</v>
      </c>
      <c r="F3000" s="1">
        <v>-5</v>
      </c>
      <c r="G3000" s="1">
        <v>0</v>
      </c>
      <c r="H3000" s="1">
        <v>1.4228494845799999</v>
      </c>
      <c r="I3000" s="1">
        <v>2.0824925426099998</v>
      </c>
      <c r="J3000" s="1">
        <v>0.900139067332</v>
      </c>
      <c r="K3000" s="1">
        <v>0</v>
      </c>
      <c r="L3000" s="1">
        <v>0</v>
      </c>
      <c r="M3000" s="1" t="s">
        <v>198</v>
      </c>
      <c r="N3000" s="1" t="b">
        <v>1</v>
      </c>
    </row>
    <row r="3001" spans="1:14" ht="19" customHeight="1" x14ac:dyDescent="0.3">
      <c r="A3001">
        <v>2996</v>
      </c>
      <c r="B3001" s="1">
        <v>12</v>
      </c>
      <c r="C3001" s="1">
        <v>0</v>
      </c>
      <c r="D3001" s="1">
        <v>0.04</v>
      </c>
      <c r="E3001" s="1">
        <v>0.06</v>
      </c>
      <c r="F3001" s="1">
        <v>-5</v>
      </c>
      <c r="G3001" s="1">
        <v>1</v>
      </c>
      <c r="H3001" s="1">
        <v>1.4228494845799999</v>
      </c>
      <c r="I3001" s="1">
        <v>1.5618694069600001</v>
      </c>
      <c r="J3001" s="1">
        <v>0.73811403521200003</v>
      </c>
      <c r="K3001" s="1">
        <v>0</v>
      </c>
      <c r="L3001" s="1">
        <v>0</v>
      </c>
      <c r="M3001" s="1" t="s">
        <v>198</v>
      </c>
      <c r="N3001" s="1" t="b">
        <v>1</v>
      </c>
    </row>
    <row r="3002" spans="1:14" ht="19" customHeight="1" x14ac:dyDescent="0.3">
      <c r="A3002">
        <v>2997</v>
      </c>
      <c r="B3002" s="1">
        <v>12</v>
      </c>
      <c r="C3002" s="1">
        <v>0</v>
      </c>
      <c r="D3002" s="1">
        <v>0.04</v>
      </c>
      <c r="E3002" s="1">
        <v>0.06</v>
      </c>
      <c r="F3002" s="1">
        <v>0</v>
      </c>
      <c r="G3002" s="1">
        <v>0</v>
      </c>
      <c r="H3002" s="1">
        <v>1.45522647321</v>
      </c>
      <c r="I3002" s="1">
        <v>2.12987973156</v>
      </c>
      <c r="J3002" s="1">
        <v>0.89263906733200005</v>
      </c>
      <c r="K3002" s="1">
        <v>0</v>
      </c>
      <c r="L3002" s="1">
        <v>0</v>
      </c>
      <c r="M3002" s="1" t="s">
        <v>198</v>
      </c>
      <c r="N3002" s="1" t="b">
        <v>1</v>
      </c>
    </row>
    <row r="3003" spans="1:14" ht="19" customHeight="1" x14ac:dyDescent="0.3">
      <c r="A3003">
        <v>2998</v>
      </c>
      <c r="B3003" s="1">
        <v>12</v>
      </c>
      <c r="C3003" s="1">
        <v>0</v>
      </c>
      <c r="D3003" s="1">
        <v>0.04</v>
      </c>
      <c r="E3003" s="1">
        <v>0.06</v>
      </c>
      <c r="F3003" s="1">
        <v>0</v>
      </c>
      <c r="G3003" s="1">
        <v>1</v>
      </c>
      <c r="H3003" s="1">
        <v>1.45522647321</v>
      </c>
      <c r="I3003" s="1">
        <v>1.59740979867</v>
      </c>
      <c r="J3003" s="1">
        <v>0.73196403521200004</v>
      </c>
      <c r="K3003" s="1">
        <v>0</v>
      </c>
      <c r="L3003" s="1">
        <v>0</v>
      </c>
      <c r="M3003" s="1" t="s">
        <v>198</v>
      </c>
      <c r="N3003" s="1" t="b">
        <v>1</v>
      </c>
    </row>
    <row r="3004" spans="1:14" ht="19" customHeight="1" x14ac:dyDescent="0.3">
      <c r="A3004">
        <v>2999</v>
      </c>
      <c r="B3004" s="1">
        <v>12</v>
      </c>
      <c r="C3004" s="1">
        <v>0</v>
      </c>
      <c r="D3004" s="1">
        <v>0.04</v>
      </c>
      <c r="E3004" s="1">
        <v>0.06</v>
      </c>
      <c r="F3004" s="1">
        <v>5</v>
      </c>
      <c r="G3004" s="1">
        <v>0</v>
      </c>
      <c r="H3004" s="1">
        <v>1.4228494845799999</v>
      </c>
      <c r="I3004" s="1">
        <v>2.0824925426099998</v>
      </c>
      <c r="J3004" s="1">
        <v>0.900139067332</v>
      </c>
      <c r="K3004" s="1">
        <v>0</v>
      </c>
      <c r="L3004" s="1">
        <v>0</v>
      </c>
      <c r="M3004" s="1" t="s">
        <v>198</v>
      </c>
      <c r="N3004" s="1" t="b">
        <v>1</v>
      </c>
    </row>
    <row r="3005" spans="1:14" ht="19" customHeight="1" x14ac:dyDescent="0.3">
      <c r="A3005">
        <v>3000</v>
      </c>
      <c r="B3005" s="1">
        <v>12</v>
      </c>
      <c r="C3005" s="1">
        <v>0</v>
      </c>
      <c r="D3005" s="1">
        <v>0.04</v>
      </c>
      <c r="E3005" s="1">
        <v>0.06</v>
      </c>
      <c r="F3005" s="1">
        <v>5</v>
      </c>
      <c r="G3005" s="1">
        <v>1</v>
      </c>
      <c r="H3005" s="1">
        <v>1.4228494845799999</v>
      </c>
      <c r="I3005" s="1">
        <v>1.5618694069600001</v>
      </c>
      <c r="J3005" s="1">
        <v>0.73811403521200003</v>
      </c>
      <c r="K3005" s="1">
        <v>0</v>
      </c>
      <c r="L3005" s="1">
        <v>0</v>
      </c>
      <c r="M3005" s="1" t="s">
        <v>198</v>
      </c>
      <c r="N3005" s="1" t="b">
        <v>1</v>
      </c>
    </row>
    <row r="3006" spans="1:14" ht="19" customHeight="1" x14ac:dyDescent="0.3">
      <c r="A3006">
        <v>3001</v>
      </c>
      <c r="B3006" s="1">
        <v>12</v>
      </c>
      <c r="C3006" s="1">
        <v>0</v>
      </c>
      <c r="D3006" s="1">
        <v>0.04</v>
      </c>
      <c r="E3006" s="1">
        <v>8.5000000000000006E-2</v>
      </c>
      <c r="F3006" s="1">
        <v>-5</v>
      </c>
      <c r="G3006" s="1">
        <v>0</v>
      </c>
      <c r="H3006" s="1">
        <v>1.3175331665800001</v>
      </c>
      <c r="I3006" s="1">
        <v>1.9245180656200001</v>
      </c>
      <c r="J3006" s="1">
        <v>0.89071419782100003</v>
      </c>
      <c r="K3006" s="1">
        <v>0</v>
      </c>
      <c r="L3006" s="1">
        <v>0</v>
      </c>
      <c r="M3006" s="1" t="s">
        <v>198</v>
      </c>
      <c r="N3006" s="1" t="b">
        <v>1</v>
      </c>
    </row>
    <row r="3007" spans="1:14" ht="19" customHeight="1" x14ac:dyDescent="0.3">
      <c r="A3007">
        <v>3002</v>
      </c>
      <c r="B3007" s="1">
        <v>12</v>
      </c>
      <c r="C3007" s="1">
        <v>0</v>
      </c>
      <c r="D3007" s="1">
        <v>0.04</v>
      </c>
      <c r="E3007" s="1">
        <v>8.5000000000000006E-2</v>
      </c>
      <c r="F3007" s="1">
        <v>-5</v>
      </c>
      <c r="G3007" s="1">
        <v>1</v>
      </c>
      <c r="H3007" s="1">
        <v>1.3175331665800001</v>
      </c>
      <c r="I3007" s="1">
        <v>1.44338854921</v>
      </c>
      <c r="J3007" s="1">
        <v>0.73038564221400004</v>
      </c>
      <c r="K3007" s="1">
        <v>0</v>
      </c>
      <c r="L3007" s="1">
        <v>0</v>
      </c>
      <c r="M3007" s="1" t="s">
        <v>198</v>
      </c>
      <c r="N3007" s="1" t="b">
        <v>1</v>
      </c>
    </row>
    <row r="3008" spans="1:14" ht="19" customHeight="1" x14ac:dyDescent="0.3">
      <c r="A3008">
        <v>3003</v>
      </c>
      <c r="B3008" s="1">
        <v>12</v>
      </c>
      <c r="C3008" s="1">
        <v>0</v>
      </c>
      <c r="D3008" s="1">
        <v>0.04</v>
      </c>
      <c r="E3008" s="1">
        <v>8.5000000000000006E-2</v>
      </c>
      <c r="F3008" s="1">
        <v>0</v>
      </c>
      <c r="G3008" s="1">
        <v>0</v>
      </c>
      <c r="H3008" s="1">
        <v>1.3475136787999999</v>
      </c>
      <c r="I3008" s="1">
        <v>1.96831053995</v>
      </c>
      <c r="J3008" s="1">
        <v>0.88321419782099997</v>
      </c>
      <c r="K3008" s="1">
        <v>0</v>
      </c>
      <c r="L3008" s="1">
        <v>0</v>
      </c>
      <c r="M3008" s="1" t="s">
        <v>198</v>
      </c>
      <c r="N3008" s="1" t="b">
        <v>1</v>
      </c>
    </row>
    <row r="3009" spans="1:14" ht="19" customHeight="1" x14ac:dyDescent="0.3">
      <c r="A3009">
        <v>3004</v>
      </c>
      <c r="B3009" s="1">
        <v>12</v>
      </c>
      <c r="C3009" s="1">
        <v>0</v>
      </c>
      <c r="D3009" s="1">
        <v>0.04</v>
      </c>
      <c r="E3009" s="1">
        <v>8.5000000000000006E-2</v>
      </c>
      <c r="F3009" s="1">
        <v>0</v>
      </c>
      <c r="G3009" s="1">
        <v>1</v>
      </c>
      <c r="H3009" s="1">
        <v>1.3475136787999999</v>
      </c>
      <c r="I3009" s="1">
        <v>1.47623290496</v>
      </c>
      <c r="J3009" s="1">
        <v>0.72423564221400005</v>
      </c>
      <c r="K3009" s="1">
        <v>0</v>
      </c>
      <c r="L3009" s="1">
        <v>0</v>
      </c>
      <c r="M3009" s="1" t="s">
        <v>198</v>
      </c>
      <c r="N3009" s="1" t="b">
        <v>1</v>
      </c>
    </row>
    <row r="3010" spans="1:14" ht="19" customHeight="1" x14ac:dyDescent="0.3">
      <c r="A3010">
        <v>3005</v>
      </c>
      <c r="B3010" s="1">
        <v>12</v>
      </c>
      <c r="C3010" s="1">
        <v>0</v>
      </c>
      <c r="D3010" s="1">
        <v>0.04</v>
      </c>
      <c r="E3010" s="1">
        <v>8.5000000000000006E-2</v>
      </c>
      <c r="F3010" s="1">
        <v>5</v>
      </c>
      <c r="G3010" s="1">
        <v>0</v>
      </c>
      <c r="H3010" s="1">
        <v>1.3175331665800001</v>
      </c>
      <c r="I3010" s="1">
        <v>1.9245180656200001</v>
      </c>
      <c r="J3010" s="1">
        <v>0.89071419782100003</v>
      </c>
      <c r="K3010" s="1">
        <v>0</v>
      </c>
      <c r="L3010" s="1">
        <v>0</v>
      </c>
      <c r="M3010" s="1" t="s">
        <v>198</v>
      </c>
      <c r="N3010" s="1" t="b">
        <v>1</v>
      </c>
    </row>
    <row r="3011" spans="1:14" ht="19" customHeight="1" x14ac:dyDescent="0.3">
      <c r="A3011">
        <v>3006</v>
      </c>
      <c r="B3011" s="1">
        <v>12</v>
      </c>
      <c r="C3011" s="1">
        <v>0</v>
      </c>
      <c r="D3011" s="1">
        <v>0.04</v>
      </c>
      <c r="E3011" s="1">
        <v>8.5000000000000006E-2</v>
      </c>
      <c r="F3011" s="1">
        <v>5</v>
      </c>
      <c r="G3011" s="1">
        <v>1</v>
      </c>
      <c r="H3011" s="1">
        <v>1.3175331665800001</v>
      </c>
      <c r="I3011" s="1">
        <v>1.44338854921</v>
      </c>
      <c r="J3011" s="1">
        <v>0.73038564221400004</v>
      </c>
      <c r="K3011" s="1">
        <v>0</v>
      </c>
      <c r="L3011" s="1">
        <v>0</v>
      </c>
      <c r="M3011" s="1" t="s">
        <v>198</v>
      </c>
      <c r="N3011" s="1" t="b">
        <v>1</v>
      </c>
    </row>
    <row r="3012" spans="1:14" ht="19" customHeight="1" x14ac:dyDescent="0.3">
      <c r="A3012">
        <v>3007</v>
      </c>
      <c r="B3012" s="1">
        <v>12</v>
      </c>
      <c r="C3012" s="1">
        <v>0</v>
      </c>
      <c r="D3012" s="1">
        <v>5.5E-2</v>
      </c>
      <c r="E3012" s="1">
        <v>0.04</v>
      </c>
      <c r="F3012" s="1">
        <v>-5</v>
      </c>
      <c r="G3012" s="1">
        <v>0</v>
      </c>
      <c r="H3012" s="1">
        <v>1.24176856696</v>
      </c>
      <c r="I3012" s="1">
        <v>1.8108711661800001</v>
      </c>
      <c r="J3012" s="1">
        <v>0.88393394307499995</v>
      </c>
      <c r="K3012" s="1">
        <v>0</v>
      </c>
      <c r="L3012" s="1">
        <v>0</v>
      </c>
      <c r="M3012" s="1" t="s">
        <v>198</v>
      </c>
      <c r="N3012" s="1" t="b">
        <v>1</v>
      </c>
    </row>
    <row r="3013" spans="1:14" ht="19" customHeight="1" x14ac:dyDescent="0.3">
      <c r="A3013">
        <v>3008</v>
      </c>
      <c r="B3013" s="1">
        <v>12</v>
      </c>
      <c r="C3013" s="1">
        <v>0</v>
      </c>
      <c r="D3013" s="1">
        <v>5.5E-2</v>
      </c>
      <c r="E3013" s="1">
        <v>0.04</v>
      </c>
      <c r="F3013" s="1">
        <v>-5</v>
      </c>
      <c r="G3013" s="1">
        <v>1</v>
      </c>
      <c r="H3013" s="1">
        <v>1.24176856696</v>
      </c>
      <c r="I3013" s="1">
        <v>1.3581533746400001</v>
      </c>
      <c r="J3013" s="1">
        <v>0.72482583332100003</v>
      </c>
      <c r="K3013" s="1">
        <v>0</v>
      </c>
      <c r="L3013" s="1">
        <v>0</v>
      </c>
      <c r="M3013" s="1" t="s">
        <v>198</v>
      </c>
      <c r="N3013" s="1" t="b">
        <v>1</v>
      </c>
    </row>
    <row r="3014" spans="1:14" ht="19" customHeight="1" x14ac:dyDescent="0.3">
      <c r="A3014">
        <v>3009</v>
      </c>
      <c r="B3014" s="1">
        <v>12</v>
      </c>
      <c r="C3014" s="1">
        <v>0</v>
      </c>
      <c r="D3014" s="1">
        <v>5.5E-2</v>
      </c>
      <c r="E3014" s="1">
        <v>0.04</v>
      </c>
      <c r="F3014" s="1">
        <v>0</v>
      </c>
      <c r="G3014" s="1">
        <v>0</v>
      </c>
      <c r="H3014" s="1">
        <v>1.2700250531199999</v>
      </c>
      <c r="I3014" s="1">
        <v>1.85207760143</v>
      </c>
      <c r="J3014" s="1">
        <v>0.876433943075</v>
      </c>
      <c r="K3014" s="1">
        <v>0</v>
      </c>
      <c r="L3014" s="1">
        <v>0</v>
      </c>
      <c r="M3014" s="1" t="s">
        <v>198</v>
      </c>
      <c r="N3014" s="1" t="b">
        <v>1</v>
      </c>
    </row>
    <row r="3015" spans="1:14" ht="19" customHeight="1" x14ac:dyDescent="0.3">
      <c r="A3015">
        <v>3010</v>
      </c>
      <c r="B3015" s="1">
        <v>12</v>
      </c>
      <c r="C3015" s="1">
        <v>0</v>
      </c>
      <c r="D3015" s="1">
        <v>5.5E-2</v>
      </c>
      <c r="E3015" s="1">
        <v>0.04</v>
      </c>
      <c r="F3015" s="1">
        <v>0</v>
      </c>
      <c r="G3015" s="1">
        <v>1</v>
      </c>
      <c r="H3015" s="1">
        <v>1.2700250531199999</v>
      </c>
      <c r="I3015" s="1">
        <v>1.3890582010800001</v>
      </c>
      <c r="J3015" s="1">
        <v>0.71867583332100005</v>
      </c>
      <c r="K3015" s="1">
        <v>0</v>
      </c>
      <c r="L3015" s="1">
        <v>0</v>
      </c>
      <c r="M3015" s="1" t="s">
        <v>198</v>
      </c>
      <c r="N3015" s="1" t="b">
        <v>1</v>
      </c>
    </row>
    <row r="3016" spans="1:14" ht="19" customHeight="1" x14ac:dyDescent="0.3">
      <c r="A3016">
        <v>3011</v>
      </c>
      <c r="B3016" s="1">
        <v>12</v>
      </c>
      <c r="C3016" s="1">
        <v>0</v>
      </c>
      <c r="D3016" s="1">
        <v>5.5E-2</v>
      </c>
      <c r="E3016" s="1">
        <v>0.04</v>
      </c>
      <c r="F3016" s="1">
        <v>5</v>
      </c>
      <c r="G3016" s="1">
        <v>0</v>
      </c>
      <c r="H3016" s="1">
        <v>1.24176856696</v>
      </c>
      <c r="I3016" s="1">
        <v>1.8108711661800001</v>
      </c>
      <c r="J3016" s="1">
        <v>0.88393394307499995</v>
      </c>
      <c r="K3016" s="1">
        <v>0</v>
      </c>
      <c r="L3016" s="1">
        <v>0</v>
      </c>
      <c r="M3016" s="1" t="s">
        <v>198</v>
      </c>
      <c r="N3016" s="1" t="b">
        <v>1</v>
      </c>
    </row>
    <row r="3017" spans="1:14" ht="19" customHeight="1" x14ac:dyDescent="0.3">
      <c r="A3017">
        <v>3012</v>
      </c>
      <c r="B3017" s="1">
        <v>12</v>
      </c>
      <c r="C3017" s="1">
        <v>0</v>
      </c>
      <c r="D3017" s="1">
        <v>5.5E-2</v>
      </c>
      <c r="E3017" s="1">
        <v>0.04</v>
      </c>
      <c r="F3017" s="1">
        <v>5</v>
      </c>
      <c r="G3017" s="1">
        <v>1</v>
      </c>
      <c r="H3017" s="1">
        <v>1.24176856696</v>
      </c>
      <c r="I3017" s="1">
        <v>1.3581533746400001</v>
      </c>
      <c r="J3017" s="1">
        <v>0.72482583332100003</v>
      </c>
      <c r="K3017" s="1">
        <v>0</v>
      </c>
      <c r="L3017" s="1">
        <v>0</v>
      </c>
      <c r="M3017" s="1" t="s">
        <v>198</v>
      </c>
      <c r="N3017" s="1" t="b">
        <v>1</v>
      </c>
    </row>
    <row r="3018" spans="1:14" ht="19" customHeight="1" x14ac:dyDescent="0.3">
      <c r="A3018">
        <v>3013</v>
      </c>
      <c r="B3018" s="1">
        <v>12</v>
      </c>
      <c r="C3018" s="1">
        <v>0</v>
      </c>
      <c r="D3018" s="1">
        <v>5.5E-2</v>
      </c>
      <c r="E3018" s="1">
        <v>0.06</v>
      </c>
      <c r="F3018" s="1">
        <v>-5</v>
      </c>
      <c r="G3018" s="1">
        <v>0</v>
      </c>
      <c r="H3018" s="1">
        <v>1.26939816666</v>
      </c>
      <c r="I3018" s="1">
        <v>1.8523155657399999</v>
      </c>
      <c r="J3018" s="1">
        <v>0.88640654539200003</v>
      </c>
      <c r="K3018" s="1">
        <v>0</v>
      </c>
      <c r="L3018" s="1">
        <v>0</v>
      </c>
      <c r="M3018" s="1" t="s">
        <v>198</v>
      </c>
      <c r="N3018" s="1" t="b">
        <v>1</v>
      </c>
    </row>
    <row r="3019" spans="1:14" ht="19" customHeight="1" x14ac:dyDescent="0.3">
      <c r="A3019">
        <v>3014</v>
      </c>
      <c r="B3019" s="1">
        <v>12</v>
      </c>
      <c r="C3019" s="1">
        <v>0</v>
      </c>
      <c r="D3019" s="1">
        <v>5.5E-2</v>
      </c>
      <c r="E3019" s="1">
        <v>0.06</v>
      </c>
      <c r="F3019" s="1">
        <v>-5</v>
      </c>
      <c r="G3019" s="1">
        <v>1</v>
      </c>
      <c r="H3019" s="1">
        <v>1.26939816666</v>
      </c>
      <c r="I3019" s="1">
        <v>1.38923667431</v>
      </c>
      <c r="J3019" s="1">
        <v>0.72685336722100002</v>
      </c>
      <c r="K3019" s="1">
        <v>0</v>
      </c>
      <c r="L3019" s="1">
        <v>0</v>
      </c>
      <c r="M3019" s="1" t="s">
        <v>198</v>
      </c>
      <c r="N3019" s="1" t="b">
        <v>1</v>
      </c>
    </row>
    <row r="3020" spans="1:14" ht="19" customHeight="1" x14ac:dyDescent="0.3">
      <c r="A3020">
        <v>3015</v>
      </c>
      <c r="B3020" s="1">
        <v>12</v>
      </c>
      <c r="C3020" s="1">
        <v>0</v>
      </c>
      <c r="D3020" s="1">
        <v>5.5E-2</v>
      </c>
      <c r="E3020" s="1">
        <v>0.06</v>
      </c>
      <c r="F3020" s="1">
        <v>0</v>
      </c>
      <c r="G3020" s="1">
        <v>0</v>
      </c>
      <c r="H3020" s="1">
        <v>1.2982833653100001</v>
      </c>
      <c r="I3020" s="1">
        <v>1.8944650697200001</v>
      </c>
      <c r="J3020" s="1">
        <v>0.87890654539199997</v>
      </c>
      <c r="K3020" s="1">
        <v>0</v>
      </c>
      <c r="L3020" s="1">
        <v>0</v>
      </c>
      <c r="M3020" s="1" t="s">
        <v>198</v>
      </c>
      <c r="N3020" s="1" t="b">
        <v>1</v>
      </c>
    </row>
    <row r="3021" spans="1:14" ht="19" customHeight="1" x14ac:dyDescent="0.3">
      <c r="A3021">
        <v>3016</v>
      </c>
      <c r="B3021" s="1">
        <v>12</v>
      </c>
      <c r="C3021" s="1">
        <v>0</v>
      </c>
      <c r="D3021" s="1">
        <v>5.5E-2</v>
      </c>
      <c r="E3021" s="1">
        <v>0.06</v>
      </c>
      <c r="F3021" s="1">
        <v>0</v>
      </c>
      <c r="G3021" s="1">
        <v>1</v>
      </c>
      <c r="H3021" s="1">
        <v>1.2982833653100001</v>
      </c>
      <c r="I3021" s="1">
        <v>1.4208488022900001</v>
      </c>
      <c r="J3021" s="1">
        <v>0.72070336722100004</v>
      </c>
      <c r="K3021" s="1">
        <v>0</v>
      </c>
      <c r="L3021" s="1">
        <v>0</v>
      </c>
      <c r="M3021" s="1" t="s">
        <v>198</v>
      </c>
      <c r="N3021" s="1" t="b">
        <v>1</v>
      </c>
    </row>
    <row r="3022" spans="1:14" ht="19" customHeight="1" x14ac:dyDescent="0.3">
      <c r="A3022">
        <v>3017</v>
      </c>
      <c r="B3022" s="1">
        <v>12</v>
      </c>
      <c r="C3022" s="1">
        <v>0</v>
      </c>
      <c r="D3022" s="1">
        <v>5.5E-2</v>
      </c>
      <c r="E3022" s="1">
        <v>0.06</v>
      </c>
      <c r="F3022" s="1">
        <v>5</v>
      </c>
      <c r="G3022" s="1">
        <v>0</v>
      </c>
      <c r="H3022" s="1">
        <v>1.26939816666</v>
      </c>
      <c r="I3022" s="1">
        <v>1.8523155657399999</v>
      </c>
      <c r="J3022" s="1">
        <v>0.88640654539200003</v>
      </c>
      <c r="K3022" s="1">
        <v>0</v>
      </c>
      <c r="L3022" s="1">
        <v>0</v>
      </c>
      <c r="M3022" s="1" t="s">
        <v>198</v>
      </c>
      <c r="N3022" s="1" t="b">
        <v>1</v>
      </c>
    </row>
    <row r="3023" spans="1:14" ht="19" customHeight="1" x14ac:dyDescent="0.3">
      <c r="A3023">
        <v>3018</v>
      </c>
      <c r="B3023" s="1">
        <v>12</v>
      </c>
      <c r="C3023" s="1">
        <v>0</v>
      </c>
      <c r="D3023" s="1">
        <v>5.5E-2</v>
      </c>
      <c r="E3023" s="1">
        <v>0.06</v>
      </c>
      <c r="F3023" s="1">
        <v>5</v>
      </c>
      <c r="G3023" s="1">
        <v>1</v>
      </c>
      <c r="H3023" s="1">
        <v>1.26939816666</v>
      </c>
      <c r="I3023" s="1">
        <v>1.38923667431</v>
      </c>
      <c r="J3023" s="1">
        <v>0.72685336722100002</v>
      </c>
      <c r="K3023" s="1">
        <v>0</v>
      </c>
      <c r="L3023" s="1">
        <v>0</v>
      </c>
      <c r="M3023" s="1" t="s">
        <v>198</v>
      </c>
      <c r="N3023" s="1" t="b">
        <v>1</v>
      </c>
    </row>
    <row r="3024" spans="1:14" ht="19" customHeight="1" x14ac:dyDescent="0.3">
      <c r="A3024">
        <v>3019</v>
      </c>
      <c r="B3024" s="1">
        <v>12</v>
      </c>
      <c r="C3024" s="1">
        <v>0</v>
      </c>
      <c r="D3024" s="1">
        <v>5.5E-2</v>
      </c>
      <c r="E3024" s="1">
        <v>8.5000000000000006E-2</v>
      </c>
      <c r="F3024" s="1">
        <v>-5</v>
      </c>
      <c r="G3024" s="1">
        <v>0</v>
      </c>
      <c r="H3024" s="1">
        <v>1.1987636211499999</v>
      </c>
      <c r="I3024" s="1">
        <v>1.74636374747</v>
      </c>
      <c r="J3024" s="1">
        <v>0.88008538465300001</v>
      </c>
      <c r="K3024" s="1">
        <v>0</v>
      </c>
      <c r="L3024" s="1">
        <v>0</v>
      </c>
      <c r="M3024" s="1" t="s">
        <v>198</v>
      </c>
      <c r="N3024" s="1" t="b">
        <v>1</v>
      </c>
    </row>
    <row r="3025" spans="1:14" ht="19" customHeight="1" x14ac:dyDescent="0.3">
      <c r="A3025">
        <v>3020</v>
      </c>
      <c r="B3025" s="1">
        <v>12</v>
      </c>
      <c r="C3025" s="1">
        <v>0</v>
      </c>
      <c r="D3025" s="1">
        <v>5.5E-2</v>
      </c>
      <c r="E3025" s="1">
        <v>8.5000000000000006E-2</v>
      </c>
      <c r="F3025" s="1">
        <v>-5</v>
      </c>
      <c r="G3025" s="1">
        <v>1</v>
      </c>
      <c r="H3025" s="1">
        <v>1.1987636211499999</v>
      </c>
      <c r="I3025" s="1">
        <v>1.3097728105999999</v>
      </c>
      <c r="J3025" s="1">
        <v>0.72167001541599995</v>
      </c>
      <c r="K3025" s="1">
        <v>0</v>
      </c>
      <c r="L3025" s="1">
        <v>0</v>
      </c>
      <c r="M3025" s="1" t="s">
        <v>198</v>
      </c>
      <c r="N3025" s="1" t="b">
        <v>1</v>
      </c>
    </row>
    <row r="3026" spans="1:14" ht="19" customHeight="1" x14ac:dyDescent="0.3">
      <c r="A3026">
        <v>3021</v>
      </c>
      <c r="B3026" s="1">
        <v>12</v>
      </c>
      <c r="C3026" s="1">
        <v>0</v>
      </c>
      <c r="D3026" s="1">
        <v>5.5E-2</v>
      </c>
      <c r="E3026" s="1">
        <v>8.5000000000000006E-2</v>
      </c>
      <c r="F3026" s="1">
        <v>0</v>
      </c>
      <c r="G3026" s="1">
        <v>0</v>
      </c>
      <c r="H3026" s="1">
        <v>1.2260415283099999</v>
      </c>
      <c r="I3026" s="1">
        <v>1.7861023142100001</v>
      </c>
      <c r="J3026" s="1">
        <v>0.87258538465299995</v>
      </c>
      <c r="K3026" s="1">
        <v>0</v>
      </c>
      <c r="L3026" s="1">
        <v>0</v>
      </c>
      <c r="M3026" s="1" t="s">
        <v>198</v>
      </c>
      <c r="N3026" s="1" t="b">
        <v>1</v>
      </c>
    </row>
    <row r="3027" spans="1:14" ht="19" customHeight="1" x14ac:dyDescent="0.3">
      <c r="A3027">
        <v>3022</v>
      </c>
      <c r="B3027" s="1">
        <v>12</v>
      </c>
      <c r="C3027" s="1">
        <v>0</v>
      </c>
      <c r="D3027" s="1">
        <v>5.5E-2</v>
      </c>
      <c r="E3027" s="1">
        <v>8.5000000000000006E-2</v>
      </c>
      <c r="F3027" s="1">
        <v>0</v>
      </c>
      <c r="G3027" s="1">
        <v>1</v>
      </c>
      <c r="H3027" s="1">
        <v>1.2260415283099999</v>
      </c>
      <c r="I3027" s="1">
        <v>1.3395767356599999</v>
      </c>
      <c r="J3027" s="1">
        <v>0.71552001541599997</v>
      </c>
      <c r="K3027" s="1">
        <v>0</v>
      </c>
      <c r="L3027" s="1">
        <v>0</v>
      </c>
      <c r="M3027" s="1" t="s">
        <v>198</v>
      </c>
      <c r="N3027" s="1" t="b">
        <v>1</v>
      </c>
    </row>
    <row r="3028" spans="1:14" ht="19" customHeight="1" x14ac:dyDescent="0.3">
      <c r="A3028">
        <v>3023</v>
      </c>
      <c r="B3028" s="1">
        <v>12</v>
      </c>
      <c r="C3028" s="1">
        <v>0</v>
      </c>
      <c r="D3028" s="1">
        <v>5.5E-2</v>
      </c>
      <c r="E3028" s="1">
        <v>8.5000000000000006E-2</v>
      </c>
      <c r="F3028" s="1">
        <v>5</v>
      </c>
      <c r="G3028" s="1">
        <v>0</v>
      </c>
      <c r="H3028" s="1">
        <v>1.1987636211499999</v>
      </c>
      <c r="I3028" s="1">
        <v>1.74636374747</v>
      </c>
      <c r="J3028" s="1">
        <v>0.88008538465300001</v>
      </c>
      <c r="K3028" s="1">
        <v>0</v>
      </c>
      <c r="L3028" s="1">
        <v>0</v>
      </c>
      <c r="M3028" s="1" t="s">
        <v>198</v>
      </c>
      <c r="N3028" s="1" t="b">
        <v>1</v>
      </c>
    </row>
    <row r="3029" spans="1:14" ht="19" customHeight="1" x14ac:dyDescent="0.3">
      <c r="A3029">
        <v>3024</v>
      </c>
      <c r="B3029" s="1">
        <v>12</v>
      </c>
      <c r="C3029" s="1">
        <v>0</v>
      </c>
      <c r="D3029" s="1">
        <v>5.5E-2</v>
      </c>
      <c r="E3029" s="1">
        <v>8.5000000000000006E-2</v>
      </c>
      <c r="F3029" s="1">
        <v>5</v>
      </c>
      <c r="G3029" s="1">
        <v>1</v>
      </c>
      <c r="H3029" s="1">
        <v>1.1987636211499999</v>
      </c>
      <c r="I3029" s="1">
        <v>1.3097728105999999</v>
      </c>
      <c r="J3029" s="1">
        <v>0.72167001541599995</v>
      </c>
      <c r="K3029" s="1">
        <v>0</v>
      </c>
      <c r="L3029" s="1">
        <v>0</v>
      </c>
      <c r="M3029" s="1" t="s">
        <v>198</v>
      </c>
      <c r="N3029" s="1" t="b">
        <v>1</v>
      </c>
    </row>
    <row r="3030" spans="1:14" ht="19" customHeight="1" x14ac:dyDescent="0.3">
      <c r="A3030">
        <v>3025</v>
      </c>
      <c r="B3030" s="1">
        <v>12</v>
      </c>
      <c r="C3030" s="1">
        <v>30</v>
      </c>
      <c r="D3030" s="1">
        <v>2.5000000000000001E-2</v>
      </c>
      <c r="E3030" s="1">
        <v>0.04</v>
      </c>
      <c r="F3030" s="1">
        <v>-5</v>
      </c>
      <c r="G3030" s="1">
        <v>0</v>
      </c>
      <c r="H3030" s="1">
        <v>1.37566485557</v>
      </c>
      <c r="I3030" s="1">
        <v>2.0117155991</v>
      </c>
      <c r="J3030" s="1">
        <v>0.89591646460800001</v>
      </c>
      <c r="K3030" s="1">
        <v>2800.9402134500001</v>
      </c>
      <c r="L3030" s="1">
        <v>740.81092667200005</v>
      </c>
      <c r="M3030" s="1" t="s">
        <v>198</v>
      </c>
      <c r="N3030" s="1" t="b">
        <v>1</v>
      </c>
    </row>
    <row r="3031" spans="1:14" ht="19" customHeight="1" x14ac:dyDescent="0.3">
      <c r="A3031">
        <v>3026</v>
      </c>
      <c r="B3031" s="1">
        <v>12</v>
      </c>
      <c r="C3031" s="1">
        <v>30</v>
      </c>
      <c r="D3031" s="1">
        <v>2.5000000000000001E-2</v>
      </c>
      <c r="E3031" s="1">
        <v>0.04</v>
      </c>
      <c r="F3031" s="1">
        <v>-5</v>
      </c>
      <c r="G3031" s="1">
        <v>1</v>
      </c>
      <c r="H3031" s="1">
        <v>1.37566485557</v>
      </c>
      <c r="I3031" s="1">
        <v>1.5087866993200001</v>
      </c>
      <c r="J3031" s="1">
        <v>0.73465150097800003</v>
      </c>
      <c r="K3031" s="1">
        <v>2385.0808794499999</v>
      </c>
      <c r="L3031" s="1">
        <v>607.46495987100002</v>
      </c>
      <c r="M3031" s="1" t="s">
        <v>198</v>
      </c>
      <c r="N3031" s="1" t="b">
        <v>1</v>
      </c>
    </row>
    <row r="3032" spans="1:14" ht="19" customHeight="1" x14ac:dyDescent="0.3">
      <c r="A3032">
        <v>3027</v>
      </c>
      <c r="B3032" s="1">
        <v>12</v>
      </c>
      <c r="C3032" s="1">
        <v>30</v>
      </c>
      <c r="D3032" s="1">
        <v>2.5000000000000001E-2</v>
      </c>
      <c r="E3032" s="1">
        <v>0.04</v>
      </c>
      <c r="F3032" s="1">
        <v>0</v>
      </c>
      <c r="G3032" s="1">
        <v>0</v>
      </c>
      <c r="H3032" s="1">
        <v>1.4069681563500001</v>
      </c>
      <c r="I3032" s="1">
        <v>2.0574922562800002</v>
      </c>
      <c r="J3032" s="1">
        <v>0.88841646460799995</v>
      </c>
      <c r="K3032" s="1">
        <v>2864.6757037000002</v>
      </c>
      <c r="L3032" s="1">
        <v>734.60936417200003</v>
      </c>
      <c r="M3032" s="1" t="s">
        <v>198</v>
      </c>
      <c r="N3032" s="1" t="b">
        <v>1</v>
      </c>
    </row>
    <row r="3033" spans="1:14" ht="19" customHeight="1" x14ac:dyDescent="0.3">
      <c r="A3033">
        <v>3028</v>
      </c>
      <c r="B3033" s="1">
        <v>12</v>
      </c>
      <c r="C3033" s="1">
        <v>30</v>
      </c>
      <c r="D3033" s="1">
        <v>2.5000000000000001E-2</v>
      </c>
      <c r="E3033" s="1">
        <v>0.04</v>
      </c>
      <c r="F3033" s="1">
        <v>0</v>
      </c>
      <c r="G3033" s="1">
        <v>1</v>
      </c>
      <c r="H3033" s="1">
        <v>1.4069681563500001</v>
      </c>
      <c r="I3033" s="1">
        <v>1.54311919221</v>
      </c>
      <c r="J3033" s="1">
        <v>0.72850150097800004</v>
      </c>
      <c r="K3033" s="1">
        <v>2439.3534763500002</v>
      </c>
      <c r="L3033" s="1">
        <v>602.37967862100004</v>
      </c>
      <c r="M3033" s="1" t="s">
        <v>198</v>
      </c>
      <c r="N3033" s="1" t="b">
        <v>1</v>
      </c>
    </row>
    <row r="3034" spans="1:14" ht="19" customHeight="1" x14ac:dyDescent="0.3">
      <c r="A3034">
        <v>3029</v>
      </c>
      <c r="B3034" s="1">
        <v>12</v>
      </c>
      <c r="C3034" s="1">
        <v>30</v>
      </c>
      <c r="D3034" s="1">
        <v>2.5000000000000001E-2</v>
      </c>
      <c r="E3034" s="1">
        <v>0.04</v>
      </c>
      <c r="F3034" s="1">
        <v>5</v>
      </c>
      <c r="G3034" s="1">
        <v>0</v>
      </c>
      <c r="H3034" s="1">
        <v>1.37566485557</v>
      </c>
      <c r="I3034" s="1">
        <v>2.0117155991</v>
      </c>
      <c r="J3034" s="1">
        <v>0.89591646460800001</v>
      </c>
      <c r="K3034" s="1">
        <v>2800.9402134500001</v>
      </c>
      <c r="L3034" s="1">
        <v>740.81092667200005</v>
      </c>
      <c r="M3034" s="1" t="s">
        <v>198</v>
      </c>
      <c r="N3034" s="1" t="b">
        <v>1</v>
      </c>
    </row>
    <row r="3035" spans="1:14" ht="19" customHeight="1" x14ac:dyDescent="0.3">
      <c r="A3035">
        <v>3030</v>
      </c>
      <c r="B3035" s="1">
        <v>12</v>
      </c>
      <c r="C3035" s="1">
        <v>30</v>
      </c>
      <c r="D3035" s="1">
        <v>2.5000000000000001E-2</v>
      </c>
      <c r="E3035" s="1">
        <v>0.04</v>
      </c>
      <c r="F3035" s="1">
        <v>5</v>
      </c>
      <c r="G3035" s="1">
        <v>1</v>
      </c>
      <c r="H3035" s="1">
        <v>1.37566485557</v>
      </c>
      <c r="I3035" s="1">
        <v>1.5087866993200001</v>
      </c>
      <c r="J3035" s="1">
        <v>0.73465150097800003</v>
      </c>
      <c r="K3035" s="1">
        <v>2385.0808794499999</v>
      </c>
      <c r="L3035" s="1">
        <v>607.46495987100002</v>
      </c>
      <c r="M3035" s="1" t="s">
        <v>198</v>
      </c>
      <c r="N3035" s="1" t="b">
        <v>1</v>
      </c>
    </row>
    <row r="3036" spans="1:14" ht="19" customHeight="1" x14ac:dyDescent="0.3">
      <c r="A3036">
        <v>3031</v>
      </c>
      <c r="B3036" s="1">
        <v>12</v>
      </c>
      <c r="C3036" s="1">
        <v>30</v>
      </c>
      <c r="D3036" s="1">
        <v>2.5000000000000001E-2</v>
      </c>
      <c r="E3036" s="1">
        <v>0.06</v>
      </c>
      <c r="F3036" s="1">
        <v>-5</v>
      </c>
      <c r="G3036" s="1">
        <v>0</v>
      </c>
      <c r="H3036" s="1">
        <v>1.4162798692</v>
      </c>
      <c r="I3036" s="1">
        <v>2.0726381195500001</v>
      </c>
      <c r="J3036" s="1">
        <v>0.89955114545299997</v>
      </c>
      <c r="K3036" s="1">
        <v>2884.89906195</v>
      </c>
      <c r="L3036" s="1">
        <v>743.81635339599995</v>
      </c>
      <c r="M3036" s="1" t="s">
        <v>198</v>
      </c>
      <c r="N3036" s="1" t="b">
        <v>1</v>
      </c>
    </row>
    <row r="3037" spans="1:14" ht="19" customHeight="1" x14ac:dyDescent="0.3">
      <c r="A3037">
        <v>3032</v>
      </c>
      <c r="B3037" s="1">
        <v>12</v>
      </c>
      <c r="C3037" s="1">
        <v>30</v>
      </c>
      <c r="D3037" s="1">
        <v>2.5000000000000001E-2</v>
      </c>
      <c r="E3037" s="1">
        <v>0.06</v>
      </c>
      <c r="F3037" s="1">
        <v>-5</v>
      </c>
      <c r="G3037" s="1">
        <v>1</v>
      </c>
      <c r="H3037" s="1">
        <v>1.4162798692</v>
      </c>
      <c r="I3037" s="1">
        <v>1.55447858966</v>
      </c>
      <c r="J3037" s="1">
        <v>0.73763193927100001</v>
      </c>
      <c r="K3037" s="1">
        <v>2456.4459006699999</v>
      </c>
      <c r="L3037" s="1">
        <v>609.92940978499996</v>
      </c>
      <c r="M3037" s="1" t="s">
        <v>198</v>
      </c>
      <c r="N3037" s="1" t="b">
        <v>1</v>
      </c>
    </row>
    <row r="3038" spans="1:14" ht="19" customHeight="1" x14ac:dyDescent="0.3">
      <c r="A3038">
        <v>3033</v>
      </c>
      <c r="B3038" s="1">
        <v>12</v>
      </c>
      <c r="C3038" s="1">
        <v>30</v>
      </c>
      <c r="D3038" s="1">
        <v>2.5000000000000001E-2</v>
      </c>
      <c r="E3038" s="1">
        <v>0.06</v>
      </c>
      <c r="F3038" s="1">
        <v>0</v>
      </c>
      <c r="G3038" s="1">
        <v>0</v>
      </c>
      <c r="H3038" s="1">
        <v>1.4485073660100001</v>
      </c>
      <c r="I3038" s="1">
        <v>2.1198010707699999</v>
      </c>
      <c r="J3038" s="1">
        <v>0.89205114545300002</v>
      </c>
      <c r="K3038" s="1">
        <v>2950.54503866</v>
      </c>
      <c r="L3038" s="1">
        <v>737.61479089600004</v>
      </c>
      <c r="M3038" s="1" t="s">
        <v>198</v>
      </c>
      <c r="N3038" s="1" t="b">
        <v>1</v>
      </c>
    </row>
    <row r="3039" spans="1:14" ht="19" customHeight="1" x14ac:dyDescent="0.3">
      <c r="A3039">
        <v>3034</v>
      </c>
      <c r="B3039" s="1">
        <v>12</v>
      </c>
      <c r="C3039" s="1">
        <v>30</v>
      </c>
      <c r="D3039" s="1">
        <v>2.5000000000000001E-2</v>
      </c>
      <c r="E3039" s="1">
        <v>0.06</v>
      </c>
      <c r="F3039" s="1">
        <v>0</v>
      </c>
      <c r="G3039" s="1">
        <v>1</v>
      </c>
      <c r="H3039" s="1">
        <v>1.4485073660100001</v>
      </c>
      <c r="I3039" s="1">
        <v>1.58985080308</v>
      </c>
      <c r="J3039" s="1">
        <v>0.73148193927100003</v>
      </c>
      <c r="K3039" s="1">
        <v>2512.3424110699998</v>
      </c>
      <c r="L3039" s="1">
        <v>604.84412853499998</v>
      </c>
      <c r="M3039" s="1" t="s">
        <v>198</v>
      </c>
      <c r="N3039" s="1" t="b">
        <v>1</v>
      </c>
    </row>
    <row r="3040" spans="1:14" ht="19" customHeight="1" x14ac:dyDescent="0.3">
      <c r="A3040">
        <v>3035</v>
      </c>
      <c r="B3040" s="1">
        <v>12</v>
      </c>
      <c r="C3040" s="1">
        <v>30</v>
      </c>
      <c r="D3040" s="1">
        <v>2.5000000000000001E-2</v>
      </c>
      <c r="E3040" s="1">
        <v>0.06</v>
      </c>
      <c r="F3040" s="1">
        <v>5</v>
      </c>
      <c r="G3040" s="1">
        <v>0</v>
      </c>
      <c r="H3040" s="1">
        <v>1.4162798692</v>
      </c>
      <c r="I3040" s="1">
        <v>2.0726381195500001</v>
      </c>
      <c r="J3040" s="1">
        <v>0.89955114545299997</v>
      </c>
      <c r="K3040" s="1">
        <v>2884.89906195</v>
      </c>
      <c r="L3040" s="1">
        <v>743.81635339599995</v>
      </c>
      <c r="M3040" s="1" t="s">
        <v>198</v>
      </c>
      <c r="N3040" s="1" t="b">
        <v>1</v>
      </c>
    </row>
    <row r="3041" spans="1:14" ht="19" customHeight="1" x14ac:dyDescent="0.3">
      <c r="A3041">
        <v>3036</v>
      </c>
      <c r="B3041" s="1">
        <v>12</v>
      </c>
      <c r="C3041" s="1">
        <v>30</v>
      </c>
      <c r="D3041" s="1">
        <v>2.5000000000000001E-2</v>
      </c>
      <c r="E3041" s="1">
        <v>0.06</v>
      </c>
      <c r="F3041" s="1">
        <v>5</v>
      </c>
      <c r="G3041" s="1">
        <v>1</v>
      </c>
      <c r="H3041" s="1">
        <v>1.4162798692</v>
      </c>
      <c r="I3041" s="1">
        <v>1.55447858966</v>
      </c>
      <c r="J3041" s="1">
        <v>0.73763193927100001</v>
      </c>
      <c r="K3041" s="1">
        <v>2456.4459006699999</v>
      </c>
      <c r="L3041" s="1">
        <v>609.92940978499996</v>
      </c>
      <c r="M3041" s="1" t="s">
        <v>198</v>
      </c>
      <c r="N3041" s="1" t="b">
        <v>1</v>
      </c>
    </row>
    <row r="3042" spans="1:14" ht="19" customHeight="1" x14ac:dyDescent="0.3">
      <c r="A3042">
        <v>3037</v>
      </c>
      <c r="B3042" s="1">
        <v>12</v>
      </c>
      <c r="C3042" s="1">
        <v>30</v>
      </c>
      <c r="D3042" s="1">
        <v>2.5000000000000001E-2</v>
      </c>
      <c r="E3042" s="1">
        <v>8.5000000000000006E-2</v>
      </c>
      <c r="F3042" s="1">
        <v>-5</v>
      </c>
      <c r="G3042" s="1">
        <v>0</v>
      </c>
      <c r="H3042" s="1">
        <v>1.3124483602599999</v>
      </c>
      <c r="I3042" s="1">
        <v>1.91689085613</v>
      </c>
      <c r="J3042" s="1">
        <v>0.89025915308600001</v>
      </c>
      <c r="K3042" s="1">
        <v>2670.2598645500002</v>
      </c>
      <c r="L3042" s="1">
        <v>736.13303720800002</v>
      </c>
      <c r="M3042" s="1" t="s">
        <v>198</v>
      </c>
      <c r="N3042" s="1" t="b">
        <v>1</v>
      </c>
    </row>
    <row r="3043" spans="1:14" ht="19" customHeight="1" x14ac:dyDescent="0.3">
      <c r="A3043">
        <v>3038</v>
      </c>
      <c r="B3043" s="1">
        <v>12</v>
      </c>
      <c r="C3043" s="1">
        <v>30</v>
      </c>
      <c r="D3043" s="1">
        <v>2.5000000000000001E-2</v>
      </c>
      <c r="E3043" s="1">
        <v>8.5000000000000006E-2</v>
      </c>
      <c r="F3043" s="1">
        <v>-5</v>
      </c>
      <c r="G3043" s="1">
        <v>1</v>
      </c>
      <c r="H3043" s="1">
        <v>1.3124483602599999</v>
      </c>
      <c r="I3043" s="1">
        <v>1.4376681420999999</v>
      </c>
      <c r="J3043" s="1">
        <v>0.73001250552999997</v>
      </c>
      <c r="K3043" s="1">
        <v>2274.0025828900002</v>
      </c>
      <c r="L3043" s="1">
        <v>603.62909050999997</v>
      </c>
      <c r="M3043" s="1" t="s">
        <v>198</v>
      </c>
      <c r="N3043" s="1" t="b">
        <v>1</v>
      </c>
    </row>
    <row r="3044" spans="1:14" ht="19" customHeight="1" x14ac:dyDescent="0.3">
      <c r="A3044">
        <v>3039</v>
      </c>
      <c r="B3044" s="1">
        <v>12</v>
      </c>
      <c r="C3044" s="1">
        <v>30</v>
      </c>
      <c r="D3044" s="1">
        <v>2.5000000000000001E-2</v>
      </c>
      <c r="E3044" s="1">
        <v>8.5000000000000006E-2</v>
      </c>
      <c r="F3044" s="1">
        <v>0</v>
      </c>
      <c r="G3044" s="1">
        <v>0</v>
      </c>
      <c r="H3044" s="1">
        <v>1.34231316753</v>
      </c>
      <c r="I3044" s="1">
        <v>1.9605097730500001</v>
      </c>
      <c r="J3044" s="1">
        <v>0.88275915308599995</v>
      </c>
      <c r="K3044" s="1">
        <v>2731.0217189999998</v>
      </c>
      <c r="L3044" s="1">
        <v>729.931474708</v>
      </c>
      <c r="M3044" s="1" t="s">
        <v>198</v>
      </c>
      <c r="N3044" s="1" t="b">
        <v>1</v>
      </c>
    </row>
    <row r="3045" spans="1:14" ht="19" customHeight="1" x14ac:dyDescent="0.3">
      <c r="A3045">
        <v>3040</v>
      </c>
      <c r="B3045" s="1">
        <v>12</v>
      </c>
      <c r="C3045" s="1">
        <v>30</v>
      </c>
      <c r="D3045" s="1">
        <v>2.5000000000000001E-2</v>
      </c>
      <c r="E3045" s="1">
        <v>8.5000000000000006E-2</v>
      </c>
      <c r="F3045" s="1">
        <v>0</v>
      </c>
      <c r="G3045" s="1">
        <v>1</v>
      </c>
      <c r="H3045" s="1">
        <v>1.34231316753</v>
      </c>
      <c r="I3045" s="1">
        <v>1.4703823297900001</v>
      </c>
      <c r="J3045" s="1">
        <v>0.72386250552999998</v>
      </c>
      <c r="K3045" s="1">
        <v>2325.74758935</v>
      </c>
      <c r="L3045" s="1">
        <v>598.54380925999999</v>
      </c>
      <c r="M3045" s="1" t="s">
        <v>198</v>
      </c>
      <c r="N3045" s="1" t="b">
        <v>1</v>
      </c>
    </row>
    <row r="3046" spans="1:14" ht="19" customHeight="1" x14ac:dyDescent="0.3">
      <c r="A3046">
        <v>3041</v>
      </c>
      <c r="B3046" s="1">
        <v>12</v>
      </c>
      <c r="C3046" s="1">
        <v>30</v>
      </c>
      <c r="D3046" s="1">
        <v>2.5000000000000001E-2</v>
      </c>
      <c r="E3046" s="1">
        <v>8.5000000000000006E-2</v>
      </c>
      <c r="F3046" s="1">
        <v>5</v>
      </c>
      <c r="G3046" s="1">
        <v>0</v>
      </c>
      <c r="H3046" s="1">
        <v>1.3124483602599999</v>
      </c>
      <c r="I3046" s="1">
        <v>1.91689085613</v>
      </c>
      <c r="J3046" s="1">
        <v>0.89025915308600001</v>
      </c>
      <c r="K3046" s="1">
        <v>2670.2598645500002</v>
      </c>
      <c r="L3046" s="1">
        <v>736.13303720800002</v>
      </c>
      <c r="M3046" s="1" t="s">
        <v>198</v>
      </c>
      <c r="N3046" s="1" t="b">
        <v>1</v>
      </c>
    </row>
    <row r="3047" spans="1:14" ht="19" customHeight="1" x14ac:dyDescent="0.3">
      <c r="A3047">
        <v>3042</v>
      </c>
      <c r="B3047" s="1">
        <v>12</v>
      </c>
      <c r="C3047" s="1">
        <v>30</v>
      </c>
      <c r="D3047" s="1">
        <v>2.5000000000000001E-2</v>
      </c>
      <c r="E3047" s="1">
        <v>8.5000000000000006E-2</v>
      </c>
      <c r="F3047" s="1">
        <v>5</v>
      </c>
      <c r="G3047" s="1">
        <v>1</v>
      </c>
      <c r="H3047" s="1">
        <v>1.3124483602599999</v>
      </c>
      <c r="I3047" s="1">
        <v>1.4376681420999999</v>
      </c>
      <c r="J3047" s="1">
        <v>0.73001250552999997</v>
      </c>
      <c r="K3047" s="1">
        <v>2274.0025828900002</v>
      </c>
      <c r="L3047" s="1">
        <v>603.62909050999997</v>
      </c>
      <c r="M3047" s="1" t="s">
        <v>198</v>
      </c>
      <c r="N3047" s="1" t="b">
        <v>1</v>
      </c>
    </row>
    <row r="3048" spans="1:14" ht="19" customHeight="1" x14ac:dyDescent="0.3">
      <c r="A3048">
        <v>3043</v>
      </c>
      <c r="B3048" s="1">
        <v>12</v>
      </c>
      <c r="C3048" s="1">
        <v>30</v>
      </c>
      <c r="D3048" s="1">
        <v>0.04</v>
      </c>
      <c r="E3048" s="1">
        <v>0.04</v>
      </c>
      <c r="F3048" s="1">
        <v>-5</v>
      </c>
      <c r="G3048" s="1">
        <v>0</v>
      </c>
      <c r="H3048" s="1">
        <v>1.3816536690200001</v>
      </c>
      <c r="I3048" s="1">
        <v>2.0206988192800002</v>
      </c>
      <c r="J3048" s="1">
        <v>0.89645240990399999</v>
      </c>
      <c r="K3048" s="1">
        <v>2813.3202137600001</v>
      </c>
      <c r="L3048" s="1">
        <v>741.25408644000004</v>
      </c>
      <c r="M3048" s="1" t="s">
        <v>198</v>
      </c>
      <c r="N3048" s="1" t="b">
        <v>1</v>
      </c>
    </row>
    <row r="3049" spans="1:14" ht="19" customHeight="1" x14ac:dyDescent="0.3">
      <c r="A3049">
        <v>3044</v>
      </c>
      <c r="B3049" s="1">
        <v>12</v>
      </c>
      <c r="C3049" s="1">
        <v>30</v>
      </c>
      <c r="D3049" s="1">
        <v>0.04</v>
      </c>
      <c r="E3049" s="1">
        <v>0.04</v>
      </c>
      <c r="F3049" s="1">
        <v>-5</v>
      </c>
      <c r="G3049" s="1">
        <v>1</v>
      </c>
      <c r="H3049" s="1">
        <v>1.3816536690200001</v>
      </c>
      <c r="I3049" s="1">
        <v>1.51552411446</v>
      </c>
      <c r="J3049" s="1">
        <v>0.73509097612200003</v>
      </c>
      <c r="K3049" s="1">
        <v>2395.60387971</v>
      </c>
      <c r="L3049" s="1">
        <v>607.82835088100001</v>
      </c>
      <c r="M3049" s="1" t="s">
        <v>198</v>
      </c>
      <c r="N3049" s="1" t="b">
        <v>1</v>
      </c>
    </row>
    <row r="3050" spans="1:14" ht="19" customHeight="1" x14ac:dyDescent="0.3">
      <c r="A3050">
        <v>3045</v>
      </c>
      <c r="B3050" s="1">
        <v>12</v>
      </c>
      <c r="C3050" s="1">
        <v>30</v>
      </c>
      <c r="D3050" s="1">
        <v>0.04</v>
      </c>
      <c r="E3050" s="1">
        <v>0.04</v>
      </c>
      <c r="F3050" s="1">
        <v>0</v>
      </c>
      <c r="G3050" s="1">
        <v>0</v>
      </c>
      <c r="H3050" s="1">
        <v>1.41309324546</v>
      </c>
      <c r="I3050" s="1">
        <v>2.0666798899400001</v>
      </c>
      <c r="J3050" s="1">
        <v>0.88895240990400004</v>
      </c>
      <c r="K3050" s="1">
        <v>2877.33741134</v>
      </c>
      <c r="L3050" s="1">
        <v>735.05252394000001</v>
      </c>
      <c r="M3050" s="1" t="s">
        <v>198</v>
      </c>
      <c r="N3050" s="1" t="b">
        <v>1</v>
      </c>
    </row>
    <row r="3051" spans="1:14" ht="19" customHeight="1" x14ac:dyDescent="0.3">
      <c r="A3051">
        <v>3046</v>
      </c>
      <c r="B3051" s="1">
        <v>12</v>
      </c>
      <c r="C3051" s="1">
        <v>30</v>
      </c>
      <c r="D3051" s="1">
        <v>0.04</v>
      </c>
      <c r="E3051" s="1">
        <v>0.04</v>
      </c>
      <c r="F3051" s="1">
        <v>0</v>
      </c>
      <c r="G3051" s="1">
        <v>1</v>
      </c>
      <c r="H3051" s="1">
        <v>1.41309324546</v>
      </c>
      <c r="I3051" s="1">
        <v>1.5500099174599999</v>
      </c>
      <c r="J3051" s="1">
        <v>0.72894097612200004</v>
      </c>
      <c r="K3051" s="1">
        <v>2450.11592784</v>
      </c>
      <c r="L3051" s="1">
        <v>602.74306963100003</v>
      </c>
      <c r="M3051" s="1" t="s">
        <v>198</v>
      </c>
      <c r="N3051" s="1" t="b">
        <v>1</v>
      </c>
    </row>
    <row r="3052" spans="1:14" ht="19" customHeight="1" x14ac:dyDescent="0.3">
      <c r="A3052">
        <v>3047</v>
      </c>
      <c r="B3052" s="1">
        <v>12</v>
      </c>
      <c r="C3052" s="1">
        <v>30</v>
      </c>
      <c r="D3052" s="1">
        <v>0.04</v>
      </c>
      <c r="E3052" s="1">
        <v>0.04</v>
      </c>
      <c r="F3052" s="1">
        <v>5</v>
      </c>
      <c r="G3052" s="1">
        <v>0</v>
      </c>
      <c r="H3052" s="1">
        <v>1.3816536690200001</v>
      </c>
      <c r="I3052" s="1">
        <v>2.0206988192800002</v>
      </c>
      <c r="J3052" s="1">
        <v>0.89645240990399999</v>
      </c>
      <c r="K3052" s="1">
        <v>2813.3202137600001</v>
      </c>
      <c r="L3052" s="1">
        <v>741.25408644000004</v>
      </c>
      <c r="M3052" s="1" t="s">
        <v>198</v>
      </c>
      <c r="N3052" s="1" t="b">
        <v>1</v>
      </c>
    </row>
    <row r="3053" spans="1:14" ht="19" customHeight="1" x14ac:dyDescent="0.3">
      <c r="A3053">
        <v>3048</v>
      </c>
      <c r="B3053" s="1">
        <v>12</v>
      </c>
      <c r="C3053" s="1">
        <v>30</v>
      </c>
      <c r="D3053" s="1">
        <v>0.04</v>
      </c>
      <c r="E3053" s="1">
        <v>0.04</v>
      </c>
      <c r="F3053" s="1">
        <v>5</v>
      </c>
      <c r="G3053" s="1">
        <v>1</v>
      </c>
      <c r="H3053" s="1">
        <v>1.3816536690200001</v>
      </c>
      <c r="I3053" s="1">
        <v>1.51552411446</v>
      </c>
      <c r="J3053" s="1">
        <v>0.73509097612200003</v>
      </c>
      <c r="K3053" s="1">
        <v>2395.60387971</v>
      </c>
      <c r="L3053" s="1">
        <v>607.82835088100001</v>
      </c>
      <c r="M3053" s="1" t="s">
        <v>198</v>
      </c>
      <c r="N3053" s="1" t="b">
        <v>1</v>
      </c>
    </row>
    <row r="3054" spans="1:14" ht="19" customHeight="1" x14ac:dyDescent="0.3">
      <c r="A3054">
        <v>3049</v>
      </c>
      <c r="B3054" s="1">
        <v>12</v>
      </c>
      <c r="C3054" s="1">
        <v>30</v>
      </c>
      <c r="D3054" s="1">
        <v>0.04</v>
      </c>
      <c r="E3054" s="1">
        <v>0.06</v>
      </c>
      <c r="F3054" s="1">
        <v>-5</v>
      </c>
      <c r="G3054" s="1">
        <v>0</v>
      </c>
      <c r="H3054" s="1">
        <v>1.4228494845799999</v>
      </c>
      <c r="I3054" s="1">
        <v>2.0824925426099998</v>
      </c>
      <c r="J3054" s="1">
        <v>0.900139067332</v>
      </c>
      <c r="K3054" s="1">
        <v>2898.4796887299999</v>
      </c>
      <c r="L3054" s="1">
        <v>744.30249130000004</v>
      </c>
      <c r="M3054" s="1" t="s">
        <v>198</v>
      </c>
      <c r="N3054" s="1" t="b">
        <v>1</v>
      </c>
    </row>
    <row r="3055" spans="1:14" ht="19" customHeight="1" x14ac:dyDescent="0.3">
      <c r="A3055">
        <v>3050</v>
      </c>
      <c r="B3055" s="1">
        <v>12</v>
      </c>
      <c r="C3055" s="1">
        <v>30</v>
      </c>
      <c r="D3055" s="1">
        <v>0.04</v>
      </c>
      <c r="E3055" s="1">
        <v>0.06</v>
      </c>
      <c r="F3055" s="1">
        <v>-5</v>
      </c>
      <c r="G3055" s="1">
        <v>1</v>
      </c>
      <c r="H3055" s="1">
        <v>1.4228494845799999</v>
      </c>
      <c r="I3055" s="1">
        <v>1.5618694069600001</v>
      </c>
      <c r="J3055" s="1">
        <v>0.73811403521200003</v>
      </c>
      <c r="K3055" s="1">
        <v>2467.9894334400001</v>
      </c>
      <c r="L3055" s="1">
        <v>610.32804286600003</v>
      </c>
      <c r="M3055" s="1" t="s">
        <v>198</v>
      </c>
      <c r="N3055" s="1" t="b">
        <v>1</v>
      </c>
    </row>
    <row r="3056" spans="1:14" ht="19" customHeight="1" x14ac:dyDescent="0.3">
      <c r="A3056">
        <v>3051</v>
      </c>
      <c r="B3056" s="1">
        <v>12</v>
      </c>
      <c r="C3056" s="1">
        <v>30</v>
      </c>
      <c r="D3056" s="1">
        <v>0.04</v>
      </c>
      <c r="E3056" s="1">
        <v>0.06</v>
      </c>
      <c r="F3056" s="1">
        <v>0</v>
      </c>
      <c r="G3056" s="1">
        <v>0</v>
      </c>
      <c r="H3056" s="1">
        <v>1.45522647321</v>
      </c>
      <c r="I3056" s="1">
        <v>2.12987973156</v>
      </c>
      <c r="J3056" s="1">
        <v>0.89263906733200005</v>
      </c>
      <c r="K3056" s="1">
        <v>2964.4346930699999</v>
      </c>
      <c r="L3056" s="1">
        <v>738.10092880000002</v>
      </c>
      <c r="M3056" s="1" t="s">
        <v>198</v>
      </c>
      <c r="N3056" s="1" t="b">
        <v>1</v>
      </c>
    </row>
    <row r="3057" spans="1:14" ht="19" customHeight="1" x14ac:dyDescent="0.3">
      <c r="A3057">
        <v>3052</v>
      </c>
      <c r="B3057" s="1">
        <v>12</v>
      </c>
      <c r="C3057" s="1">
        <v>30</v>
      </c>
      <c r="D3057" s="1">
        <v>0.04</v>
      </c>
      <c r="E3057" s="1">
        <v>0.06</v>
      </c>
      <c r="F3057" s="1">
        <v>0</v>
      </c>
      <c r="G3057" s="1">
        <v>1</v>
      </c>
      <c r="H3057" s="1">
        <v>1.45522647321</v>
      </c>
      <c r="I3057" s="1">
        <v>1.59740979867</v>
      </c>
      <c r="J3057" s="1">
        <v>0.73196403521200004</v>
      </c>
      <c r="K3057" s="1">
        <v>2524.1486173100002</v>
      </c>
      <c r="L3057" s="1">
        <v>605.24276161600005</v>
      </c>
      <c r="M3057" s="1" t="s">
        <v>198</v>
      </c>
      <c r="N3057" s="1" t="b">
        <v>1</v>
      </c>
    </row>
    <row r="3058" spans="1:14" ht="19" customHeight="1" x14ac:dyDescent="0.3">
      <c r="A3058">
        <v>3053</v>
      </c>
      <c r="B3058" s="1">
        <v>12</v>
      </c>
      <c r="C3058" s="1">
        <v>30</v>
      </c>
      <c r="D3058" s="1">
        <v>0.04</v>
      </c>
      <c r="E3058" s="1">
        <v>0.06</v>
      </c>
      <c r="F3058" s="1">
        <v>5</v>
      </c>
      <c r="G3058" s="1">
        <v>0</v>
      </c>
      <c r="H3058" s="1">
        <v>1.4228494845799999</v>
      </c>
      <c r="I3058" s="1">
        <v>2.0824925426099998</v>
      </c>
      <c r="J3058" s="1">
        <v>0.900139067332</v>
      </c>
      <c r="K3058" s="1">
        <v>2898.4796887299999</v>
      </c>
      <c r="L3058" s="1">
        <v>744.30249130000004</v>
      </c>
      <c r="M3058" s="1" t="s">
        <v>198</v>
      </c>
      <c r="N3058" s="1" t="b">
        <v>1</v>
      </c>
    </row>
    <row r="3059" spans="1:14" ht="19" customHeight="1" x14ac:dyDescent="0.3">
      <c r="A3059">
        <v>3054</v>
      </c>
      <c r="B3059" s="1">
        <v>12</v>
      </c>
      <c r="C3059" s="1">
        <v>30</v>
      </c>
      <c r="D3059" s="1">
        <v>0.04</v>
      </c>
      <c r="E3059" s="1">
        <v>0.06</v>
      </c>
      <c r="F3059" s="1">
        <v>5</v>
      </c>
      <c r="G3059" s="1">
        <v>1</v>
      </c>
      <c r="H3059" s="1">
        <v>1.4228494845799999</v>
      </c>
      <c r="I3059" s="1">
        <v>1.5618694069600001</v>
      </c>
      <c r="J3059" s="1">
        <v>0.73811403521200003</v>
      </c>
      <c r="K3059" s="1">
        <v>2467.9894334400001</v>
      </c>
      <c r="L3059" s="1">
        <v>610.32804286600003</v>
      </c>
      <c r="M3059" s="1" t="s">
        <v>198</v>
      </c>
      <c r="N3059" s="1" t="b">
        <v>1</v>
      </c>
    </row>
    <row r="3060" spans="1:14" ht="19" customHeight="1" x14ac:dyDescent="0.3">
      <c r="A3060">
        <v>3055</v>
      </c>
      <c r="B3060" s="1">
        <v>12</v>
      </c>
      <c r="C3060" s="1">
        <v>30</v>
      </c>
      <c r="D3060" s="1">
        <v>0.04</v>
      </c>
      <c r="E3060" s="1">
        <v>8.5000000000000006E-2</v>
      </c>
      <c r="F3060" s="1">
        <v>-5</v>
      </c>
      <c r="G3060" s="1">
        <v>0</v>
      </c>
      <c r="H3060" s="1">
        <v>1.3175331665800001</v>
      </c>
      <c r="I3060" s="1">
        <v>1.9245180656200001</v>
      </c>
      <c r="J3060" s="1">
        <v>0.89071419782100003</v>
      </c>
      <c r="K3060" s="1">
        <v>2680.7711126200002</v>
      </c>
      <c r="L3060" s="1">
        <v>736.50930232400003</v>
      </c>
      <c r="M3060" s="1" t="s">
        <v>198</v>
      </c>
      <c r="N3060" s="1" t="b">
        <v>1</v>
      </c>
    </row>
    <row r="3061" spans="1:14" ht="19" customHeight="1" x14ac:dyDescent="0.3">
      <c r="A3061">
        <v>3056</v>
      </c>
      <c r="B3061" s="1">
        <v>12</v>
      </c>
      <c r="C3061" s="1">
        <v>30</v>
      </c>
      <c r="D3061" s="1">
        <v>0.04</v>
      </c>
      <c r="E3061" s="1">
        <v>8.5000000000000006E-2</v>
      </c>
      <c r="F3061" s="1">
        <v>-5</v>
      </c>
      <c r="G3061" s="1">
        <v>1</v>
      </c>
      <c r="H3061" s="1">
        <v>1.3175331665800001</v>
      </c>
      <c r="I3061" s="1">
        <v>1.44338854921</v>
      </c>
      <c r="J3061" s="1">
        <v>0.73038564221400004</v>
      </c>
      <c r="K3061" s="1">
        <v>2282.9371437499999</v>
      </c>
      <c r="L3061" s="1">
        <v>603.937627905</v>
      </c>
      <c r="M3061" s="1" t="s">
        <v>198</v>
      </c>
      <c r="N3061" s="1" t="b">
        <v>1</v>
      </c>
    </row>
    <row r="3062" spans="1:14" ht="19" customHeight="1" x14ac:dyDescent="0.3">
      <c r="A3062">
        <v>3057</v>
      </c>
      <c r="B3062" s="1">
        <v>12</v>
      </c>
      <c r="C3062" s="1">
        <v>30</v>
      </c>
      <c r="D3062" s="1">
        <v>0.04</v>
      </c>
      <c r="E3062" s="1">
        <v>8.5000000000000006E-2</v>
      </c>
      <c r="F3062" s="1">
        <v>0</v>
      </c>
      <c r="G3062" s="1">
        <v>0</v>
      </c>
      <c r="H3062" s="1">
        <v>1.3475136787999999</v>
      </c>
      <c r="I3062" s="1">
        <v>1.96831053995</v>
      </c>
      <c r="J3062" s="1">
        <v>0.88321419782099997</v>
      </c>
      <c r="K3062" s="1">
        <v>2741.77215088</v>
      </c>
      <c r="L3062" s="1">
        <v>730.30773982400001</v>
      </c>
      <c r="M3062" s="1" t="s">
        <v>198</v>
      </c>
      <c r="N3062" s="1" t="b">
        <v>1</v>
      </c>
    </row>
    <row r="3063" spans="1:14" ht="19" customHeight="1" x14ac:dyDescent="0.3">
      <c r="A3063">
        <v>3058</v>
      </c>
      <c r="B3063" s="1">
        <v>12</v>
      </c>
      <c r="C3063" s="1">
        <v>30</v>
      </c>
      <c r="D3063" s="1">
        <v>0.04</v>
      </c>
      <c r="E3063" s="1">
        <v>8.5000000000000006E-2</v>
      </c>
      <c r="F3063" s="1">
        <v>0</v>
      </c>
      <c r="G3063" s="1">
        <v>1</v>
      </c>
      <c r="H3063" s="1">
        <v>1.3475136787999999</v>
      </c>
      <c r="I3063" s="1">
        <v>1.47623290496</v>
      </c>
      <c r="J3063" s="1">
        <v>0.72423564221400005</v>
      </c>
      <c r="K3063" s="1">
        <v>2334.8854564500002</v>
      </c>
      <c r="L3063" s="1">
        <v>598.85234665500002</v>
      </c>
      <c r="M3063" s="1" t="s">
        <v>198</v>
      </c>
      <c r="N3063" s="1" t="b">
        <v>1</v>
      </c>
    </row>
    <row r="3064" spans="1:14" ht="19" customHeight="1" x14ac:dyDescent="0.3">
      <c r="A3064">
        <v>3059</v>
      </c>
      <c r="B3064" s="1">
        <v>12</v>
      </c>
      <c r="C3064" s="1">
        <v>30</v>
      </c>
      <c r="D3064" s="1">
        <v>0.04</v>
      </c>
      <c r="E3064" s="1">
        <v>8.5000000000000006E-2</v>
      </c>
      <c r="F3064" s="1">
        <v>5</v>
      </c>
      <c r="G3064" s="1">
        <v>0</v>
      </c>
      <c r="H3064" s="1">
        <v>1.3175331665800001</v>
      </c>
      <c r="I3064" s="1">
        <v>1.9245180656200001</v>
      </c>
      <c r="J3064" s="1">
        <v>0.89071419782100003</v>
      </c>
      <c r="K3064" s="1">
        <v>2680.7711126200002</v>
      </c>
      <c r="L3064" s="1">
        <v>736.50930232400003</v>
      </c>
      <c r="M3064" s="1" t="s">
        <v>198</v>
      </c>
      <c r="N3064" s="1" t="b">
        <v>1</v>
      </c>
    </row>
    <row r="3065" spans="1:14" ht="19" customHeight="1" x14ac:dyDescent="0.3">
      <c r="A3065">
        <v>3060</v>
      </c>
      <c r="B3065" s="1">
        <v>12</v>
      </c>
      <c r="C3065" s="1">
        <v>30</v>
      </c>
      <c r="D3065" s="1">
        <v>0.04</v>
      </c>
      <c r="E3065" s="1">
        <v>8.5000000000000006E-2</v>
      </c>
      <c r="F3065" s="1">
        <v>5</v>
      </c>
      <c r="G3065" s="1">
        <v>1</v>
      </c>
      <c r="H3065" s="1">
        <v>1.3175331665800001</v>
      </c>
      <c r="I3065" s="1">
        <v>1.44338854921</v>
      </c>
      <c r="J3065" s="1">
        <v>0.73038564221400004</v>
      </c>
      <c r="K3065" s="1">
        <v>2282.9371437499999</v>
      </c>
      <c r="L3065" s="1">
        <v>603.937627905</v>
      </c>
      <c r="M3065" s="1" t="s">
        <v>198</v>
      </c>
      <c r="N3065" s="1" t="b">
        <v>1</v>
      </c>
    </row>
    <row r="3066" spans="1:14" ht="19" customHeight="1" x14ac:dyDescent="0.3">
      <c r="A3066">
        <v>3061</v>
      </c>
      <c r="B3066" s="1">
        <v>12</v>
      </c>
      <c r="C3066" s="1">
        <v>30</v>
      </c>
      <c r="D3066" s="1">
        <v>5.5E-2</v>
      </c>
      <c r="E3066" s="1">
        <v>0.04</v>
      </c>
      <c r="F3066" s="1">
        <v>-5</v>
      </c>
      <c r="G3066" s="1">
        <v>0</v>
      </c>
      <c r="H3066" s="1">
        <v>1.24176856696</v>
      </c>
      <c r="I3066" s="1">
        <v>1.8108711661800001</v>
      </c>
      <c r="J3066" s="1">
        <v>0.88393394307499995</v>
      </c>
      <c r="K3066" s="1">
        <v>2524.1514793400002</v>
      </c>
      <c r="L3066" s="1">
        <v>730.90287918000001</v>
      </c>
      <c r="M3066" s="1" t="s">
        <v>198</v>
      </c>
      <c r="N3066" s="1" t="b">
        <v>1</v>
      </c>
    </row>
    <row r="3067" spans="1:14" ht="19" customHeight="1" x14ac:dyDescent="0.3">
      <c r="A3067">
        <v>3062</v>
      </c>
      <c r="B3067" s="1">
        <v>12</v>
      </c>
      <c r="C3067" s="1">
        <v>30</v>
      </c>
      <c r="D3067" s="1">
        <v>5.5E-2</v>
      </c>
      <c r="E3067" s="1">
        <v>0.04</v>
      </c>
      <c r="F3067" s="1">
        <v>-5</v>
      </c>
      <c r="G3067" s="1">
        <v>1</v>
      </c>
      <c r="H3067" s="1">
        <v>1.24176856696</v>
      </c>
      <c r="I3067" s="1">
        <v>1.3581533746400001</v>
      </c>
      <c r="J3067" s="1">
        <v>0.72482583332100003</v>
      </c>
      <c r="K3067" s="1">
        <v>2149.8104554500001</v>
      </c>
      <c r="L3067" s="1">
        <v>599.34036092700001</v>
      </c>
      <c r="M3067" s="1" t="s">
        <v>198</v>
      </c>
      <c r="N3067" s="1" t="b">
        <v>1</v>
      </c>
    </row>
    <row r="3068" spans="1:14" ht="19" customHeight="1" x14ac:dyDescent="0.3">
      <c r="A3068">
        <v>3063</v>
      </c>
      <c r="B3068" s="1">
        <v>12</v>
      </c>
      <c r="C3068" s="1">
        <v>30</v>
      </c>
      <c r="D3068" s="1">
        <v>5.5E-2</v>
      </c>
      <c r="E3068" s="1">
        <v>0.04</v>
      </c>
      <c r="F3068" s="1">
        <v>0</v>
      </c>
      <c r="G3068" s="1">
        <v>0</v>
      </c>
      <c r="H3068" s="1">
        <v>1.2700250531199999</v>
      </c>
      <c r="I3068" s="1">
        <v>1.85207760143</v>
      </c>
      <c r="J3068" s="1">
        <v>0.876433943075</v>
      </c>
      <c r="K3068" s="1">
        <v>2581.5886324899998</v>
      </c>
      <c r="L3068" s="1">
        <v>724.70131667999999</v>
      </c>
      <c r="M3068" s="1" t="s">
        <v>198</v>
      </c>
      <c r="N3068" s="1" t="b">
        <v>1</v>
      </c>
    </row>
    <row r="3069" spans="1:14" ht="19" customHeight="1" x14ac:dyDescent="0.3">
      <c r="A3069">
        <v>3064</v>
      </c>
      <c r="B3069" s="1">
        <v>12</v>
      </c>
      <c r="C3069" s="1">
        <v>30</v>
      </c>
      <c r="D3069" s="1">
        <v>5.5E-2</v>
      </c>
      <c r="E3069" s="1">
        <v>0.04</v>
      </c>
      <c r="F3069" s="1">
        <v>0</v>
      </c>
      <c r="G3069" s="1">
        <v>1</v>
      </c>
      <c r="H3069" s="1">
        <v>1.2700250531199999</v>
      </c>
      <c r="I3069" s="1">
        <v>1.3890582010800001</v>
      </c>
      <c r="J3069" s="1">
        <v>0.71867583332100005</v>
      </c>
      <c r="K3069" s="1">
        <v>2198.72946581</v>
      </c>
      <c r="L3069" s="1">
        <v>594.25507967700003</v>
      </c>
      <c r="M3069" s="1" t="s">
        <v>198</v>
      </c>
      <c r="N3069" s="1" t="b">
        <v>1</v>
      </c>
    </row>
    <row r="3070" spans="1:14" ht="19" customHeight="1" x14ac:dyDescent="0.3">
      <c r="A3070">
        <v>3065</v>
      </c>
      <c r="B3070" s="1">
        <v>12</v>
      </c>
      <c r="C3070" s="1">
        <v>30</v>
      </c>
      <c r="D3070" s="1">
        <v>5.5E-2</v>
      </c>
      <c r="E3070" s="1">
        <v>0.04</v>
      </c>
      <c r="F3070" s="1">
        <v>5</v>
      </c>
      <c r="G3070" s="1">
        <v>0</v>
      </c>
      <c r="H3070" s="1">
        <v>1.24176856696</v>
      </c>
      <c r="I3070" s="1">
        <v>1.8108711661800001</v>
      </c>
      <c r="J3070" s="1">
        <v>0.88393394307499995</v>
      </c>
      <c r="K3070" s="1">
        <v>2524.1514793400002</v>
      </c>
      <c r="L3070" s="1">
        <v>730.90287918000001</v>
      </c>
      <c r="M3070" s="1" t="s">
        <v>198</v>
      </c>
      <c r="N3070" s="1" t="b">
        <v>1</v>
      </c>
    </row>
    <row r="3071" spans="1:14" ht="19" customHeight="1" x14ac:dyDescent="0.3">
      <c r="A3071">
        <v>3066</v>
      </c>
      <c r="B3071" s="1">
        <v>12</v>
      </c>
      <c r="C3071" s="1">
        <v>30</v>
      </c>
      <c r="D3071" s="1">
        <v>5.5E-2</v>
      </c>
      <c r="E3071" s="1">
        <v>0.04</v>
      </c>
      <c r="F3071" s="1">
        <v>5</v>
      </c>
      <c r="G3071" s="1">
        <v>1</v>
      </c>
      <c r="H3071" s="1">
        <v>1.24176856696</v>
      </c>
      <c r="I3071" s="1">
        <v>1.3581533746400001</v>
      </c>
      <c r="J3071" s="1">
        <v>0.72482583332100003</v>
      </c>
      <c r="K3071" s="1">
        <v>2149.8104554500001</v>
      </c>
      <c r="L3071" s="1">
        <v>599.34036092700001</v>
      </c>
      <c r="M3071" s="1" t="s">
        <v>198</v>
      </c>
      <c r="N3071" s="1" t="b">
        <v>1</v>
      </c>
    </row>
    <row r="3072" spans="1:14" ht="19" customHeight="1" x14ac:dyDescent="0.3">
      <c r="A3072">
        <v>3067</v>
      </c>
      <c r="B3072" s="1">
        <v>12</v>
      </c>
      <c r="C3072" s="1">
        <v>30</v>
      </c>
      <c r="D3072" s="1">
        <v>5.5E-2</v>
      </c>
      <c r="E3072" s="1">
        <v>0.06</v>
      </c>
      <c r="F3072" s="1">
        <v>-5</v>
      </c>
      <c r="G3072" s="1">
        <v>0</v>
      </c>
      <c r="H3072" s="1">
        <v>1.26939816666</v>
      </c>
      <c r="I3072" s="1">
        <v>1.8523155657399999</v>
      </c>
      <c r="J3072" s="1">
        <v>0.88640654539200003</v>
      </c>
      <c r="K3072" s="1">
        <v>2581.2670424799999</v>
      </c>
      <c r="L3072" s="1">
        <v>732.94741222100004</v>
      </c>
      <c r="M3072" s="1" t="s">
        <v>198</v>
      </c>
      <c r="N3072" s="1" t="b">
        <v>1</v>
      </c>
    </row>
    <row r="3073" spans="1:14" ht="19" customHeight="1" x14ac:dyDescent="0.3">
      <c r="A3073">
        <v>3068</v>
      </c>
      <c r="B3073" s="1">
        <v>12</v>
      </c>
      <c r="C3073" s="1">
        <v>30</v>
      </c>
      <c r="D3073" s="1">
        <v>5.5E-2</v>
      </c>
      <c r="E3073" s="1">
        <v>0.06</v>
      </c>
      <c r="F3073" s="1">
        <v>-5</v>
      </c>
      <c r="G3073" s="1">
        <v>1</v>
      </c>
      <c r="H3073" s="1">
        <v>1.26939816666</v>
      </c>
      <c r="I3073" s="1">
        <v>1.38923667431</v>
      </c>
      <c r="J3073" s="1">
        <v>0.72685336722100002</v>
      </c>
      <c r="K3073" s="1">
        <v>2198.3586841299998</v>
      </c>
      <c r="L3073" s="1">
        <v>601.01687802100003</v>
      </c>
      <c r="M3073" s="1" t="s">
        <v>198</v>
      </c>
      <c r="N3073" s="1" t="b">
        <v>1</v>
      </c>
    </row>
    <row r="3074" spans="1:14" ht="19" customHeight="1" x14ac:dyDescent="0.3">
      <c r="A3074">
        <v>3069</v>
      </c>
      <c r="B3074" s="1">
        <v>12</v>
      </c>
      <c r="C3074" s="1">
        <v>30</v>
      </c>
      <c r="D3074" s="1">
        <v>5.5E-2</v>
      </c>
      <c r="E3074" s="1">
        <v>0.06</v>
      </c>
      <c r="F3074" s="1">
        <v>0</v>
      </c>
      <c r="G3074" s="1">
        <v>0</v>
      </c>
      <c r="H3074" s="1">
        <v>1.2982833653100001</v>
      </c>
      <c r="I3074" s="1">
        <v>1.8944650697200001</v>
      </c>
      <c r="J3074" s="1">
        <v>0.87890654539199997</v>
      </c>
      <c r="K3074" s="1">
        <v>2640.00386222</v>
      </c>
      <c r="L3074" s="1">
        <v>726.74584972100001</v>
      </c>
      <c r="M3074" s="1" t="s">
        <v>198</v>
      </c>
      <c r="N3074" s="1" t="b">
        <v>1</v>
      </c>
    </row>
    <row r="3075" spans="1:14" ht="19" customHeight="1" x14ac:dyDescent="0.3">
      <c r="A3075">
        <v>3070</v>
      </c>
      <c r="B3075" s="1">
        <v>12</v>
      </c>
      <c r="C3075" s="1">
        <v>30</v>
      </c>
      <c r="D3075" s="1">
        <v>5.5E-2</v>
      </c>
      <c r="E3075" s="1">
        <v>0.06</v>
      </c>
      <c r="F3075" s="1">
        <v>0</v>
      </c>
      <c r="G3075" s="1">
        <v>1</v>
      </c>
      <c r="H3075" s="1">
        <v>1.2982833653100001</v>
      </c>
      <c r="I3075" s="1">
        <v>1.4208488022900001</v>
      </c>
      <c r="J3075" s="1">
        <v>0.72070336722100004</v>
      </c>
      <c r="K3075" s="1">
        <v>2248.38241109</v>
      </c>
      <c r="L3075" s="1">
        <v>595.93159677100005</v>
      </c>
      <c r="M3075" s="1" t="s">
        <v>198</v>
      </c>
      <c r="N3075" s="1" t="b">
        <v>1</v>
      </c>
    </row>
    <row r="3076" spans="1:14" ht="19" customHeight="1" x14ac:dyDescent="0.3">
      <c r="A3076">
        <v>3071</v>
      </c>
      <c r="B3076" s="1">
        <v>12</v>
      </c>
      <c r="C3076" s="1">
        <v>30</v>
      </c>
      <c r="D3076" s="1">
        <v>5.5E-2</v>
      </c>
      <c r="E3076" s="1">
        <v>0.06</v>
      </c>
      <c r="F3076" s="1">
        <v>5</v>
      </c>
      <c r="G3076" s="1">
        <v>0</v>
      </c>
      <c r="H3076" s="1">
        <v>1.26939816666</v>
      </c>
      <c r="I3076" s="1">
        <v>1.8523155657399999</v>
      </c>
      <c r="J3076" s="1">
        <v>0.88640654539200003</v>
      </c>
      <c r="K3076" s="1">
        <v>2581.2670424799999</v>
      </c>
      <c r="L3076" s="1">
        <v>732.94741222100004</v>
      </c>
      <c r="M3076" s="1" t="s">
        <v>198</v>
      </c>
      <c r="N3076" s="1" t="b">
        <v>1</v>
      </c>
    </row>
    <row r="3077" spans="1:14" ht="19" customHeight="1" x14ac:dyDescent="0.3">
      <c r="A3077">
        <v>3072</v>
      </c>
      <c r="B3077" s="1">
        <v>12</v>
      </c>
      <c r="C3077" s="1">
        <v>30</v>
      </c>
      <c r="D3077" s="1">
        <v>5.5E-2</v>
      </c>
      <c r="E3077" s="1">
        <v>0.06</v>
      </c>
      <c r="F3077" s="1">
        <v>5</v>
      </c>
      <c r="G3077" s="1">
        <v>1</v>
      </c>
      <c r="H3077" s="1">
        <v>1.26939816666</v>
      </c>
      <c r="I3077" s="1">
        <v>1.38923667431</v>
      </c>
      <c r="J3077" s="1">
        <v>0.72685336722100002</v>
      </c>
      <c r="K3077" s="1">
        <v>2198.3586841299998</v>
      </c>
      <c r="L3077" s="1">
        <v>601.01687802100003</v>
      </c>
      <c r="M3077" s="1" t="s">
        <v>198</v>
      </c>
      <c r="N3077" s="1" t="b">
        <v>1</v>
      </c>
    </row>
    <row r="3078" spans="1:14" ht="19" customHeight="1" x14ac:dyDescent="0.3">
      <c r="A3078">
        <v>3073</v>
      </c>
      <c r="B3078" s="1">
        <v>12</v>
      </c>
      <c r="C3078" s="1">
        <v>30</v>
      </c>
      <c r="D3078" s="1">
        <v>5.5E-2</v>
      </c>
      <c r="E3078" s="1">
        <v>8.5000000000000006E-2</v>
      </c>
      <c r="F3078" s="1">
        <v>-5</v>
      </c>
      <c r="G3078" s="1">
        <v>0</v>
      </c>
      <c r="H3078" s="1">
        <v>1.1987636211499999</v>
      </c>
      <c r="I3078" s="1">
        <v>1.74636374747</v>
      </c>
      <c r="J3078" s="1">
        <v>0.88008538465300001</v>
      </c>
      <c r="K3078" s="1">
        <v>2435.2521929300001</v>
      </c>
      <c r="L3078" s="1">
        <v>727.72060243500005</v>
      </c>
      <c r="M3078" s="1" t="s">
        <v>198</v>
      </c>
      <c r="N3078" s="1" t="b">
        <v>1</v>
      </c>
    </row>
    <row r="3079" spans="1:14" ht="19" customHeight="1" x14ac:dyDescent="0.3">
      <c r="A3079">
        <v>3074</v>
      </c>
      <c r="B3079" s="1">
        <v>12</v>
      </c>
      <c r="C3079" s="1">
        <v>30</v>
      </c>
      <c r="D3079" s="1">
        <v>5.5E-2</v>
      </c>
      <c r="E3079" s="1">
        <v>8.5000000000000006E-2</v>
      </c>
      <c r="F3079" s="1">
        <v>-5</v>
      </c>
      <c r="G3079" s="1">
        <v>1</v>
      </c>
      <c r="H3079" s="1">
        <v>1.1987636211499999</v>
      </c>
      <c r="I3079" s="1">
        <v>1.3097728105999999</v>
      </c>
      <c r="J3079" s="1">
        <v>0.72167001541599995</v>
      </c>
      <c r="K3079" s="1">
        <v>2074.2460620100001</v>
      </c>
      <c r="L3079" s="1">
        <v>596.73089399699995</v>
      </c>
      <c r="M3079" s="1" t="s">
        <v>198</v>
      </c>
      <c r="N3079" s="1" t="b">
        <v>1</v>
      </c>
    </row>
    <row r="3080" spans="1:14" ht="19" customHeight="1" x14ac:dyDescent="0.3">
      <c r="A3080">
        <v>3075</v>
      </c>
      <c r="B3080" s="1">
        <v>12</v>
      </c>
      <c r="C3080" s="1">
        <v>30</v>
      </c>
      <c r="D3080" s="1">
        <v>5.5E-2</v>
      </c>
      <c r="E3080" s="1">
        <v>8.5000000000000006E-2</v>
      </c>
      <c r="F3080" s="1">
        <v>0</v>
      </c>
      <c r="G3080" s="1">
        <v>0</v>
      </c>
      <c r="H3080" s="1">
        <v>1.2260415283099999</v>
      </c>
      <c r="I3080" s="1">
        <v>1.7861023142100001</v>
      </c>
      <c r="J3080" s="1">
        <v>0.87258538465299995</v>
      </c>
      <c r="K3080" s="1">
        <v>2490.66643978</v>
      </c>
      <c r="L3080" s="1">
        <v>721.51903993500002</v>
      </c>
      <c r="M3080" s="1" t="s">
        <v>198</v>
      </c>
      <c r="N3080" s="1" t="b">
        <v>1</v>
      </c>
    </row>
    <row r="3081" spans="1:14" ht="19" customHeight="1" x14ac:dyDescent="0.3">
      <c r="A3081">
        <v>3076</v>
      </c>
      <c r="B3081" s="1">
        <v>12</v>
      </c>
      <c r="C3081" s="1">
        <v>30</v>
      </c>
      <c r="D3081" s="1">
        <v>5.5E-2</v>
      </c>
      <c r="E3081" s="1">
        <v>8.5000000000000006E-2</v>
      </c>
      <c r="F3081" s="1">
        <v>0</v>
      </c>
      <c r="G3081" s="1">
        <v>1</v>
      </c>
      <c r="H3081" s="1">
        <v>1.2260415283099999</v>
      </c>
      <c r="I3081" s="1">
        <v>1.3395767356599999</v>
      </c>
      <c r="J3081" s="1">
        <v>0.71552001541599997</v>
      </c>
      <c r="K3081" s="1">
        <v>2121.4456020100001</v>
      </c>
      <c r="L3081" s="1">
        <v>591.64561274699997</v>
      </c>
      <c r="M3081" s="1" t="s">
        <v>198</v>
      </c>
      <c r="N3081" s="1" t="b">
        <v>1</v>
      </c>
    </row>
    <row r="3082" spans="1:14" ht="19" customHeight="1" x14ac:dyDescent="0.3">
      <c r="A3082">
        <v>3077</v>
      </c>
      <c r="B3082" s="1">
        <v>12</v>
      </c>
      <c r="C3082" s="1">
        <v>30</v>
      </c>
      <c r="D3082" s="1">
        <v>5.5E-2</v>
      </c>
      <c r="E3082" s="1">
        <v>8.5000000000000006E-2</v>
      </c>
      <c r="F3082" s="1">
        <v>5</v>
      </c>
      <c r="G3082" s="1">
        <v>0</v>
      </c>
      <c r="H3082" s="1">
        <v>1.1987636211499999</v>
      </c>
      <c r="I3082" s="1">
        <v>1.74636374747</v>
      </c>
      <c r="J3082" s="1">
        <v>0.88008538465300001</v>
      </c>
      <c r="K3082" s="1">
        <v>2435.2521929300001</v>
      </c>
      <c r="L3082" s="1">
        <v>727.72060243500005</v>
      </c>
      <c r="M3082" s="1" t="s">
        <v>198</v>
      </c>
      <c r="N3082" s="1" t="b">
        <v>1</v>
      </c>
    </row>
    <row r="3083" spans="1:14" ht="19" customHeight="1" x14ac:dyDescent="0.3">
      <c r="A3083">
        <v>3078</v>
      </c>
      <c r="B3083" s="1">
        <v>12</v>
      </c>
      <c r="C3083" s="1">
        <v>30</v>
      </c>
      <c r="D3083" s="1">
        <v>5.5E-2</v>
      </c>
      <c r="E3083" s="1">
        <v>8.5000000000000006E-2</v>
      </c>
      <c r="F3083" s="1">
        <v>5</v>
      </c>
      <c r="G3083" s="1">
        <v>1</v>
      </c>
      <c r="H3083" s="1">
        <v>1.1987636211499999</v>
      </c>
      <c r="I3083" s="1">
        <v>1.3097728105999999</v>
      </c>
      <c r="J3083" s="1">
        <v>0.72167001541599995</v>
      </c>
      <c r="K3083" s="1">
        <v>2074.2460620100001</v>
      </c>
      <c r="L3083" s="1">
        <v>596.73089399699995</v>
      </c>
      <c r="M3083" s="1" t="s">
        <v>198</v>
      </c>
      <c r="N3083" s="1" t="b">
        <v>1</v>
      </c>
    </row>
    <row r="3084" spans="1:14" ht="19" customHeight="1" x14ac:dyDescent="0.3">
      <c r="A3084">
        <v>3079</v>
      </c>
      <c r="B3084" s="1">
        <v>12</v>
      </c>
      <c r="C3084" s="1">
        <v>50</v>
      </c>
      <c r="D3084" s="1">
        <v>2.5000000000000001E-2</v>
      </c>
      <c r="E3084" s="1">
        <v>0.04</v>
      </c>
      <c r="F3084" s="1">
        <v>-5</v>
      </c>
      <c r="G3084" s="1">
        <v>0</v>
      </c>
      <c r="H3084" s="1">
        <v>1.37566485557</v>
      </c>
      <c r="I3084" s="1">
        <v>2.0117155991</v>
      </c>
      <c r="J3084" s="1">
        <v>0.89591646460800001</v>
      </c>
      <c r="K3084" s="1">
        <v>7780.3894817999999</v>
      </c>
      <c r="L3084" s="1">
        <v>2057.80812965</v>
      </c>
      <c r="M3084" s="1" t="s">
        <v>198</v>
      </c>
      <c r="N3084" s="1" t="b">
        <v>1</v>
      </c>
    </row>
    <row r="3085" spans="1:14" ht="19" customHeight="1" x14ac:dyDescent="0.3">
      <c r="A3085">
        <v>3080</v>
      </c>
      <c r="B3085" s="1">
        <v>12</v>
      </c>
      <c r="C3085" s="1">
        <v>50</v>
      </c>
      <c r="D3085" s="1">
        <v>2.5000000000000001E-2</v>
      </c>
      <c r="E3085" s="1">
        <v>0.04</v>
      </c>
      <c r="F3085" s="1">
        <v>-5</v>
      </c>
      <c r="G3085" s="1">
        <v>1</v>
      </c>
      <c r="H3085" s="1">
        <v>1.37566485557</v>
      </c>
      <c r="I3085" s="1">
        <v>1.5087866993200001</v>
      </c>
      <c r="J3085" s="1">
        <v>0.73465150097800003</v>
      </c>
      <c r="K3085" s="1">
        <v>6625.2246651400001</v>
      </c>
      <c r="L3085" s="1">
        <v>1687.4026663100001</v>
      </c>
      <c r="M3085" s="1" t="s">
        <v>198</v>
      </c>
      <c r="N3085" s="1" t="b">
        <v>1</v>
      </c>
    </row>
    <row r="3086" spans="1:14" ht="19" customHeight="1" x14ac:dyDescent="0.3">
      <c r="A3086">
        <v>3081</v>
      </c>
      <c r="B3086" s="1">
        <v>12</v>
      </c>
      <c r="C3086" s="1">
        <v>50</v>
      </c>
      <c r="D3086" s="1">
        <v>2.5000000000000001E-2</v>
      </c>
      <c r="E3086" s="1">
        <v>0.04</v>
      </c>
      <c r="F3086" s="1">
        <v>0</v>
      </c>
      <c r="G3086" s="1">
        <v>0</v>
      </c>
      <c r="H3086" s="1">
        <v>1.4069681563500001</v>
      </c>
      <c r="I3086" s="1">
        <v>2.0574922562800002</v>
      </c>
      <c r="J3086" s="1">
        <v>0.88841646460799995</v>
      </c>
      <c r="K3086" s="1">
        <v>7957.4325102800003</v>
      </c>
      <c r="L3086" s="1">
        <v>2040.58156715</v>
      </c>
      <c r="M3086" s="1" t="s">
        <v>198</v>
      </c>
      <c r="N3086" s="1" t="b">
        <v>1</v>
      </c>
    </row>
    <row r="3087" spans="1:14" ht="19" customHeight="1" x14ac:dyDescent="0.3">
      <c r="A3087">
        <v>3082</v>
      </c>
      <c r="B3087" s="1">
        <v>12</v>
      </c>
      <c r="C3087" s="1">
        <v>50</v>
      </c>
      <c r="D3087" s="1">
        <v>2.5000000000000001E-2</v>
      </c>
      <c r="E3087" s="1">
        <v>0.04</v>
      </c>
      <c r="F3087" s="1">
        <v>0</v>
      </c>
      <c r="G3087" s="1">
        <v>1</v>
      </c>
      <c r="H3087" s="1">
        <v>1.4069681563500001</v>
      </c>
      <c r="I3087" s="1">
        <v>1.54311919221</v>
      </c>
      <c r="J3087" s="1">
        <v>0.72850150097800004</v>
      </c>
      <c r="K3087" s="1">
        <v>6775.98187874</v>
      </c>
      <c r="L3087" s="1">
        <v>1673.27688506</v>
      </c>
      <c r="M3087" s="1" t="s">
        <v>198</v>
      </c>
      <c r="N3087" s="1" t="b">
        <v>1</v>
      </c>
    </row>
    <row r="3088" spans="1:14" ht="19" customHeight="1" x14ac:dyDescent="0.3">
      <c r="A3088">
        <v>3083</v>
      </c>
      <c r="B3088" s="1">
        <v>12</v>
      </c>
      <c r="C3088" s="1">
        <v>50</v>
      </c>
      <c r="D3088" s="1">
        <v>2.5000000000000001E-2</v>
      </c>
      <c r="E3088" s="1">
        <v>0.04</v>
      </c>
      <c r="F3088" s="1">
        <v>5</v>
      </c>
      <c r="G3088" s="1">
        <v>0</v>
      </c>
      <c r="H3088" s="1">
        <v>1.37566485557</v>
      </c>
      <c r="I3088" s="1">
        <v>2.0117155991</v>
      </c>
      <c r="J3088" s="1">
        <v>0.89591646460800001</v>
      </c>
      <c r="K3088" s="1">
        <v>7780.3894817999999</v>
      </c>
      <c r="L3088" s="1">
        <v>2057.80812965</v>
      </c>
      <c r="M3088" s="1" t="s">
        <v>198</v>
      </c>
      <c r="N3088" s="1" t="b">
        <v>1</v>
      </c>
    </row>
    <row r="3089" spans="1:14" ht="19" customHeight="1" x14ac:dyDescent="0.3">
      <c r="A3089">
        <v>3084</v>
      </c>
      <c r="B3089" s="1">
        <v>12</v>
      </c>
      <c r="C3089" s="1">
        <v>50</v>
      </c>
      <c r="D3089" s="1">
        <v>2.5000000000000001E-2</v>
      </c>
      <c r="E3089" s="1">
        <v>0.04</v>
      </c>
      <c r="F3089" s="1">
        <v>5</v>
      </c>
      <c r="G3089" s="1">
        <v>1</v>
      </c>
      <c r="H3089" s="1">
        <v>1.37566485557</v>
      </c>
      <c r="I3089" s="1">
        <v>1.5087866993200001</v>
      </c>
      <c r="J3089" s="1">
        <v>0.73465150097800003</v>
      </c>
      <c r="K3089" s="1">
        <v>6625.2246651400001</v>
      </c>
      <c r="L3089" s="1">
        <v>1687.4026663100001</v>
      </c>
      <c r="M3089" s="1" t="s">
        <v>198</v>
      </c>
      <c r="N3089" s="1" t="b">
        <v>1</v>
      </c>
    </row>
    <row r="3090" spans="1:14" ht="19" customHeight="1" x14ac:dyDescent="0.3">
      <c r="A3090">
        <v>3085</v>
      </c>
      <c r="B3090" s="1">
        <v>12</v>
      </c>
      <c r="C3090" s="1">
        <v>50</v>
      </c>
      <c r="D3090" s="1">
        <v>2.5000000000000001E-2</v>
      </c>
      <c r="E3090" s="1">
        <v>0.06</v>
      </c>
      <c r="F3090" s="1">
        <v>-5</v>
      </c>
      <c r="G3090" s="1">
        <v>0</v>
      </c>
      <c r="H3090" s="1">
        <v>1.4162798692</v>
      </c>
      <c r="I3090" s="1">
        <v>2.0726381195500001</v>
      </c>
      <c r="J3090" s="1">
        <v>0.89955114545299997</v>
      </c>
      <c r="K3090" s="1">
        <v>8013.6085054100004</v>
      </c>
      <c r="L3090" s="1">
        <v>2066.1565372099999</v>
      </c>
      <c r="M3090" s="1" t="s">
        <v>198</v>
      </c>
      <c r="N3090" s="1" t="b">
        <v>1</v>
      </c>
    </row>
    <row r="3091" spans="1:14" ht="19" customHeight="1" x14ac:dyDescent="0.3">
      <c r="A3091">
        <v>3086</v>
      </c>
      <c r="B3091" s="1">
        <v>12</v>
      </c>
      <c r="C3091" s="1">
        <v>50</v>
      </c>
      <c r="D3091" s="1">
        <v>2.5000000000000001E-2</v>
      </c>
      <c r="E3091" s="1">
        <v>0.06</v>
      </c>
      <c r="F3091" s="1">
        <v>-5</v>
      </c>
      <c r="G3091" s="1">
        <v>1</v>
      </c>
      <c r="H3091" s="1">
        <v>1.4162798692</v>
      </c>
      <c r="I3091" s="1">
        <v>1.55447858966</v>
      </c>
      <c r="J3091" s="1">
        <v>0.73763193927100001</v>
      </c>
      <c r="K3091" s="1">
        <v>6823.4608351999996</v>
      </c>
      <c r="L3091" s="1">
        <v>1694.2483605100001</v>
      </c>
      <c r="M3091" s="1" t="s">
        <v>198</v>
      </c>
      <c r="N3091" s="1" t="b">
        <v>1</v>
      </c>
    </row>
    <row r="3092" spans="1:14" ht="19" customHeight="1" x14ac:dyDescent="0.3">
      <c r="A3092">
        <v>3087</v>
      </c>
      <c r="B3092" s="1">
        <v>12</v>
      </c>
      <c r="C3092" s="1">
        <v>50</v>
      </c>
      <c r="D3092" s="1">
        <v>2.5000000000000001E-2</v>
      </c>
      <c r="E3092" s="1">
        <v>0.06</v>
      </c>
      <c r="F3092" s="1">
        <v>0</v>
      </c>
      <c r="G3092" s="1">
        <v>0</v>
      </c>
      <c r="H3092" s="1">
        <v>1.4485073660100001</v>
      </c>
      <c r="I3092" s="1">
        <v>2.1198010707699999</v>
      </c>
      <c r="J3092" s="1">
        <v>0.89205114545300002</v>
      </c>
      <c r="K3092" s="1">
        <v>8195.9584407399998</v>
      </c>
      <c r="L3092" s="1">
        <v>2048.9299747099999</v>
      </c>
      <c r="M3092" s="1" t="s">
        <v>198</v>
      </c>
      <c r="N3092" s="1" t="b">
        <v>1</v>
      </c>
    </row>
    <row r="3093" spans="1:14" ht="19" customHeight="1" x14ac:dyDescent="0.3">
      <c r="A3093">
        <v>3088</v>
      </c>
      <c r="B3093" s="1">
        <v>12</v>
      </c>
      <c r="C3093" s="1">
        <v>50</v>
      </c>
      <c r="D3093" s="1">
        <v>2.5000000000000001E-2</v>
      </c>
      <c r="E3093" s="1">
        <v>0.06</v>
      </c>
      <c r="F3093" s="1">
        <v>0</v>
      </c>
      <c r="G3093" s="1">
        <v>1</v>
      </c>
      <c r="H3093" s="1">
        <v>1.4485073660100001</v>
      </c>
      <c r="I3093" s="1">
        <v>1.58985080308</v>
      </c>
      <c r="J3093" s="1">
        <v>0.73148193927100003</v>
      </c>
      <c r="K3093" s="1">
        <v>6978.7289196299998</v>
      </c>
      <c r="L3093" s="1">
        <v>1680.1225792600001</v>
      </c>
      <c r="M3093" s="1" t="s">
        <v>198</v>
      </c>
      <c r="N3093" s="1" t="b">
        <v>1</v>
      </c>
    </row>
    <row r="3094" spans="1:14" ht="19" customHeight="1" x14ac:dyDescent="0.3">
      <c r="A3094">
        <v>3089</v>
      </c>
      <c r="B3094" s="1">
        <v>12</v>
      </c>
      <c r="C3094" s="1">
        <v>50</v>
      </c>
      <c r="D3094" s="1">
        <v>2.5000000000000001E-2</v>
      </c>
      <c r="E3094" s="1">
        <v>0.06</v>
      </c>
      <c r="F3094" s="1">
        <v>5</v>
      </c>
      <c r="G3094" s="1">
        <v>0</v>
      </c>
      <c r="H3094" s="1">
        <v>1.4162798692</v>
      </c>
      <c r="I3094" s="1">
        <v>2.0726381195500001</v>
      </c>
      <c r="J3094" s="1">
        <v>0.89955114545299997</v>
      </c>
      <c r="K3094" s="1">
        <v>8013.6085054100004</v>
      </c>
      <c r="L3094" s="1">
        <v>2066.1565372099999</v>
      </c>
      <c r="M3094" s="1" t="s">
        <v>198</v>
      </c>
      <c r="N3094" s="1" t="b">
        <v>1</v>
      </c>
    </row>
    <row r="3095" spans="1:14" ht="19" customHeight="1" x14ac:dyDescent="0.3">
      <c r="A3095">
        <v>3090</v>
      </c>
      <c r="B3095" s="1">
        <v>12</v>
      </c>
      <c r="C3095" s="1">
        <v>50</v>
      </c>
      <c r="D3095" s="1">
        <v>2.5000000000000001E-2</v>
      </c>
      <c r="E3095" s="1">
        <v>0.06</v>
      </c>
      <c r="F3095" s="1">
        <v>5</v>
      </c>
      <c r="G3095" s="1">
        <v>1</v>
      </c>
      <c r="H3095" s="1">
        <v>1.4162798692</v>
      </c>
      <c r="I3095" s="1">
        <v>1.55447858966</v>
      </c>
      <c r="J3095" s="1">
        <v>0.73763193927100001</v>
      </c>
      <c r="K3095" s="1">
        <v>6823.4608351999996</v>
      </c>
      <c r="L3095" s="1">
        <v>1694.2483605100001</v>
      </c>
      <c r="M3095" s="1" t="s">
        <v>198</v>
      </c>
      <c r="N3095" s="1" t="b">
        <v>1</v>
      </c>
    </row>
    <row r="3096" spans="1:14" ht="19" customHeight="1" x14ac:dyDescent="0.3">
      <c r="A3096">
        <v>3091</v>
      </c>
      <c r="B3096" s="1">
        <v>12</v>
      </c>
      <c r="C3096" s="1">
        <v>50</v>
      </c>
      <c r="D3096" s="1">
        <v>2.5000000000000001E-2</v>
      </c>
      <c r="E3096" s="1">
        <v>8.5000000000000006E-2</v>
      </c>
      <c r="F3096" s="1">
        <v>-5</v>
      </c>
      <c r="G3096" s="1">
        <v>0</v>
      </c>
      <c r="H3096" s="1">
        <v>1.3124483602599999</v>
      </c>
      <c r="I3096" s="1">
        <v>1.91689085613</v>
      </c>
      <c r="J3096" s="1">
        <v>0.89025915308600001</v>
      </c>
      <c r="K3096" s="1">
        <v>7417.3885126499999</v>
      </c>
      <c r="L3096" s="1">
        <v>2044.8139922400001</v>
      </c>
      <c r="M3096" s="1" t="s">
        <v>198</v>
      </c>
      <c r="N3096" s="1" t="b">
        <v>1</v>
      </c>
    </row>
    <row r="3097" spans="1:14" ht="19" customHeight="1" x14ac:dyDescent="0.3">
      <c r="A3097">
        <v>3092</v>
      </c>
      <c r="B3097" s="1">
        <v>12</v>
      </c>
      <c r="C3097" s="1">
        <v>50</v>
      </c>
      <c r="D3097" s="1">
        <v>2.5000000000000001E-2</v>
      </c>
      <c r="E3097" s="1">
        <v>8.5000000000000006E-2</v>
      </c>
      <c r="F3097" s="1">
        <v>-5</v>
      </c>
      <c r="G3097" s="1">
        <v>1</v>
      </c>
      <c r="H3097" s="1">
        <v>1.3124483602599999</v>
      </c>
      <c r="I3097" s="1">
        <v>1.4376681420999999</v>
      </c>
      <c r="J3097" s="1">
        <v>0.73001250552999997</v>
      </c>
      <c r="K3097" s="1">
        <v>6316.6738413499997</v>
      </c>
      <c r="L3097" s="1">
        <v>1676.74747364</v>
      </c>
      <c r="M3097" s="1" t="s">
        <v>198</v>
      </c>
      <c r="N3097" s="1" t="b">
        <v>1</v>
      </c>
    </row>
    <row r="3098" spans="1:14" ht="19" customHeight="1" x14ac:dyDescent="0.3">
      <c r="A3098">
        <v>3093</v>
      </c>
      <c r="B3098" s="1">
        <v>12</v>
      </c>
      <c r="C3098" s="1">
        <v>50</v>
      </c>
      <c r="D3098" s="1">
        <v>2.5000000000000001E-2</v>
      </c>
      <c r="E3098" s="1">
        <v>8.5000000000000006E-2</v>
      </c>
      <c r="F3098" s="1">
        <v>0</v>
      </c>
      <c r="G3098" s="1">
        <v>0</v>
      </c>
      <c r="H3098" s="1">
        <v>1.34231316753</v>
      </c>
      <c r="I3098" s="1">
        <v>1.9605097730500001</v>
      </c>
      <c r="J3098" s="1">
        <v>0.88275915308599995</v>
      </c>
      <c r="K3098" s="1">
        <v>7586.1714416699997</v>
      </c>
      <c r="L3098" s="1">
        <v>2027.5874297400001</v>
      </c>
      <c r="M3098" s="1" t="s">
        <v>198</v>
      </c>
      <c r="N3098" s="1" t="b">
        <v>1</v>
      </c>
    </row>
    <row r="3099" spans="1:14" ht="19" customHeight="1" x14ac:dyDescent="0.3">
      <c r="A3099">
        <v>3094</v>
      </c>
      <c r="B3099" s="1">
        <v>12</v>
      </c>
      <c r="C3099" s="1">
        <v>50</v>
      </c>
      <c r="D3099" s="1">
        <v>2.5000000000000001E-2</v>
      </c>
      <c r="E3099" s="1">
        <v>8.5000000000000006E-2</v>
      </c>
      <c r="F3099" s="1">
        <v>0</v>
      </c>
      <c r="G3099" s="1">
        <v>1</v>
      </c>
      <c r="H3099" s="1">
        <v>1.34231316753</v>
      </c>
      <c r="I3099" s="1">
        <v>1.4703823297900001</v>
      </c>
      <c r="J3099" s="1">
        <v>0.72386250552999998</v>
      </c>
      <c r="K3099" s="1">
        <v>6460.4099704199998</v>
      </c>
      <c r="L3099" s="1">
        <v>1662.6216923899999</v>
      </c>
      <c r="M3099" s="1" t="s">
        <v>198</v>
      </c>
      <c r="N3099" s="1" t="b">
        <v>1</v>
      </c>
    </row>
    <row r="3100" spans="1:14" ht="19" customHeight="1" x14ac:dyDescent="0.3">
      <c r="A3100">
        <v>3095</v>
      </c>
      <c r="B3100" s="1">
        <v>12</v>
      </c>
      <c r="C3100" s="1">
        <v>50</v>
      </c>
      <c r="D3100" s="1">
        <v>2.5000000000000001E-2</v>
      </c>
      <c r="E3100" s="1">
        <v>8.5000000000000006E-2</v>
      </c>
      <c r="F3100" s="1">
        <v>5</v>
      </c>
      <c r="G3100" s="1">
        <v>0</v>
      </c>
      <c r="H3100" s="1">
        <v>1.3124483602599999</v>
      </c>
      <c r="I3100" s="1">
        <v>1.91689085613</v>
      </c>
      <c r="J3100" s="1">
        <v>0.89025915308600001</v>
      </c>
      <c r="K3100" s="1">
        <v>7417.3885126499999</v>
      </c>
      <c r="L3100" s="1">
        <v>2044.8139922400001</v>
      </c>
      <c r="M3100" s="1" t="s">
        <v>198</v>
      </c>
      <c r="N3100" s="1" t="b">
        <v>1</v>
      </c>
    </row>
    <row r="3101" spans="1:14" ht="19" customHeight="1" x14ac:dyDescent="0.3">
      <c r="A3101">
        <v>3096</v>
      </c>
      <c r="B3101" s="1">
        <v>12</v>
      </c>
      <c r="C3101" s="1">
        <v>50</v>
      </c>
      <c r="D3101" s="1">
        <v>2.5000000000000001E-2</v>
      </c>
      <c r="E3101" s="1">
        <v>8.5000000000000006E-2</v>
      </c>
      <c r="F3101" s="1">
        <v>5</v>
      </c>
      <c r="G3101" s="1">
        <v>1</v>
      </c>
      <c r="H3101" s="1">
        <v>1.3124483602599999</v>
      </c>
      <c r="I3101" s="1">
        <v>1.4376681420999999</v>
      </c>
      <c r="J3101" s="1">
        <v>0.73001250552999997</v>
      </c>
      <c r="K3101" s="1">
        <v>6316.6738413499997</v>
      </c>
      <c r="L3101" s="1">
        <v>1676.74747364</v>
      </c>
      <c r="M3101" s="1" t="s">
        <v>198</v>
      </c>
      <c r="N3101" s="1" t="b">
        <v>1</v>
      </c>
    </row>
    <row r="3102" spans="1:14" ht="19" customHeight="1" x14ac:dyDescent="0.3">
      <c r="A3102">
        <v>3097</v>
      </c>
      <c r="B3102" s="1">
        <v>12</v>
      </c>
      <c r="C3102" s="1">
        <v>50</v>
      </c>
      <c r="D3102" s="1">
        <v>0.04</v>
      </c>
      <c r="E3102" s="1">
        <v>0.04</v>
      </c>
      <c r="F3102" s="1">
        <v>-5</v>
      </c>
      <c r="G3102" s="1">
        <v>0</v>
      </c>
      <c r="H3102" s="1">
        <v>1.3816536690200001</v>
      </c>
      <c r="I3102" s="1">
        <v>2.0206988192800002</v>
      </c>
      <c r="J3102" s="1">
        <v>0.89645240990399999</v>
      </c>
      <c r="K3102" s="1">
        <v>7814.77837155</v>
      </c>
      <c r="L3102" s="1">
        <v>2059.0391289999998</v>
      </c>
      <c r="M3102" s="1" t="s">
        <v>198</v>
      </c>
      <c r="N3102" s="1" t="b">
        <v>1</v>
      </c>
    </row>
    <row r="3103" spans="1:14" ht="19" customHeight="1" x14ac:dyDescent="0.3">
      <c r="A3103">
        <v>3098</v>
      </c>
      <c r="B3103" s="1">
        <v>12</v>
      </c>
      <c r="C3103" s="1">
        <v>50</v>
      </c>
      <c r="D3103" s="1">
        <v>0.04</v>
      </c>
      <c r="E3103" s="1">
        <v>0.04</v>
      </c>
      <c r="F3103" s="1">
        <v>-5</v>
      </c>
      <c r="G3103" s="1">
        <v>1</v>
      </c>
      <c r="H3103" s="1">
        <v>1.3816536690200001</v>
      </c>
      <c r="I3103" s="1">
        <v>1.51552411446</v>
      </c>
      <c r="J3103" s="1">
        <v>0.73509097612200003</v>
      </c>
      <c r="K3103" s="1">
        <v>6654.4552214200003</v>
      </c>
      <c r="L3103" s="1">
        <v>1688.4120857800001</v>
      </c>
      <c r="M3103" s="1" t="s">
        <v>198</v>
      </c>
      <c r="N3103" s="1" t="b">
        <v>1</v>
      </c>
    </row>
    <row r="3104" spans="1:14" ht="19" customHeight="1" x14ac:dyDescent="0.3">
      <c r="A3104">
        <v>3099</v>
      </c>
      <c r="B3104" s="1">
        <v>12</v>
      </c>
      <c r="C3104" s="1">
        <v>50</v>
      </c>
      <c r="D3104" s="1">
        <v>0.04</v>
      </c>
      <c r="E3104" s="1">
        <v>0.04</v>
      </c>
      <c r="F3104" s="1">
        <v>0</v>
      </c>
      <c r="G3104" s="1">
        <v>0</v>
      </c>
      <c r="H3104" s="1">
        <v>1.41309324546</v>
      </c>
      <c r="I3104" s="1">
        <v>2.0666798899400001</v>
      </c>
      <c r="J3104" s="1">
        <v>0.88895240990400004</v>
      </c>
      <c r="K3104" s="1">
        <v>7992.60392039</v>
      </c>
      <c r="L3104" s="1">
        <v>2041.8125665</v>
      </c>
      <c r="M3104" s="1" t="s">
        <v>198</v>
      </c>
      <c r="N3104" s="1" t="b">
        <v>1</v>
      </c>
    </row>
    <row r="3105" spans="1:14" ht="19" customHeight="1" x14ac:dyDescent="0.3">
      <c r="A3105">
        <v>3100</v>
      </c>
      <c r="B3105" s="1">
        <v>12</v>
      </c>
      <c r="C3105" s="1">
        <v>50</v>
      </c>
      <c r="D3105" s="1">
        <v>0.04</v>
      </c>
      <c r="E3105" s="1">
        <v>0.04</v>
      </c>
      <c r="F3105" s="1">
        <v>0</v>
      </c>
      <c r="G3105" s="1">
        <v>1</v>
      </c>
      <c r="H3105" s="1">
        <v>1.41309324546</v>
      </c>
      <c r="I3105" s="1">
        <v>1.5500099174599999</v>
      </c>
      <c r="J3105" s="1">
        <v>0.72894097612200004</v>
      </c>
      <c r="K3105" s="1">
        <v>6805.8775773300003</v>
      </c>
      <c r="L3105" s="1">
        <v>1674.2863045300001</v>
      </c>
      <c r="M3105" s="1" t="s">
        <v>198</v>
      </c>
      <c r="N3105" s="1" t="b">
        <v>1</v>
      </c>
    </row>
    <row r="3106" spans="1:14" ht="19" customHeight="1" x14ac:dyDescent="0.3">
      <c r="A3106">
        <v>3101</v>
      </c>
      <c r="B3106" s="1">
        <v>12</v>
      </c>
      <c r="C3106" s="1">
        <v>50</v>
      </c>
      <c r="D3106" s="1">
        <v>0.04</v>
      </c>
      <c r="E3106" s="1">
        <v>0.04</v>
      </c>
      <c r="F3106" s="1">
        <v>5</v>
      </c>
      <c r="G3106" s="1">
        <v>0</v>
      </c>
      <c r="H3106" s="1">
        <v>1.3816536690200001</v>
      </c>
      <c r="I3106" s="1">
        <v>2.0206988192800002</v>
      </c>
      <c r="J3106" s="1">
        <v>0.89645240990399999</v>
      </c>
      <c r="K3106" s="1">
        <v>7814.77837155</v>
      </c>
      <c r="L3106" s="1">
        <v>2059.0391289999998</v>
      </c>
      <c r="M3106" s="1" t="s">
        <v>198</v>
      </c>
      <c r="N3106" s="1" t="b">
        <v>1</v>
      </c>
    </row>
    <row r="3107" spans="1:14" ht="19" customHeight="1" x14ac:dyDescent="0.3">
      <c r="A3107">
        <v>3102</v>
      </c>
      <c r="B3107" s="1">
        <v>12</v>
      </c>
      <c r="C3107" s="1">
        <v>50</v>
      </c>
      <c r="D3107" s="1">
        <v>0.04</v>
      </c>
      <c r="E3107" s="1">
        <v>0.04</v>
      </c>
      <c r="F3107" s="1">
        <v>5</v>
      </c>
      <c r="G3107" s="1">
        <v>1</v>
      </c>
      <c r="H3107" s="1">
        <v>1.3816536690200001</v>
      </c>
      <c r="I3107" s="1">
        <v>1.51552411446</v>
      </c>
      <c r="J3107" s="1">
        <v>0.73509097612200003</v>
      </c>
      <c r="K3107" s="1">
        <v>6654.4552214200003</v>
      </c>
      <c r="L3107" s="1">
        <v>1688.4120857800001</v>
      </c>
      <c r="M3107" s="1" t="s">
        <v>198</v>
      </c>
      <c r="N3107" s="1" t="b">
        <v>1</v>
      </c>
    </row>
    <row r="3108" spans="1:14" ht="19" customHeight="1" x14ac:dyDescent="0.3">
      <c r="A3108">
        <v>3103</v>
      </c>
      <c r="B3108" s="1">
        <v>12</v>
      </c>
      <c r="C3108" s="1">
        <v>50</v>
      </c>
      <c r="D3108" s="1">
        <v>0.04</v>
      </c>
      <c r="E3108" s="1">
        <v>0.06</v>
      </c>
      <c r="F3108" s="1">
        <v>-5</v>
      </c>
      <c r="G3108" s="1">
        <v>0</v>
      </c>
      <c r="H3108" s="1">
        <v>1.4228494845799999</v>
      </c>
      <c r="I3108" s="1">
        <v>2.0824925426099998</v>
      </c>
      <c r="J3108" s="1">
        <v>0.900139067332</v>
      </c>
      <c r="K3108" s="1">
        <v>8051.3324686899996</v>
      </c>
      <c r="L3108" s="1">
        <v>2067.50692028</v>
      </c>
      <c r="M3108" s="1" t="s">
        <v>198</v>
      </c>
      <c r="N3108" s="1" t="b">
        <v>1</v>
      </c>
    </row>
    <row r="3109" spans="1:14" ht="19" customHeight="1" x14ac:dyDescent="0.3">
      <c r="A3109">
        <v>3104</v>
      </c>
      <c r="B3109" s="1">
        <v>12</v>
      </c>
      <c r="C3109" s="1">
        <v>50</v>
      </c>
      <c r="D3109" s="1">
        <v>0.04</v>
      </c>
      <c r="E3109" s="1">
        <v>0.06</v>
      </c>
      <c r="F3109" s="1">
        <v>-5</v>
      </c>
      <c r="G3109" s="1">
        <v>1</v>
      </c>
      <c r="H3109" s="1">
        <v>1.4228494845799999</v>
      </c>
      <c r="I3109" s="1">
        <v>1.5618694069600001</v>
      </c>
      <c r="J3109" s="1">
        <v>0.73811403521200003</v>
      </c>
      <c r="K3109" s="1">
        <v>6855.5262039899999</v>
      </c>
      <c r="L3109" s="1">
        <v>1695.3556746300001</v>
      </c>
      <c r="M3109" s="1" t="s">
        <v>198</v>
      </c>
      <c r="N3109" s="1" t="b">
        <v>1</v>
      </c>
    </row>
    <row r="3110" spans="1:14" ht="19" customHeight="1" x14ac:dyDescent="0.3">
      <c r="A3110">
        <v>3105</v>
      </c>
      <c r="B3110" s="1">
        <v>12</v>
      </c>
      <c r="C3110" s="1">
        <v>50</v>
      </c>
      <c r="D3110" s="1">
        <v>0.04</v>
      </c>
      <c r="E3110" s="1">
        <v>0.06</v>
      </c>
      <c r="F3110" s="1">
        <v>0</v>
      </c>
      <c r="G3110" s="1">
        <v>0</v>
      </c>
      <c r="H3110" s="1">
        <v>1.45522647321</v>
      </c>
      <c r="I3110" s="1">
        <v>2.12987973156</v>
      </c>
      <c r="J3110" s="1">
        <v>0.89263906733200005</v>
      </c>
      <c r="K3110" s="1">
        <v>8234.5408140899999</v>
      </c>
      <c r="L3110" s="1">
        <v>2050.28035778</v>
      </c>
      <c r="M3110" s="1" t="s">
        <v>198</v>
      </c>
      <c r="N3110" s="1" t="b">
        <v>1</v>
      </c>
    </row>
    <row r="3111" spans="1:14" ht="19" customHeight="1" x14ac:dyDescent="0.3">
      <c r="A3111">
        <v>3106</v>
      </c>
      <c r="B3111" s="1">
        <v>12</v>
      </c>
      <c r="C3111" s="1">
        <v>50</v>
      </c>
      <c r="D3111" s="1">
        <v>0.04</v>
      </c>
      <c r="E3111" s="1">
        <v>0.06</v>
      </c>
      <c r="F3111" s="1">
        <v>0</v>
      </c>
      <c r="G3111" s="1">
        <v>1</v>
      </c>
      <c r="H3111" s="1">
        <v>1.45522647321</v>
      </c>
      <c r="I3111" s="1">
        <v>1.59740979867</v>
      </c>
      <c r="J3111" s="1">
        <v>0.73196403521200004</v>
      </c>
      <c r="K3111" s="1">
        <v>7011.5239369800001</v>
      </c>
      <c r="L3111" s="1">
        <v>1681.22989338</v>
      </c>
      <c r="M3111" s="1" t="s">
        <v>198</v>
      </c>
      <c r="N3111" s="1" t="b">
        <v>1</v>
      </c>
    </row>
    <row r="3112" spans="1:14" ht="19" customHeight="1" x14ac:dyDescent="0.3">
      <c r="A3112">
        <v>3107</v>
      </c>
      <c r="B3112" s="1">
        <v>12</v>
      </c>
      <c r="C3112" s="1">
        <v>50</v>
      </c>
      <c r="D3112" s="1">
        <v>0.04</v>
      </c>
      <c r="E3112" s="1">
        <v>0.06</v>
      </c>
      <c r="F3112" s="1">
        <v>5</v>
      </c>
      <c r="G3112" s="1">
        <v>0</v>
      </c>
      <c r="H3112" s="1">
        <v>1.4228494845799999</v>
      </c>
      <c r="I3112" s="1">
        <v>2.0824925426099998</v>
      </c>
      <c r="J3112" s="1">
        <v>0.900139067332</v>
      </c>
      <c r="K3112" s="1">
        <v>8051.3324686899996</v>
      </c>
      <c r="L3112" s="1">
        <v>2067.50692028</v>
      </c>
      <c r="M3112" s="1" t="s">
        <v>198</v>
      </c>
      <c r="N3112" s="1" t="b">
        <v>1</v>
      </c>
    </row>
    <row r="3113" spans="1:14" ht="19" customHeight="1" x14ac:dyDescent="0.3">
      <c r="A3113">
        <v>3108</v>
      </c>
      <c r="B3113" s="1">
        <v>12</v>
      </c>
      <c r="C3113" s="1">
        <v>50</v>
      </c>
      <c r="D3113" s="1">
        <v>0.04</v>
      </c>
      <c r="E3113" s="1">
        <v>0.06</v>
      </c>
      <c r="F3113" s="1">
        <v>5</v>
      </c>
      <c r="G3113" s="1">
        <v>1</v>
      </c>
      <c r="H3113" s="1">
        <v>1.4228494845799999</v>
      </c>
      <c r="I3113" s="1">
        <v>1.5618694069600001</v>
      </c>
      <c r="J3113" s="1">
        <v>0.73811403521200003</v>
      </c>
      <c r="K3113" s="1">
        <v>6855.5262039899999</v>
      </c>
      <c r="L3113" s="1">
        <v>1695.3556746300001</v>
      </c>
      <c r="M3113" s="1" t="s">
        <v>198</v>
      </c>
      <c r="N3113" s="1" t="b">
        <v>1</v>
      </c>
    </row>
    <row r="3114" spans="1:14" ht="19" customHeight="1" x14ac:dyDescent="0.3">
      <c r="A3114">
        <v>3109</v>
      </c>
      <c r="B3114" s="1">
        <v>12</v>
      </c>
      <c r="C3114" s="1">
        <v>50</v>
      </c>
      <c r="D3114" s="1">
        <v>0.04</v>
      </c>
      <c r="E3114" s="1">
        <v>8.5000000000000006E-2</v>
      </c>
      <c r="F3114" s="1">
        <v>-5</v>
      </c>
      <c r="G3114" s="1">
        <v>0</v>
      </c>
      <c r="H3114" s="1">
        <v>1.3175331665800001</v>
      </c>
      <c r="I3114" s="1">
        <v>1.9245180656200001</v>
      </c>
      <c r="J3114" s="1">
        <v>0.89071419782100003</v>
      </c>
      <c r="K3114" s="1">
        <v>7446.5864239599996</v>
      </c>
      <c r="L3114" s="1">
        <v>2045.8591731199999</v>
      </c>
      <c r="M3114" s="1" t="s">
        <v>198</v>
      </c>
      <c r="N3114" s="1" t="b">
        <v>1</v>
      </c>
    </row>
    <row r="3115" spans="1:14" ht="19" customHeight="1" x14ac:dyDescent="0.3">
      <c r="A3115">
        <v>3110</v>
      </c>
      <c r="B3115" s="1">
        <v>12</v>
      </c>
      <c r="C3115" s="1">
        <v>50</v>
      </c>
      <c r="D3115" s="1">
        <v>0.04</v>
      </c>
      <c r="E3115" s="1">
        <v>8.5000000000000006E-2</v>
      </c>
      <c r="F3115" s="1">
        <v>-5</v>
      </c>
      <c r="G3115" s="1">
        <v>1</v>
      </c>
      <c r="H3115" s="1">
        <v>1.3175331665800001</v>
      </c>
      <c r="I3115" s="1">
        <v>1.44338854921</v>
      </c>
      <c r="J3115" s="1">
        <v>0.73038564221400004</v>
      </c>
      <c r="K3115" s="1">
        <v>6341.4920659700001</v>
      </c>
      <c r="L3115" s="1">
        <v>1677.6045219600001</v>
      </c>
      <c r="M3115" s="1" t="s">
        <v>198</v>
      </c>
      <c r="N3115" s="1" t="b">
        <v>1</v>
      </c>
    </row>
    <row r="3116" spans="1:14" ht="19" customHeight="1" x14ac:dyDescent="0.3">
      <c r="A3116">
        <v>3111</v>
      </c>
      <c r="B3116" s="1">
        <v>12</v>
      </c>
      <c r="C3116" s="1">
        <v>50</v>
      </c>
      <c r="D3116" s="1">
        <v>0.04</v>
      </c>
      <c r="E3116" s="1">
        <v>8.5000000000000006E-2</v>
      </c>
      <c r="F3116" s="1">
        <v>0</v>
      </c>
      <c r="G3116" s="1">
        <v>0</v>
      </c>
      <c r="H3116" s="1">
        <v>1.3475136787999999</v>
      </c>
      <c r="I3116" s="1">
        <v>1.96831053995</v>
      </c>
      <c r="J3116" s="1">
        <v>0.88321419782099997</v>
      </c>
      <c r="K3116" s="1">
        <v>7616.0337524400002</v>
      </c>
      <c r="L3116" s="1">
        <v>2028.6326106199999</v>
      </c>
      <c r="M3116" s="1" t="s">
        <v>198</v>
      </c>
      <c r="N3116" s="1" t="b">
        <v>1</v>
      </c>
    </row>
    <row r="3117" spans="1:14" ht="19" customHeight="1" x14ac:dyDescent="0.3">
      <c r="A3117">
        <v>3112</v>
      </c>
      <c r="B3117" s="1">
        <v>12</v>
      </c>
      <c r="C3117" s="1">
        <v>50</v>
      </c>
      <c r="D3117" s="1">
        <v>0.04</v>
      </c>
      <c r="E3117" s="1">
        <v>8.5000000000000006E-2</v>
      </c>
      <c r="F3117" s="1">
        <v>0</v>
      </c>
      <c r="G3117" s="1">
        <v>1</v>
      </c>
      <c r="H3117" s="1">
        <v>1.3475136787999999</v>
      </c>
      <c r="I3117" s="1">
        <v>1.47623290496</v>
      </c>
      <c r="J3117" s="1">
        <v>0.72423564221400005</v>
      </c>
      <c r="K3117" s="1">
        <v>6485.7929345800003</v>
      </c>
      <c r="L3117" s="1">
        <v>1663.47874071</v>
      </c>
      <c r="M3117" s="1" t="s">
        <v>198</v>
      </c>
      <c r="N3117" s="1" t="b">
        <v>1</v>
      </c>
    </row>
    <row r="3118" spans="1:14" ht="19" customHeight="1" x14ac:dyDescent="0.3">
      <c r="A3118">
        <v>3113</v>
      </c>
      <c r="B3118" s="1">
        <v>12</v>
      </c>
      <c r="C3118" s="1">
        <v>50</v>
      </c>
      <c r="D3118" s="1">
        <v>0.04</v>
      </c>
      <c r="E3118" s="1">
        <v>8.5000000000000006E-2</v>
      </c>
      <c r="F3118" s="1">
        <v>5</v>
      </c>
      <c r="G3118" s="1">
        <v>0</v>
      </c>
      <c r="H3118" s="1">
        <v>1.3175331665800001</v>
      </c>
      <c r="I3118" s="1">
        <v>1.9245180656200001</v>
      </c>
      <c r="J3118" s="1">
        <v>0.89071419782100003</v>
      </c>
      <c r="K3118" s="1">
        <v>7446.5864239599996</v>
      </c>
      <c r="L3118" s="1">
        <v>2045.8591731199999</v>
      </c>
      <c r="M3118" s="1" t="s">
        <v>198</v>
      </c>
      <c r="N3118" s="1" t="b">
        <v>1</v>
      </c>
    </row>
    <row r="3119" spans="1:14" ht="19" customHeight="1" x14ac:dyDescent="0.3">
      <c r="A3119">
        <v>3114</v>
      </c>
      <c r="B3119" s="1">
        <v>12</v>
      </c>
      <c r="C3119" s="1">
        <v>50</v>
      </c>
      <c r="D3119" s="1">
        <v>0.04</v>
      </c>
      <c r="E3119" s="1">
        <v>8.5000000000000006E-2</v>
      </c>
      <c r="F3119" s="1">
        <v>5</v>
      </c>
      <c r="G3119" s="1">
        <v>1</v>
      </c>
      <c r="H3119" s="1">
        <v>1.3175331665800001</v>
      </c>
      <c r="I3119" s="1">
        <v>1.44338854921</v>
      </c>
      <c r="J3119" s="1">
        <v>0.73038564221400004</v>
      </c>
      <c r="K3119" s="1">
        <v>6341.4920659700001</v>
      </c>
      <c r="L3119" s="1">
        <v>1677.6045219600001</v>
      </c>
      <c r="M3119" s="1" t="s">
        <v>198</v>
      </c>
      <c r="N3119" s="1" t="b">
        <v>1</v>
      </c>
    </row>
    <row r="3120" spans="1:14" ht="19" customHeight="1" x14ac:dyDescent="0.3">
      <c r="A3120">
        <v>3115</v>
      </c>
      <c r="B3120" s="1">
        <v>12</v>
      </c>
      <c r="C3120" s="1">
        <v>50</v>
      </c>
      <c r="D3120" s="1">
        <v>5.5E-2</v>
      </c>
      <c r="E3120" s="1">
        <v>0.04</v>
      </c>
      <c r="F3120" s="1">
        <v>-5</v>
      </c>
      <c r="G3120" s="1">
        <v>0</v>
      </c>
      <c r="H3120" s="1">
        <v>1.24176856696</v>
      </c>
      <c r="I3120" s="1">
        <v>1.8108711661800001</v>
      </c>
      <c r="J3120" s="1">
        <v>0.88393394307499995</v>
      </c>
      <c r="K3120" s="1">
        <v>7011.5318870499996</v>
      </c>
      <c r="L3120" s="1">
        <v>2030.2857755</v>
      </c>
      <c r="M3120" s="1" t="s">
        <v>198</v>
      </c>
      <c r="N3120" s="1" t="b">
        <v>1</v>
      </c>
    </row>
    <row r="3121" spans="1:14" ht="19" customHeight="1" x14ac:dyDescent="0.3">
      <c r="A3121">
        <v>3116</v>
      </c>
      <c r="B3121" s="1">
        <v>12</v>
      </c>
      <c r="C3121" s="1">
        <v>50</v>
      </c>
      <c r="D3121" s="1">
        <v>5.5E-2</v>
      </c>
      <c r="E3121" s="1">
        <v>0.04</v>
      </c>
      <c r="F3121" s="1">
        <v>-5</v>
      </c>
      <c r="G3121" s="1">
        <v>1</v>
      </c>
      <c r="H3121" s="1">
        <v>1.24176856696</v>
      </c>
      <c r="I3121" s="1">
        <v>1.3581533746400001</v>
      </c>
      <c r="J3121" s="1">
        <v>0.72482583332100003</v>
      </c>
      <c r="K3121" s="1">
        <v>5971.6957095899998</v>
      </c>
      <c r="L3121" s="1">
        <v>1664.8343359099999</v>
      </c>
      <c r="M3121" s="1" t="s">
        <v>198</v>
      </c>
      <c r="N3121" s="1" t="b">
        <v>1</v>
      </c>
    </row>
    <row r="3122" spans="1:14" ht="19" customHeight="1" x14ac:dyDescent="0.3">
      <c r="A3122">
        <v>3117</v>
      </c>
      <c r="B3122" s="1">
        <v>12</v>
      </c>
      <c r="C3122" s="1">
        <v>50</v>
      </c>
      <c r="D3122" s="1">
        <v>5.5E-2</v>
      </c>
      <c r="E3122" s="1">
        <v>0.04</v>
      </c>
      <c r="F3122" s="1">
        <v>0</v>
      </c>
      <c r="G3122" s="1">
        <v>0</v>
      </c>
      <c r="H3122" s="1">
        <v>1.2700250531199999</v>
      </c>
      <c r="I3122" s="1">
        <v>1.85207760143</v>
      </c>
      <c r="J3122" s="1">
        <v>0.876433943075</v>
      </c>
      <c r="K3122" s="1">
        <v>7171.0795346799996</v>
      </c>
      <c r="L3122" s="1">
        <v>2013.059213</v>
      </c>
      <c r="M3122" s="1" t="s">
        <v>198</v>
      </c>
      <c r="N3122" s="1" t="b">
        <v>1</v>
      </c>
    </row>
    <row r="3123" spans="1:14" ht="19" customHeight="1" x14ac:dyDescent="0.3">
      <c r="A3123">
        <v>3118</v>
      </c>
      <c r="B3123" s="1">
        <v>12</v>
      </c>
      <c r="C3123" s="1">
        <v>50</v>
      </c>
      <c r="D3123" s="1">
        <v>5.5E-2</v>
      </c>
      <c r="E3123" s="1">
        <v>0.04</v>
      </c>
      <c r="F3123" s="1">
        <v>0</v>
      </c>
      <c r="G3123" s="1">
        <v>1</v>
      </c>
      <c r="H3123" s="1">
        <v>1.2700250531199999</v>
      </c>
      <c r="I3123" s="1">
        <v>1.3890582010800001</v>
      </c>
      <c r="J3123" s="1">
        <v>0.71867583332100005</v>
      </c>
      <c r="K3123" s="1">
        <v>6107.5818494799996</v>
      </c>
      <c r="L3123" s="1">
        <v>1650.7085546599999</v>
      </c>
      <c r="M3123" s="1" t="s">
        <v>198</v>
      </c>
      <c r="N3123" s="1" t="b">
        <v>1</v>
      </c>
    </row>
    <row r="3124" spans="1:14" ht="19" customHeight="1" x14ac:dyDescent="0.3">
      <c r="A3124">
        <v>3119</v>
      </c>
      <c r="B3124" s="1">
        <v>12</v>
      </c>
      <c r="C3124" s="1">
        <v>50</v>
      </c>
      <c r="D3124" s="1">
        <v>5.5E-2</v>
      </c>
      <c r="E3124" s="1">
        <v>0.04</v>
      </c>
      <c r="F3124" s="1">
        <v>5</v>
      </c>
      <c r="G3124" s="1">
        <v>0</v>
      </c>
      <c r="H3124" s="1">
        <v>1.24176856696</v>
      </c>
      <c r="I3124" s="1">
        <v>1.8108711661800001</v>
      </c>
      <c r="J3124" s="1">
        <v>0.88393394307499995</v>
      </c>
      <c r="K3124" s="1">
        <v>7011.5318870499996</v>
      </c>
      <c r="L3124" s="1">
        <v>2030.2857755</v>
      </c>
      <c r="M3124" s="1" t="s">
        <v>198</v>
      </c>
      <c r="N3124" s="1" t="b">
        <v>1</v>
      </c>
    </row>
    <row r="3125" spans="1:14" ht="19" customHeight="1" x14ac:dyDescent="0.3">
      <c r="A3125">
        <v>3120</v>
      </c>
      <c r="B3125" s="1">
        <v>12</v>
      </c>
      <c r="C3125" s="1">
        <v>50</v>
      </c>
      <c r="D3125" s="1">
        <v>5.5E-2</v>
      </c>
      <c r="E3125" s="1">
        <v>0.04</v>
      </c>
      <c r="F3125" s="1">
        <v>5</v>
      </c>
      <c r="G3125" s="1">
        <v>1</v>
      </c>
      <c r="H3125" s="1">
        <v>1.24176856696</v>
      </c>
      <c r="I3125" s="1">
        <v>1.3581533746400001</v>
      </c>
      <c r="J3125" s="1">
        <v>0.72482583332100003</v>
      </c>
      <c r="K3125" s="1">
        <v>5971.6957095899998</v>
      </c>
      <c r="L3125" s="1">
        <v>1664.8343359099999</v>
      </c>
      <c r="M3125" s="1" t="s">
        <v>198</v>
      </c>
      <c r="N3125" s="1" t="b">
        <v>1</v>
      </c>
    </row>
    <row r="3126" spans="1:14" ht="19" customHeight="1" x14ac:dyDescent="0.3">
      <c r="A3126">
        <v>3121</v>
      </c>
      <c r="B3126" s="1">
        <v>12</v>
      </c>
      <c r="C3126" s="1">
        <v>50</v>
      </c>
      <c r="D3126" s="1">
        <v>5.5E-2</v>
      </c>
      <c r="E3126" s="1">
        <v>0.06</v>
      </c>
      <c r="F3126" s="1">
        <v>-5</v>
      </c>
      <c r="G3126" s="1">
        <v>0</v>
      </c>
      <c r="H3126" s="1">
        <v>1.26939816666</v>
      </c>
      <c r="I3126" s="1">
        <v>1.8523155657399999</v>
      </c>
      <c r="J3126" s="1">
        <v>0.88640654539200003</v>
      </c>
      <c r="K3126" s="1">
        <v>7170.1862291199996</v>
      </c>
      <c r="L3126" s="1">
        <v>2035.9650339499999</v>
      </c>
      <c r="M3126" s="1" t="s">
        <v>198</v>
      </c>
      <c r="N3126" s="1" t="b">
        <v>1</v>
      </c>
    </row>
    <row r="3127" spans="1:14" ht="19" customHeight="1" x14ac:dyDescent="0.3">
      <c r="A3127">
        <v>3122</v>
      </c>
      <c r="B3127" s="1">
        <v>12</v>
      </c>
      <c r="C3127" s="1">
        <v>50</v>
      </c>
      <c r="D3127" s="1">
        <v>5.5E-2</v>
      </c>
      <c r="E3127" s="1">
        <v>0.06</v>
      </c>
      <c r="F3127" s="1">
        <v>-5</v>
      </c>
      <c r="G3127" s="1">
        <v>1</v>
      </c>
      <c r="H3127" s="1">
        <v>1.26939816666</v>
      </c>
      <c r="I3127" s="1">
        <v>1.38923667431</v>
      </c>
      <c r="J3127" s="1">
        <v>0.72685336722100002</v>
      </c>
      <c r="K3127" s="1">
        <v>6106.5519003500003</v>
      </c>
      <c r="L3127" s="1">
        <v>1669.4913278399999</v>
      </c>
      <c r="M3127" s="1" t="s">
        <v>198</v>
      </c>
      <c r="N3127" s="1" t="b">
        <v>1</v>
      </c>
    </row>
    <row r="3128" spans="1:14" ht="19" customHeight="1" x14ac:dyDescent="0.3">
      <c r="A3128">
        <v>3123</v>
      </c>
      <c r="B3128" s="1">
        <v>12</v>
      </c>
      <c r="C3128" s="1">
        <v>50</v>
      </c>
      <c r="D3128" s="1">
        <v>5.5E-2</v>
      </c>
      <c r="E3128" s="1">
        <v>0.06</v>
      </c>
      <c r="F3128" s="1">
        <v>0</v>
      </c>
      <c r="G3128" s="1">
        <v>0</v>
      </c>
      <c r="H3128" s="1">
        <v>1.2982833653100001</v>
      </c>
      <c r="I3128" s="1">
        <v>1.8944650697200001</v>
      </c>
      <c r="J3128" s="1">
        <v>0.87890654539199997</v>
      </c>
      <c r="K3128" s="1">
        <v>7333.3440617300002</v>
      </c>
      <c r="L3128" s="1">
        <v>2018.7384714499999</v>
      </c>
      <c r="M3128" s="1" t="s">
        <v>198</v>
      </c>
      <c r="N3128" s="1" t="b">
        <v>1</v>
      </c>
    </row>
    <row r="3129" spans="1:14" ht="19" customHeight="1" x14ac:dyDescent="0.3">
      <c r="A3129">
        <v>3124</v>
      </c>
      <c r="B3129" s="1">
        <v>12</v>
      </c>
      <c r="C3129" s="1">
        <v>50</v>
      </c>
      <c r="D3129" s="1">
        <v>5.5E-2</v>
      </c>
      <c r="E3129" s="1">
        <v>0.06</v>
      </c>
      <c r="F3129" s="1">
        <v>0</v>
      </c>
      <c r="G3129" s="1">
        <v>1</v>
      </c>
      <c r="H3129" s="1">
        <v>1.2982833653100001</v>
      </c>
      <c r="I3129" s="1">
        <v>1.4208488022900001</v>
      </c>
      <c r="J3129" s="1">
        <v>0.72070336722100004</v>
      </c>
      <c r="K3129" s="1">
        <v>6245.5066974700003</v>
      </c>
      <c r="L3129" s="1">
        <v>1655.3655465899999</v>
      </c>
      <c r="M3129" s="1" t="s">
        <v>198</v>
      </c>
      <c r="N3129" s="1" t="b">
        <v>1</v>
      </c>
    </row>
    <row r="3130" spans="1:14" ht="19" customHeight="1" x14ac:dyDescent="0.3">
      <c r="A3130">
        <v>3125</v>
      </c>
      <c r="B3130" s="1">
        <v>12</v>
      </c>
      <c r="C3130" s="1">
        <v>50</v>
      </c>
      <c r="D3130" s="1">
        <v>5.5E-2</v>
      </c>
      <c r="E3130" s="1">
        <v>0.06</v>
      </c>
      <c r="F3130" s="1">
        <v>5</v>
      </c>
      <c r="G3130" s="1">
        <v>0</v>
      </c>
      <c r="H3130" s="1">
        <v>1.26939816666</v>
      </c>
      <c r="I3130" s="1">
        <v>1.8523155657399999</v>
      </c>
      <c r="J3130" s="1">
        <v>0.88640654539200003</v>
      </c>
      <c r="K3130" s="1">
        <v>7170.1862291199996</v>
      </c>
      <c r="L3130" s="1">
        <v>2035.9650339499999</v>
      </c>
      <c r="M3130" s="1" t="s">
        <v>198</v>
      </c>
      <c r="N3130" s="1" t="b">
        <v>1</v>
      </c>
    </row>
    <row r="3131" spans="1:14" ht="19" customHeight="1" x14ac:dyDescent="0.3">
      <c r="A3131">
        <v>3126</v>
      </c>
      <c r="B3131" s="1">
        <v>12</v>
      </c>
      <c r="C3131" s="1">
        <v>50</v>
      </c>
      <c r="D3131" s="1">
        <v>5.5E-2</v>
      </c>
      <c r="E3131" s="1">
        <v>0.06</v>
      </c>
      <c r="F3131" s="1">
        <v>5</v>
      </c>
      <c r="G3131" s="1">
        <v>1</v>
      </c>
      <c r="H3131" s="1">
        <v>1.26939816666</v>
      </c>
      <c r="I3131" s="1">
        <v>1.38923667431</v>
      </c>
      <c r="J3131" s="1">
        <v>0.72685336722100002</v>
      </c>
      <c r="K3131" s="1">
        <v>6106.5519003500003</v>
      </c>
      <c r="L3131" s="1">
        <v>1669.4913278399999</v>
      </c>
      <c r="M3131" s="1" t="s">
        <v>198</v>
      </c>
      <c r="N3131" s="1" t="b">
        <v>1</v>
      </c>
    </row>
    <row r="3132" spans="1:14" ht="19" customHeight="1" x14ac:dyDescent="0.3">
      <c r="A3132">
        <v>3127</v>
      </c>
      <c r="B3132" s="1">
        <v>12</v>
      </c>
      <c r="C3132" s="1">
        <v>50</v>
      </c>
      <c r="D3132" s="1">
        <v>5.5E-2</v>
      </c>
      <c r="E3132" s="1">
        <v>8.5000000000000006E-2</v>
      </c>
      <c r="F3132" s="1">
        <v>-5</v>
      </c>
      <c r="G3132" s="1">
        <v>0</v>
      </c>
      <c r="H3132" s="1">
        <v>1.1987636211499999</v>
      </c>
      <c r="I3132" s="1">
        <v>1.74636374747</v>
      </c>
      <c r="J3132" s="1">
        <v>0.88008538465300001</v>
      </c>
      <c r="K3132" s="1">
        <v>6764.5894248100003</v>
      </c>
      <c r="L3132" s="1">
        <v>2021.44611788</v>
      </c>
      <c r="M3132" s="1" t="s">
        <v>198</v>
      </c>
      <c r="N3132" s="1" t="b">
        <v>1</v>
      </c>
    </row>
    <row r="3133" spans="1:14" ht="19" customHeight="1" x14ac:dyDescent="0.3">
      <c r="A3133">
        <v>3128</v>
      </c>
      <c r="B3133" s="1">
        <v>12</v>
      </c>
      <c r="C3133" s="1">
        <v>50</v>
      </c>
      <c r="D3133" s="1">
        <v>5.5E-2</v>
      </c>
      <c r="E3133" s="1">
        <v>8.5000000000000006E-2</v>
      </c>
      <c r="F3133" s="1">
        <v>-5</v>
      </c>
      <c r="G3133" s="1">
        <v>1</v>
      </c>
      <c r="H3133" s="1">
        <v>1.1987636211499999</v>
      </c>
      <c r="I3133" s="1">
        <v>1.3097728105999999</v>
      </c>
      <c r="J3133" s="1">
        <v>0.72167001541599995</v>
      </c>
      <c r="K3133" s="1">
        <v>5761.7946166900001</v>
      </c>
      <c r="L3133" s="1">
        <v>1657.5858166600001</v>
      </c>
      <c r="M3133" s="1" t="s">
        <v>198</v>
      </c>
      <c r="N3133" s="1" t="b">
        <v>1</v>
      </c>
    </row>
    <row r="3134" spans="1:14" ht="19" customHeight="1" x14ac:dyDescent="0.3">
      <c r="A3134">
        <v>3129</v>
      </c>
      <c r="B3134" s="1">
        <v>12</v>
      </c>
      <c r="C3134" s="1">
        <v>50</v>
      </c>
      <c r="D3134" s="1">
        <v>5.5E-2</v>
      </c>
      <c r="E3134" s="1">
        <v>8.5000000000000006E-2</v>
      </c>
      <c r="F3134" s="1">
        <v>0</v>
      </c>
      <c r="G3134" s="1">
        <v>0</v>
      </c>
      <c r="H3134" s="1">
        <v>1.2260415283099999</v>
      </c>
      <c r="I3134" s="1">
        <v>1.7861023142100001</v>
      </c>
      <c r="J3134" s="1">
        <v>0.87258538465299995</v>
      </c>
      <c r="K3134" s="1">
        <v>6918.5178882800001</v>
      </c>
      <c r="L3134" s="1">
        <v>2004.21955538</v>
      </c>
      <c r="M3134" s="1" t="s">
        <v>198</v>
      </c>
      <c r="N3134" s="1" t="b">
        <v>1</v>
      </c>
    </row>
    <row r="3135" spans="1:14" ht="19" customHeight="1" x14ac:dyDescent="0.3">
      <c r="A3135">
        <v>3130</v>
      </c>
      <c r="B3135" s="1">
        <v>12</v>
      </c>
      <c r="C3135" s="1">
        <v>50</v>
      </c>
      <c r="D3135" s="1">
        <v>5.5E-2</v>
      </c>
      <c r="E3135" s="1">
        <v>8.5000000000000006E-2</v>
      </c>
      <c r="F3135" s="1">
        <v>0</v>
      </c>
      <c r="G3135" s="1">
        <v>1</v>
      </c>
      <c r="H3135" s="1">
        <v>1.2260415283099999</v>
      </c>
      <c r="I3135" s="1">
        <v>1.3395767356599999</v>
      </c>
      <c r="J3135" s="1">
        <v>0.71552001541599997</v>
      </c>
      <c r="K3135" s="1">
        <v>5892.9044500399996</v>
      </c>
      <c r="L3135" s="1">
        <v>1643.46003541</v>
      </c>
      <c r="M3135" s="1" t="s">
        <v>198</v>
      </c>
      <c r="N3135" s="1" t="b">
        <v>1</v>
      </c>
    </row>
    <row r="3136" spans="1:14" ht="19" customHeight="1" x14ac:dyDescent="0.3">
      <c r="A3136">
        <v>3131</v>
      </c>
      <c r="B3136" s="1">
        <v>12</v>
      </c>
      <c r="C3136" s="1">
        <v>50</v>
      </c>
      <c r="D3136" s="1">
        <v>5.5E-2</v>
      </c>
      <c r="E3136" s="1">
        <v>8.5000000000000006E-2</v>
      </c>
      <c r="F3136" s="1">
        <v>5</v>
      </c>
      <c r="G3136" s="1">
        <v>0</v>
      </c>
      <c r="H3136" s="1">
        <v>1.1987636211499999</v>
      </c>
      <c r="I3136" s="1">
        <v>1.74636374747</v>
      </c>
      <c r="J3136" s="1">
        <v>0.88008538465300001</v>
      </c>
      <c r="K3136" s="1">
        <v>6764.5894248100003</v>
      </c>
      <c r="L3136" s="1">
        <v>2021.44611788</v>
      </c>
      <c r="M3136" s="1" t="s">
        <v>198</v>
      </c>
      <c r="N3136" s="1" t="b">
        <v>1</v>
      </c>
    </row>
    <row r="3137" spans="1:14" ht="19" customHeight="1" x14ac:dyDescent="0.3">
      <c r="A3137">
        <v>3132</v>
      </c>
      <c r="B3137" s="1">
        <v>12</v>
      </c>
      <c r="C3137" s="1">
        <v>50</v>
      </c>
      <c r="D3137" s="1">
        <v>5.5E-2</v>
      </c>
      <c r="E3137" s="1">
        <v>8.5000000000000006E-2</v>
      </c>
      <c r="F3137" s="1">
        <v>5</v>
      </c>
      <c r="G3137" s="1">
        <v>1</v>
      </c>
      <c r="H3137" s="1">
        <v>1.1987636211499999</v>
      </c>
      <c r="I3137" s="1">
        <v>1.3097728105999999</v>
      </c>
      <c r="J3137" s="1">
        <v>0.72167001541599995</v>
      </c>
      <c r="K3137" s="1">
        <v>5761.7946166900001</v>
      </c>
      <c r="L3137" s="1">
        <v>1657.5858166600001</v>
      </c>
      <c r="M3137" s="1" t="s">
        <v>198</v>
      </c>
      <c r="N3137" s="1" t="b">
        <v>1</v>
      </c>
    </row>
    <row r="3138" spans="1:14" ht="19" customHeight="1" x14ac:dyDescent="0.3">
      <c r="A3138">
        <v>3133</v>
      </c>
      <c r="B3138" s="1">
        <v>12</v>
      </c>
      <c r="C3138" s="1">
        <v>70</v>
      </c>
      <c r="D3138" s="1">
        <v>2.5000000000000001E-2</v>
      </c>
      <c r="E3138" s="1">
        <v>0.04</v>
      </c>
      <c r="F3138" s="1">
        <v>-5</v>
      </c>
      <c r="G3138" s="1">
        <v>0</v>
      </c>
      <c r="H3138" s="1">
        <v>1.37566485557</v>
      </c>
      <c r="I3138" s="1">
        <v>2.0117155991</v>
      </c>
      <c r="J3138" s="1">
        <v>0.89591646460800001</v>
      </c>
      <c r="K3138" s="1">
        <v>15249.5633843</v>
      </c>
      <c r="L3138" s="1">
        <v>4033.3039340999999</v>
      </c>
      <c r="M3138" s="1" t="s">
        <v>198</v>
      </c>
      <c r="N3138" s="1" t="b">
        <v>1</v>
      </c>
    </row>
    <row r="3139" spans="1:14" ht="19" customHeight="1" x14ac:dyDescent="0.3">
      <c r="A3139">
        <v>3134</v>
      </c>
      <c r="B3139" s="1">
        <v>12</v>
      </c>
      <c r="C3139" s="1">
        <v>70</v>
      </c>
      <c r="D3139" s="1">
        <v>2.5000000000000001E-2</v>
      </c>
      <c r="E3139" s="1">
        <v>0.04</v>
      </c>
      <c r="F3139" s="1">
        <v>-5</v>
      </c>
      <c r="G3139" s="1">
        <v>1</v>
      </c>
      <c r="H3139" s="1">
        <v>1.37566485557</v>
      </c>
      <c r="I3139" s="1">
        <v>1.5087866993200001</v>
      </c>
      <c r="J3139" s="1">
        <v>0.73465150097800003</v>
      </c>
      <c r="K3139" s="1">
        <v>12985.4403437</v>
      </c>
      <c r="L3139" s="1">
        <v>3307.3092259700002</v>
      </c>
      <c r="M3139" s="1" t="s">
        <v>198</v>
      </c>
      <c r="N3139" s="1" t="b">
        <v>1</v>
      </c>
    </row>
    <row r="3140" spans="1:14" ht="19" customHeight="1" x14ac:dyDescent="0.3">
      <c r="A3140">
        <v>3135</v>
      </c>
      <c r="B3140" s="1">
        <v>12</v>
      </c>
      <c r="C3140" s="1">
        <v>70</v>
      </c>
      <c r="D3140" s="1">
        <v>2.5000000000000001E-2</v>
      </c>
      <c r="E3140" s="1">
        <v>0.04</v>
      </c>
      <c r="F3140" s="1">
        <v>0</v>
      </c>
      <c r="G3140" s="1">
        <v>0</v>
      </c>
      <c r="H3140" s="1">
        <v>1.4069681563500001</v>
      </c>
      <c r="I3140" s="1">
        <v>2.0574922562800002</v>
      </c>
      <c r="J3140" s="1">
        <v>0.88841646460799995</v>
      </c>
      <c r="K3140" s="1">
        <v>15596.5677201</v>
      </c>
      <c r="L3140" s="1">
        <v>3999.5398716</v>
      </c>
      <c r="M3140" s="1" t="s">
        <v>198</v>
      </c>
      <c r="N3140" s="1" t="b">
        <v>1</v>
      </c>
    </row>
    <row r="3141" spans="1:14" ht="19" customHeight="1" x14ac:dyDescent="0.3">
      <c r="A3141">
        <v>3136</v>
      </c>
      <c r="B3141" s="1">
        <v>12</v>
      </c>
      <c r="C3141" s="1">
        <v>70</v>
      </c>
      <c r="D3141" s="1">
        <v>2.5000000000000001E-2</v>
      </c>
      <c r="E3141" s="1">
        <v>0.04</v>
      </c>
      <c r="F3141" s="1">
        <v>0</v>
      </c>
      <c r="G3141" s="1">
        <v>1</v>
      </c>
      <c r="H3141" s="1">
        <v>1.4069681563500001</v>
      </c>
      <c r="I3141" s="1">
        <v>1.54311919221</v>
      </c>
      <c r="J3141" s="1">
        <v>0.72850150097800004</v>
      </c>
      <c r="K3141" s="1">
        <v>13280.924482300001</v>
      </c>
      <c r="L3141" s="1">
        <v>3279.6226947199998</v>
      </c>
      <c r="M3141" s="1" t="s">
        <v>198</v>
      </c>
      <c r="N3141" s="1" t="b">
        <v>1</v>
      </c>
    </row>
    <row r="3142" spans="1:14" ht="19" customHeight="1" x14ac:dyDescent="0.3">
      <c r="A3142">
        <v>3137</v>
      </c>
      <c r="B3142" s="1">
        <v>12</v>
      </c>
      <c r="C3142" s="1">
        <v>70</v>
      </c>
      <c r="D3142" s="1">
        <v>2.5000000000000001E-2</v>
      </c>
      <c r="E3142" s="1">
        <v>0.04</v>
      </c>
      <c r="F3142" s="1">
        <v>5</v>
      </c>
      <c r="G3142" s="1">
        <v>0</v>
      </c>
      <c r="H3142" s="1">
        <v>1.37566485557</v>
      </c>
      <c r="I3142" s="1">
        <v>2.0117155991</v>
      </c>
      <c r="J3142" s="1">
        <v>0.89591646460800001</v>
      </c>
      <c r="K3142" s="1">
        <v>15249.5633843</v>
      </c>
      <c r="L3142" s="1">
        <v>4033.3039340999999</v>
      </c>
      <c r="M3142" s="1" t="s">
        <v>198</v>
      </c>
      <c r="N3142" s="1" t="b">
        <v>1</v>
      </c>
    </row>
    <row r="3143" spans="1:14" ht="19" customHeight="1" x14ac:dyDescent="0.3">
      <c r="A3143">
        <v>3138</v>
      </c>
      <c r="B3143" s="1">
        <v>12</v>
      </c>
      <c r="C3143" s="1">
        <v>70</v>
      </c>
      <c r="D3143" s="1">
        <v>2.5000000000000001E-2</v>
      </c>
      <c r="E3143" s="1">
        <v>0.04</v>
      </c>
      <c r="F3143" s="1">
        <v>5</v>
      </c>
      <c r="G3143" s="1">
        <v>1</v>
      </c>
      <c r="H3143" s="1">
        <v>1.37566485557</v>
      </c>
      <c r="I3143" s="1">
        <v>1.5087866993200001</v>
      </c>
      <c r="J3143" s="1">
        <v>0.73465150097800003</v>
      </c>
      <c r="K3143" s="1">
        <v>12985.4403437</v>
      </c>
      <c r="L3143" s="1">
        <v>3307.3092259700002</v>
      </c>
      <c r="M3143" s="1" t="s">
        <v>198</v>
      </c>
      <c r="N3143" s="1" t="b">
        <v>1</v>
      </c>
    </row>
    <row r="3144" spans="1:14" ht="19" customHeight="1" x14ac:dyDescent="0.3">
      <c r="A3144">
        <v>3139</v>
      </c>
      <c r="B3144" s="1">
        <v>12</v>
      </c>
      <c r="C3144" s="1">
        <v>70</v>
      </c>
      <c r="D3144" s="1">
        <v>2.5000000000000001E-2</v>
      </c>
      <c r="E3144" s="1">
        <v>0.06</v>
      </c>
      <c r="F3144" s="1">
        <v>-5</v>
      </c>
      <c r="G3144" s="1">
        <v>0</v>
      </c>
      <c r="H3144" s="1">
        <v>1.4162798692</v>
      </c>
      <c r="I3144" s="1">
        <v>2.0726381195500001</v>
      </c>
      <c r="J3144" s="1">
        <v>0.89955114545299997</v>
      </c>
      <c r="K3144" s="1">
        <v>15706.672670600001</v>
      </c>
      <c r="L3144" s="1">
        <v>4049.6668129300001</v>
      </c>
      <c r="M3144" s="1" t="s">
        <v>198</v>
      </c>
      <c r="N3144" s="1" t="b">
        <v>1</v>
      </c>
    </row>
    <row r="3145" spans="1:14" ht="19" customHeight="1" x14ac:dyDescent="0.3">
      <c r="A3145">
        <v>3140</v>
      </c>
      <c r="B3145" s="1">
        <v>12</v>
      </c>
      <c r="C3145" s="1">
        <v>70</v>
      </c>
      <c r="D3145" s="1">
        <v>2.5000000000000001E-2</v>
      </c>
      <c r="E3145" s="1">
        <v>0.06</v>
      </c>
      <c r="F3145" s="1">
        <v>-5</v>
      </c>
      <c r="G3145" s="1">
        <v>1</v>
      </c>
      <c r="H3145" s="1">
        <v>1.4162798692</v>
      </c>
      <c r="I3145" s="1">
        <v>1.55447858966</v>
      </c>
      <c r="J3145" s="1">
        <v>0.73763193927100001</v>
      </c>
      <c r="K3145" s="1">
        <v>13373.983237</v>
      </c>
      <c r="L3145" s="1">
        <v>3320.7267866100001</v>
      </c>
      <c r="M3145" s="1" t="s">
        <v>198</v>
      </c>
      <c r="N3145" s="1" t="b">
        <v>1</v>
      </c>
    </row>
    <row r="3146" spans="1:14" ht="19" customHeight="1" x14ac:dyDescent="0.3">
      <c r="A3146">
        <v>3141</v>
      </c>
      <c r="B3146" s="1">
        <v>12</v>
      </c>
      <c r="C3146" s="1">
        <v>70</v>
      </c>
      <c r="D3146" s="1">
        <v>2.5000000000000001E-2</v>
      </c>
      <c r="E3146" s="1">
        <v>0.06</v>
      </c>
      <c r="F3146" s="1">
        <v>0</v>
      </c>
      <c r="G3146" s="1">
        <v>0</v>
      </c>
      <c r="H3146" s="1">
        <v>1.4485073660100001</v>
      </c>
      <c r="I3146" s="1">
        <v>2.1198010707699999</v>
      </c>
      <c r="J3146" s="1">
        <v>0.89205114545300002</v>
      </c>
      <c r="K3146" s="1">
        <v>16064.0785438</v>
      </c>
      <c r="L3146" s="1">
        <v>4015.9027504300002</v>
      </c>
      <c r="M3146" s="1" t="s">
        <v>198</v>
      </c>
      <c r="N3146" s="1" t="b">
        <v>1</v>
      </c>
    </row>
    <row r="3147" spans="1:14" ht="19" customHeight="1" x14ac:dyDescent="0.3">
      <c r="A3147">
        <v>3142</v>
      </c>
      <c r="B3147" s="1">
        <v>12</v>
      </c>
      <c r="C3147" s="1">
        <v>70</v>
      </c>
      <c r="D3147" s="1">
        <v>2.5000000000000001E-2</v>
      </c>
      <c r="E3147" s="1">
        <v>0.06</v>
      </c>
      <c r="F3147" s="1">
        <v>0</v>
      </c>
      <c r="G3147" s="1">
        <v>1</v>
      </c>
      <c r="H3147" s="1">
        <v>1.4485073660100001</v>
      </c>
      <c r="I3147" s="1">
        <v>1.58985080308</v>
      </c>
      <c r="J3147" s="1">
        <v>0.73148193927100003</v>
      </c>
      <c r="K3147" s="1">
        <v>13678.308682499999</v>
      </c>
      <c r="L3147" s="1">
        <v>3293.0402553600002</v>
      </c>
      <c r="M3147" s="1" t="s">
        <v>198</v>
      </c>
      <c r="N3147" s="1" t="b">
        <v>1</v>
      </c>
    </row>
    <row r="3148" spans="1:14" ht="19" customHeight="1" x14ac:dyDescent="0.3">
      <c r="A3148">
        <v>3143</v>
      </c>
      <c r="B3148" s="1">
        <v>12</v>
      </c>
      <c r="C3148" s="1">
        <v>70</v>
      </c>
      <c r="D3148" s="1">
        <v>2.5000000000000001E-2</v>
      </c>
      <c r="E3148" s="1">
        <v>0.06</v>
      </c>
      <c r="F3148" s="1">
        <v>5</v>
      </c>
      <c r="G3148" s="1">
        <v>0</v>
      </c>
      <c r="H3148" s="1">
        <v>1.4162798692</v>
      </c>
      <c r="I3148" s="1">
        <v>2.0726381195500001</v>
      </c>
      <c r="J3148" s="1">
        <v>0.89955114545299997</v>
      </c>
      <c r="K3148" s="1">
        <v>15706.672670600001</v>
      </c>
      <c r="L3148" s="1">
        <v>4049.6668129300001</v>
      </c>
      <c r="M3148" s="1" t="s">
        <v>198</v>
      </c>
      <c r="N3148" s="1" t="b">
        <v>1</v>
      </c>
    </row>
    <row r="3149" spans="1:14" ht="19" customHeight="1" x14ac:dyDescent="0.3">
      <c r="A3149">
        <v>3144</v>
      </c>
      <c r="B3149" s="1">
        <v>12</v>
      </c>
      <c r="C3149" s="1">
        <v>70</v>
      </c>
      <c r="D3149" s="1">
        <v>2.5000000000000001E-2</v>
      </c>
      <c r="E3149" s="1">
        <v>0.06</v>
      </c>
      <c r="F3149" s="1">
        <v>5</v>
      </c>
      <c r="G3149" s="1">
        <v>1</v>
      </c>
      <c r="H3149" s="1">
        <v>1.4162798692</v>
      </c>
      <c r="I3149" s="1">
        <v>1.55447858966</v>
      </c>
      <c r="J3149" s="1">
        <v>0.73763193927100001</v>
      </c>
      <c r="K3149" s="1">
        <v>13373.983237</v>
      </c>
      <c r="L3149" s="1">
        <v>3320.7267866100001</v>
      </c>
      <c r="M3149" s="1" t="s">
        <v>198</v>
      </c>
      <c r="N3149" s="1" t="b">
        <v>1</v>
      </c>
    </row>
    <row r="3150" spans="1:14" ht="19" customHeight="1" x14ac:dyDescent="0.3">
      <c r="A3150">
        <v>3145</v>
      </c>
      <c r="B3150" s="1">
        <v>12</v>
      </c>
      <c r="C3150" s="1">
        <v>70</v>
      </c>
      <c r="D3150" s="1">
        <v>2.5000000000000001E-2</v>
      </c>
      <c r="E3150" s="1">
        <v>8.5000000000000006E-2</v>
      </c>
      <c r="F3150" s="1">
        <v>-5</v>
      </c>
      <c r="G3150" s="1">
        <v>0</v>
      </c>
      <c r="H3150" s="1">
        <v>1.3124483602599999</v>
      </c>
      <c r="I3150" s="1">
        <v>1.91689085613</v>
      </c>
      <c r="J3150" s="1">
        <v>0.89025915308600001</v>
      </c>
      <c r="K3150" s="1">
        <v>14538.081484800001</v>
      </c>
      <c r="L3150" s="1">
        <v>4007.8354248000001</v>
      </c>
      <c r="M3150" s="1" t="s">
        <v>198</v>
      </c>
      <c r="N3150" s="1" t="b">
        <v>1</v>
      </c>
    </row>
    <row r="3151" spans="1:14" ht="19" customHeight="1" x14ac:dyDescent="0.3">
      <c r="A3151">
        <v>3146</v>
      </c>
      <c r="B3151" s="1">
        <v>12</v>
      </c>
      <c r="C3151" s="1">
        <v>70</v>
      </c>
      <c r="D3151" s="1">
        <v>2.5000000000000001E-2</v>
      </c>
      <c r="E3151" s="1">
        <v>8.5000000000000006E-2</v>
      </c>
      <c r="F3151" s="1">
        <v>-5</v>
      </c>
      <c r="G3151" s="1">
        <v>1</v>
      </c>
      <c r="H3151" s="1">
        <v>1.3124483602599999</v>
      </c>
      <c r="I3151" s="1">
        <v>1.4376681420999999</v>
      </c>
      <c r="J3151" s="1">
        <v>0.73001250552999997</v>
      </c>
      <c r="K3151" s="1">
        <v>12380.6807291</v>
      </c>
      <c r="L3151" s="1">
        <v>3286.4250483300002</v>
      </c>
      <c r="M3151" s="1" t="s">
        <v>198</v>
      </c>
      <c r="N3151" s="1" t="b">
        <v>1</v>
      </c>
    </row>
    <row r="3152" spans="1:14" ht="19" customHeight="1" x14ac:dyDescent="0.3">
      <c r="A3152">
        <v>3147</v>
      </c>
      <c r="B3152" s="1">
        <v>12</v>
      </c>
      <c r="C3152" s="1">
        <v>70</v>
      </c>
      <c r="D3152" s="1">
        <v>2.5000000000000001E-2</v>
      </c>
      <c r="E3152" s="1">
        <v>8.5000000000000006E-2</v>
      </c>
      <c r="F3152" s="1">
        <v>0</v>
      </c>
      <c r="G3152" s="1">
        <v>0</v>
      </c>
      <c r="H3152" s="1">
        <v>1.34231316753</v>
      </c>
      <c r="I3152" s="1">
        <v>1.9605097730500001</v>
      </c>
      <c r="J3152" s="1">
        <v>0.88275915308599995</v>
      </c>
      <c r="K3152" s="1">
        <v>14868.8960257</v>
      </c>
      <c r="L3152" s="1">
        <v>3974.0713623000001</v>
      </c>
      <c r="M3152" s="1" t="s">
        <v>198</v>
      </c>
      <c r="N3152" s="1" t="b">
        <v>1</v>
      </c>
    </row>
    <row r="3153" spans="1:14" ht="19" customHeight="1" x14ac:dyDescent="0.3">
      <c r="A3153">
        <v>3148</v>
      </c>
      <c r="B3153" s="1">
        <v>12</v>
      </c>
      <c r="C3153" s="1">
        <v>70</v>
      </c>
      <c r="D3153" s="1">
        <v>2.5000000000000001E-2</v>
      </c>
      <c r="E3153" s="1">
        <v>8.5000000000000006E-2</v>
      </c>
      <c r="F3153" s="1">
        <v>0</v>
      </c>
      <c r="G3153" s="1">
        <v>1</v>
      </c>
      <c r="H3153" s="1">
        <v>1.34231316753</v>
      </c>
      <c r="I3153" s="1">
        <v>1.4703823297900001</v>
      </c>
      <c r="J3153" s="1">
        <v>0.72386250552999998</v>
      </c>
      <c r="K3153" s="1">
        <v>12662.403542</v>
      </c>
      <c r="L3153" s="1">
        <v>3258.7385170799998</v>
      </c>
      <c r="M3153" s="1" t="s">
        <v>198</v>
      </c>
      <c r="N3153" s="1" t="b">
        <v>1</v>
      </c>
    </row>
    <row r="3154" spans="1:14" ht="19" customHeight="1" x14ac:dyDescent="0.3">
      <c r="A3154">
        <v>3149</v>
      </c>
      <c r="B3154" s="1">
        <v>12</v>
      </c>
      <c r="C3154" s="1">
        <v>70</v>
      </c>
      <c r="D3154" s="1">
        <v>2.5000000000000001E-2</v>
      </c>
      <c r="E3154" s="1">
        <v>8.5000000000000006E-2</v>
      </c>
      <c r="F3154" s="1">
        <v>5</v>
      </c>
      <c r="G3154" s="1">
        <v>0</v>
      </c>
      <c r="H3154" s="1">
        <v>1.3124483602599999</v>
      </c>
      <c r="I3154" s="1">
        <v>1.91689085613</v>
      </c>
      <c r="J3154" s="1">
        <v>0.89025915308600001</v>
      </c>
      <c r="K3154" s="1">
        <v>14538.081484800001</v>
      </c>
      <c r="L3154" s="1">
        <v>4007.8354248000001</v>
      </c>
      <c r="M3154" s="1" t="s">
        <v>198</v>
      </c>
      <c r="N3154" s="1" t="b">
        <v>1</v>
      </c>
    </row>
    <row r="3155" spans="1:14" ht="19" customHeight="1" x14ac:dyDescent="0.3">
      <c r="A3155">
        <v>3150</v>
      </c>
      <c r="B3155" s="1">
        <v>12</v>
      </c>
      <c r="C3155" s="1">
        <v>70</v>
      </c>
      <c r="D3155" s="1">
        <v>2.5000000000000001E-2</v>
      </c>
      <c r="E3155" s="1">
        <v>8.5000000000000006E-2</v>
      </c>
      <c r="F3155" s="1">
        <v>5</v>
      </c>
      <c r="G3155" s="1">
        <v>1</v>
      </c>
      <c r="H3155" s="1">
        <v>1.3124483602599999</v>
      </c>
      <c r="I3155" s="1">
        <v>1.4376681420999999</v>
      </c>
      <c r="J3155" s="1">
        <v>0.73001250552999997</v>
      </c>
      <c r="K3155" s="1">
        <v>12380.6807291</v>
      </c>
      <c r="L3155" s="1">
        <v>3286.4250483300002</v>
      </c>
      <c r="M3155" s="1" t="s">
        <v>198</v>
      </c>
      <c r="N3155" s="1" t="b">
        <v>1</v>
      </c>
    </row>
    <row r="3156" spans="1:14" ht="19" customHeight="1" x14ac:dyDescent="0.3">
      <c r="A3156">
        <v>3151</v>
      </c>
      <c r="B3156" s="1">
        <v>12</v>
      </c>
      <c r="C3156" s="1">
        <v>70</v>
      </c>
      <c r="D3156" s="1">
        <v>0.04</v>
      </c>
      <c r="E3156" s="1">
        <v>0.04</v>
      </c>
      <c r="F3156" s="1">
        <v>-5</v>
      </c>
      <c r="G3156" s="1">
        <v>0</v>
      </c>
      <c r="H3156" s="1">
        <v>1.3816536690200001</v>
      </c>
      <c r="I3156" s="1">
        <v>2.0206988192800002</v>
      </c>
      <c r="J3156" s="1">
        <v>0.89645240990399999</v>
      </c>
      <c r="K3156" s="1">
        <v>15316.9656082</v>
      </c>
      <c r="L3156" s="1">
        <v>4035.7166928400002</v>
      </c>
      <c r="M3156" s="1" t="s">
        <v>198</v>
      </c>
      <c r="N3156" s="1" t="b">
        <v>1</v>
      </c>
    </row>
    <row r="3157" spans="1:14" ht="19" customHeight="1" x14ac:dyDescent="0.3">
      <c r="A3157">
        <v>3152</v>
      </c>
      <c r="B3157" s="1">
        <v>12</v>
      </c>
      <c r="C3157" s="1">
        <v>70</v>
      </c>
      <c r="D3157" s="1">
        <v>0.04</v>
      </c>
      <c r="E3157" s="1">
        <v>0.04</v>
      </c>
      <c r="F3157" s="1">
        <v>-5</v>
      </c>
      <c r="G3157" s="1">
        <v>1</v>
      </c>
      <c r="H3157" s="1">
        <v>1.3816536690200001</v>
      </c>
      <c r="I3157" s="1">
        <v>1.51552411446</v>
      </c>
      <c r="J3157" s="1">
        <v>0.73509097612200003</v>
      </c>
      <c r="K3157" s="1">
        <v>13042.732233999999</v>
      </c>
      <c r="L3157" s="1">
        <v>3309.2876881299999</v>
      </c>
      <c r="M3157" s="1" t="s">
        <v>198</v>
      </c>
      <c r="N3157" s="1" t="b">
        <v>1</v>
      </c>
    </row>
    <row r="3158" spans="1:14" ht="19" customHeight="1" x14ac:dyDescent="0.3">
      <c r="A3158">
        <v>3153</v>
      </c>
      <c r="B3158" s="1">
        <v>12</v>
      </c>
      <c r="C3158" s="1">
        <v>70</v>
      </c>
      <c r="D3158" s="1">
        <v>0.04</v>
      </c>
      <c r="E3158" s="1">
        <v>0.04</v>
      </c>
      <c r="F3158" s="1">
        <v>0</v>
      </c>
      <c r="G3158" s="1">
        <v>0</v>
      </c>
      <c r="H3158" s="1">
        <v>1.41309324546</v>
      </c>
      <c r="I3158" s="1">
        <v>2.0666798899400001</v>
      </c>
      <c r="J3158" s="1">
        <v>0.88895240990400004</v>
      </c>
      <c r="K3158" s="1">
        <v>15665.503683999999</v>
      </c>
      <c r="L3158" s="1">
        <v>4001.9526303399998</v>
      </c>
      <c r="M3158" s="1" t="s">
        <v>198</v>
      </c>
      <c r="N3158" s="1" t="b">
        <v>1</v>
      </c>
    </row>
    <row r="3159" spans="1:14" ht="19" customHeight="1" x14ac:dyDescent="0.3">
      <c r="A3159">
        <v>3154</v>
      </c>
      <c r="B3159" s="1">
        <v>12</v>
      </c>
      <c r="C3159" s="1">
        <v>70</v>
      </c>
      <c r="D3159" s="1">
        <v>0.04</v>
      </c>
      <c r="E3159" s="1">
        <v>0.04</v>
      </c>
      <c r="F3159" s="1">
        <v>0</v>
      </c>
      <c r="G3159" s="1">
        <v>1</v>
      </c>
      <c r="H3159" s="1">
        <v>1.41309324546</v>
      </c>
      <c r="I3159" s="1">
        <v>1.5500099174599999</v>
      </c>
      <c r="J3159" s="1">
        <v>0.72894097612200004</v>
      </c>
      <c r="K3159" s="1">
        <v>13339.5200516</v>
      </c>
      <c r="L3159" s="1">
        <v>3281.60115688</v>
      </c>
      <c r="M3159" s="1" t="s">
        <v>198</v>
      </c>
      <c r="N3159" s="1" t="b">
        <v>1</v>
      </c>
    </row>
    <row r="3160" spans="1:14" ht="19" customHeight="1" x14ac:dyDescent="0.3">
      <c r="A3160">
        <v>3155</v>
      </c>
      <c r="B3160" s="1">
        <v>12</v>
      </c>
      <c r="C3160" s="1">
        <v>70</v>
      </c>
      <c r="D3160" s="1">
        <v>0.04</v>
      </c>
      <c r="E3160" s="1">
        <v>0.04</v>
      </c>
      <c r="F3160" s="1">
        <v>5</v>
      </c>
      <c r="G3160" s="1">
        <v>0</v>
      </c>
      <c r="H3160" s="1">
        <v>1.3816536690200001</v>
      </c>
      <c r="I3160" s="1">
        <v>2.0206988192800002</v>
      </c>
      <c r="J3160" s="1">
        <v>0.89645240990399999</v>
      </c>
      <c r="K3160" s="1">
        <v>15316.9656082</v>
      </c>
      <c r="L3160" s="1">
        <v>4035.7166928400002</v>
      </c>
      <c r="M3160" s="1" t="s">
        <v>198</v>
      </c>
      <c r="N3160" s="1" t="b">
        <v>1</v>
      </c>
    </row>
    <row r="3161" spans="1:14" ht="19" customHeight="1" x14ac:dyDescent="0.3">
      <c r="A3161">
        <v>3156</v>
      </c>
      <c r="B3161" s="1">
        <v>12</v>
      </c>
      <c r="C3161" s="1">
        <v>70</v>
      </c>
      <c r="D3161" s="1">
        <v>0.04</v>
      </c>
      <c r="E3161" s="1">
        <v>0.04</v>
      </c>
      <c r="F3161" s="1">
        <v>5</v>
      </c>
      <c r="G3161" s="1">
        <v>1</v>
      </c>
      <c r="H3161" s="1">
        <v>1.3816536690200001</v>
      </c>
      <c r="I3161" s="1">
        <v>1.51552411446</v>
      </c>
      <c r="J3161" s="1">
        <v>0.73509097612200003</v>
      </c>
      <c r="K3161" s="1">
        <v>13042.732233999999</v>
      </c>
      <c r="L3161" s="1">
        <v>3309.2876881299999</v>
      </c>
      <c r="M3161" s="1" t="s">
        <v>198</v>
      </c>
      <c r="N3161" s="1" t="b">
        <v>1</v>
      </c>
    </row>
    <row r="3162" spans="1:14" ht="19" customHeight="1" x14ac:dyDescent="0.3">
      <c r="A3162">
        <v>3157</v>
      </c>
      <c r="B3162" s="1">
        <v>12</v>
      </c>
      <c r="C3162" s="1">
        <v>70</v>
      </c>
      <c r="D3162" s="1">
        <v>0.04</v>
      </c>
      <c r="E3162" s="1">
        <v>0.06</v>
      </c>
      <c r="F3162" s="1">
        <v>-5</v>
      </c>
      <c r="G3162" s="1">
        <v>0</v>
      </c>
      <c r="H3162" s="1">
        <v>1.4228494845799999</v>
      </c>
      <c r="I3162" s="1">
        <v>2.0824925426099998</v>
      </c>
      <c r="J3162" s="1">
        <v>0.900139067332</v>
      </c>
      <c r="K3162" s="1">
        <v>15780.611638599999</v>
      </c>
      <c r="L3162" s="1">
        <v>4052.31356375</v>
      </c>
      <c r="M3162" s="1" t="s">
        <v>198</v>
      </c>
      <c r="N3162" s="1" t="b">
        <v>1</v>
      </c>
    </row>
    <row r="3163" spans="1:14" ht="19" customHeight="1" x14ac:dyDescent="0.3">
      <c r="A3163">
        <v>3158</v>
      </c>
      <c r="B3163" s="1">
        <v>12</v>
      </c>
      <c r="C3163" s="1">
        <v>70</v>
      </c>
      <c r="D3163" s="1">
        <v>0.04</v>
      </c>
      <c r="E3163" s="1">
        <v>0.06</v>
      </c>
      <c r="F3163" s="1">
        <v>-5</v>
      </c>
      <c r="G3163" s="1">
        <v>1</v>
      </c>
      <c r="H3163" s="1">
        <v>1.4228494845799999</v>
      </c>
      <c r="I3163" s="1">
        <v>1.5618694069600001</v>
      </c>
      <c r="J3163" s="1">
        <v>0.73811403521200003</v>
      </c>
      <c r="K3163" s="1">
        <v>13436.8313598</v>
      </c>
      <c r="L3163" s="1">
        <v>3322.8971222700002</v>
      </c>
      <c r="M3163" s="1" t="s">
        <v>198</v>
      </c>
      <c r="N3163" s="1" t="b">
        <v>1</v>
      </c>
    </row>
    <row r="3164" spans="1:14" ht="19" customHeight="1" x14ac:dyDescent="0.3">
      <c r="A3164">
        <v>3159</v>
      </c>
      <c r="B3164" s="1">
        <v>12</v>
      </c>
      <c r="C3164" s="1">
        <v>70</v>
      </c>
      <c r="D3164" s="1">
        <v>0.04</v>
      </c>
      <c r="E3164" s="1">
        <v>0.06</v>
      </c>
      <c r="F3164" s="1">
        <v>0</v>
      </c>
      <c r="G3164" s="1">
        <v>0</v>
      </c>
      <c r="H3164" s="1">
        <v>1.45522647321</v>
      </c>
      <c r="I3164" s="1">
        <v>2.12987973156</v>
      </c>
      <c r="J3164" s="1">
        <v>0.89263906733200005</v>
      </c>
      <c r="K3164" s="1">
        <v>16139.6999956</v>
      </c>
      <c r="L3164" s="1">
        <v>4018.54950125</v>
      </c>
      <c r="M3164" s="1" t="s">
        <v>198</v>
      </c>
      <c r="N3164" s="1" t="b">
        <v>1</v>
      </c>
    </row>
    <row r="3165" spans="1:14" ht="19" customHeight="1" x14ac:dyDescent="0.3">
      <c r="A3165">
        <v>3160</v>
      </c>
      <c r="B3165" s="1">
        <v>12</v>
      </c>
      <c r="C3165" s="1">
        <v>70</v>
      </c>
      <c r="D3165" s="1">
        <v>0.04</v>
      </c>
      <c r="E3165" s="1">
        <v>0.06</v>
      </c>
      <c r="F3165" s="1">
        <v>0</v>
      </c>
      <c r="G3165" s="1">
        <v>1</v>
      </c>
      <c r="H3165" s="1">
        <v>1.45522647321</v>
      </c>
      <c r="I3165" s="1">
        <v>1.59740979867</v>
      </c>
      <c r="J3165" s="1">
        <v>0.73196403521200004</v>
      </c>
      <c r="K3165" s="1">
        <v>13742.5869165</v>
      </c>
      <c r="L3165" s="1">
        <v>3295.2105910199998</v>
      </c>
      <c r="M3165" s="1" t="s">
        <v>198</v>
      </c>
      <c r="N3165" s="1" t="b">
        <v>1</v>
      </c>
    </row>
    <row r="3166" spans="1:14" ht="19" customHeight="1" x14ac:dyDescent="0.3">
      <c r="A3166">
        <v>3161</v>
      </c>
      <c r="B3166" s="1">
        <v>12</v>
      </c>
      <c r="C3166" s="1">
        <v>70</v>
      </c>
      <c r="D3166" s="1">
        <v>0.04</v>
      </c>
      <c r="E3166" s="1">
        <v>0.06</v>
      </c>
      <c r="F3166" s="1">
        <v>5</v>
      </c>
      <c r="G3166" s="1">
        <v>0</v>
      </c>
      <c r="H3166" s="1">
        <v>1.4228494845799999</v>
      </c>
      <c r="I3166" s="1">
        <v>2.0824925426099998</v>
      </c>
      <c r="J3166" s="1">
        <v>0.900139067332</v>
      </c>
      <c r="K3166" s="1">
        <v>15780.611638599999</v>
      </c>
      <c r="L3166" s="1">
        <v>4052.31356375</v>
      </c>
      <c r="M3166" s="1" t="s">
        <v>198</v>
      </c>
      <c r="N3166" s="1" t="b">
        <v>1</v>
      </c>
    </row>
    <row r="3167" spans="1:14" ht="19" customHeight="1" x14ac:dyDescent="0.3">
      <c r="A3167">
        <v>3162</v>
      </c>
      <c r="B3167" s="1">
        <v>12</v>
      </c>
      <c r="C3167" s="1">
        <v>70</v>
      </c>
      <c r="D3167" s="1">
        <v>0.04</v>
      </c>
      <c r="E3167" s="1">
        <v>0.06</v>
      </c>
      <c r="F3167" s="1">
        <v>5</v>
      </c>
      <c r="G3167" s="1">
        <v>1</v>
      </c>
      <c r="H3167" s="1">
        <v>1.4228494845799999</v>
      </c>
      <c r="I3167" s="1">
        <v>1.5618694069600001</v>
      </c>
      <c r="J3167" s="1">
        <v>0.73811403521200003</v>
      </c>
      <c r="K3167" s="1">
        <v>13436.8313598</v>
      </c>
      <c r="L3167" s="1">
        <v>3322.8971222700002</v>
      </c>
      <c r="M3167" s="1" t="s">
        <v>198</v>
      </c>
      <c r="N3167" s="1" t="b">
        <v>1</v>
      </c>
    </row>
    <row r="3168" spans="1:14" ht="19" customHeight="1" x14ac:dyDescent="0.3">
      <c r="A3168">
        <v>3163</v>
      </c>
      <c r="B3168" s="1">
        <v>12</v>
      </c>
      <c r="C3168" s="1">
        <v>70</v>
      </c>
      <c r="D3168" s="1">
        <v>0.04</v>
      </c>
      <c r="E3168" s="1">
        <v>8.5000000000000006E-2</v>
      </c>
      <c r="F3168" s="1">
        <v>-5</v>
      </c>
      <c r="G3168" s="1">
        <v>0</v>
      </c>
      <c r="H3168" s="1">
        <v>1.3175331665800001</v>
      </c>
      <c r="I3168" s="1">
        <v>1.9245180656200001</v>
      </c>
      <c r="J3168" s="1">
        <v>0.89071419782100003</v>
      </c>
      <c r="K3168" s="1">
        <v>14595.309391000001</v>
      </c>
      <c r="L3168" s="1">
        <v>4009.88397932</v>
      </c>
      <c r="M3168" s="1" t="s">
        <v>198</v>
      </c>
      <c r="N3168" s="1" t="b">
        <v>1</v>
      </c>
    </row>
    <row r="3169" spans="1:14" ht="19" customHeight="1" x14ac:dyDescent="0.3">
      <c r="A3169">
        <v>3164</v>
      </c>
      <c r="B3169" s="1">
        <v>12</v>
      </c>
      <c r="C3169" s="1">
        <v>70</v>
      </c>
      <c r="D3169" s="1">
        <v>0.04</v>
      </c>
      <c r="E3169" s="1">
        <v>8.5000000000000006E-2</v>
      </c>
      <c r="F3169" s="1">
        <v>-5</v>
      </c>
      <c r="G3169" s="1">
        <v>1</v>
      </c>
      <c r="H3169" s="1">
        <v>1.3175331665800001</v>
      </c>
      <c r="I3169" s="1">
        <v>1.44338854921</v>
      </c>
      <c r="J3169" s="1">
        <v>0.73038564221400004</v>
      </c>
      <c r="K3169" s="1">
        <v>12429.3244493</v>
      </c>
      <c r="L3169" s="1">
        <v>3288.1048630400001</v>
      </c>
      <c r="M3169" s="1" t="s">
        <v>198</v>
      </c>
      <c r="N3169" s="1" t="b">
        <v>1</v>
      </c>
    </row>
    <row r="3170" spans="1:14" ht="19" customHeight="1" x14ac:dyDescent="0.3">
      <c r="A3170">
        <v>3165</v>
      </c>
      <c r="B3170" s="1">
        <v>12</v>
      </c>
      <c r="C3170" s="1">
        <v>70</v>
      </c>
      <c r="D3170" s="1">
        <v>0.04</v>
      </c>
      <c r="E3170" s="1">
        <v>8.5000000000000006E-2</v>
      </c>
      <c r="F3170" s="1">
        <v>0</v>
      </c>
      <c r="G3170" s="1">
        <v>0</v>
      </c>
      <c r="H3170" s="1">
        <v>1.3475136787999999</v>
      </c>
      <c r="I3170" s="1">
        <v>1.96831053995</v>
      </c>
      <c r="J3170" s="1">
        <v>0.88321419782099997</v>
      </c>
      <c r="K3170" s="1">
        <v>14927.426154799999</v>
      </c>
      <c r="L3170" s="1">
        <v>3976.1199168200001</v>
      </c>
      <c r="M3170" s="1" t="s">
        <v>198</v>
      </c>
      <c r="N3170" s="1" t="b">
        <v>1</v>
      </c>
    </row>
    <row r="3171" spans="1:14" ht="19" customHeight="1" x14ac:dyDescent="0.3">
      <c r="A3171">
        <v>3166</v>
      </c>
      <c r="B3171" s="1">
        <v>12</v>
      </c>
      <c r="C3171" s="1">
        <v>70</v>
      </c>
      <c r="D3171" s="1">
        <v>0.04</v>
      </c>
      <c r="E3171" s="1">
        <v>8.5000000000000006E-2</v>
      </c>
      <c r="F3171" s="1">
        <v>0</v>
      </c>
      <c r="G3171" s="1">
        <v>1</v>
      </c>
      <c r="H3171" s="1">
        <v>1.3475136787999999</v>
      </c>
      <c r="I3171" s="1">
        <v>1.47623290496</v>
      </c>
      <c r="J3171" s="1">
        <v>0.72423564221400005</v>
      </c>
      <c r="K3171" s="1">
        <v>12712.154151799999</v>
      </c>
      <c r="L3171" s="1">
        <v>3260.4183317900001</v>
      </c>
      <c r="M3171" s="1" t="s">
        <v>198</v>
      </c>
      <c r="N3171" s="1" t="b">
        <v>1</v>
      </c>
    </row>
    <row r="3172" spans="1:14" ht="19" customHeight="1" x14ac:dyDescent="0.3">
      <c r="A3172">
        <v>3167</v>
      </c>
      <c r="B3172" s="1">
        <v>12</v>
      </c>
      <c r="C3172" s="1">
        <v>70</v>
      </c>
      <c r="D3172" s="1">
        <v>0.04</v>
      </c>
      <c r="E3172" s="1">
        <v>8.5000000000000006E-2</v>
      </c>
      <c r="F3172" s="1">
        <v>5</v>
      </c>
      <c r="G3172" s="1">
        <v>0</v>
      </c>
      <c r="H3172" s="1">
        <v>1.3175331665800001</v>
      </c>
      <c r="I3172" s="1">
        <v>1.9245180656200001</v>
      </c>
      <c r="J3172" s="1">
        <v>0.89071419782100003</v>
      </c>
      <c r="K3172" s="1">
        <v>14595.309391000001</v>
      </c>
      <c r="L3172" s="1">
        <v>4009.88397932</v>
      </c>
      <c r="M3172" s="1" t="s">
        <v>198</v>
      </c>
      <c r="N3172" s="1" t="b">
        <v>1</v>
      </c>
    </row>
    <row r="3173" spans="1:14" ht="19" customHeight="1" x14ac:dyDescent="0.3">
      <c r="A3173">
        <v>3168</v>
      </c>
      <c r="B3173" s="1">
        <v>12</v>
      </c>
      <c r="C3173" s="1">
        <v>70</v>
      </c>
      <c r="D3173" s="1">
        <v>0.04</v>
      </c>
      <c r="E3173" s="1">
        <v>8.5000000000000006E-2</v>
      </c>
      <c r="F3173" s="1">
        <v>5</v>
      </c>
      <c r="G3173" s="1">
        <v>1</v>
      </c>
      <c r="H3173" s="1">
        <v>1.3175331665800001</v>
      </c>
      <c r="I3173" s="1">
        <v>1.44338854921</v>
      </c>
      <c r="J3173" s="1">
        <v>0.73038564221400004</v>
      </c>
      <c r="K3173" s="1">
        <v>12429.3244493</v>
      </c>
      <c r="L3173" s="1">
        <v>3288.1048630400001</v>
      </c>
      <c r="M3173" s="1" t="s">
        <v>198</v>
      </c>
      <c r="N3173" s="1" t="b">
        <v>1</v>
      </c>
    </row>
    <row r="3174" spans="1:14" ht="19" customHeight="1" x14ac:dyDescent="0.3">
      <c r="A3174">
        <v>3169</v>
      </c>
      <c r="B3174" s="1">
        <v>12</v>
      </c>
      <c r="C3174" s="1">
        <v>70</v>
      </c>
      <c r="D3174" s="1">
        <v>5.5E-2</v>
      </c>
      <c r="E3174" s="1">
        <v>0.04</v>
      </c>
      <c r="F3174" s="1">
        <v>-5</v>
      </c>
      <c r="G3174" s="1">
        <v>0</v>
      </c>
      <c r="H3174" s="1">
        <v>1.24176856696</v>
      </c>
      <c r="I3174" s="1">
        <v>1.8108711661800001</v>
      </c>
      <c r="J3174" s="1">
        <v>0.88393394307499995</v>
      </c>
      <c r="K3174" s="1">
        <v>13742.602498599999</v>
      </c>
      <c r="L3174" s="1">
        <v>3979.36011998</v>
      </c>
      <c r="M3174" s="1" t="s">
        <v>198</v>
      </c>
      <c r="N3174" s="1" t="b">
        <v>1</v>
      </c>
    </row>
    <row r="3175" spans="1:14" ht="19" customHeight="1" x14ac:dyDescent="0.3">
      <c r="A3175">
        <v>3170</v>
      </c>
      <c r="B3175" s="1">
        <v>12</v>
      </c>
      <c r="C3175" s="1">
        <v>70</v>
      </c>
      <c r="D3175" s="1">
        <v>5.5E-2</v>
      </c>
      <c r="E3175" s="1">
        <v>0.04</v>
      </c>
      <c r="F3175" s="1">
        <v>-5</v>
      </c>
      <c r="G3175" s="1">
        <v>1</v>
      </c>
      <c r="H3175" s="1">
        <v>1.24176856696</v>
      </c>
      <c r="I3175" s="1">
        <v>1.3581533746400001</v>
      </c>
      <c r="J3175" s="1">
        <v>0.72482583332100003</v>
      </c>
      <c r="K3175" s="1">
        <v>11704.5235908</v>
      </c>
      <c r="L3175" s="1">
        <v>3263.0752983799998</v>
      </c>
      <c r="M3175" s="1" t="s">
        <v>198</v>
      </c>
      <c r="N3175" s="1" t="b">
        <v>1</v>
      </c>
    </row>
    <row r="3176" spans="1:14" ht="19" customHeight="1" x14ac:dyDescent="0.3">
      <c r="A3176">
        <v>3171</v>
      </c>
      <c r="B3176" s="1">
        <v>12</v>
      </c>
      <c r="C3176" s="1">
        <v>70</v>
      </c>
      <c r="D3176" s="1">
        <v>5.5E-2</v>
      </c>
      <c r="E3176" s="1">
        <v>0.04</v>
      </c>
      <c r="F3176" s="1">
        <v>0</v>
      </c>
      <c r="G3176" s="1">
        <v>0</v>
      </c>
      <c r="H3176" s="1">
        <v>1.2700250531199999</v>
      </c>
      <c r="I3176" s="1">
        <v>1.85207760143</v>
      </c>
      <c r="J3176" s="1">
        <v>0.876433943075</v>
      </c>
      <c r="K3176" s="1">
        <v>14055.315887999999</v>
      </c>
      <c r="L3176" s="1">
        <v>3945.5960574800001</v>
      </c>
      <c r="M3176" s="1" t="s">
        <v>198</v>
      </c>
      <c r="N3176" s="1" t="b">
        <v>1</v>
      </c>
    </row>
    <row r="3177" spans="1:14" ht="19" customHeight="1" x14ac:dyDescent="0.3">
      <c r="A3177">
        <v>3172</v>
      </c>
      <c r="B3177" s="1">
        <v>12</v>
      </c>
      <c r="C3177" s="1">
        <v>70</v>
      </c>
      <c r="D3177" s="1">
        <v>5.5E-2</v>
      </c>
      <c r="E3177" s="1">
        <v>0.04</v>
      </c>
      <c r="F3177" s="1">
        <v>0</v>
      </c>
      <c r="G3177" s="1">
        <v>1</v>
      </c>
      <c r="H3177" s="1">
        <v>1.2700250531199999</v>
      </c>
      <c r="I3177" s="1">
        <v>1.3890582010800001</v>
      </c>
      <c r="J3177" s="1">
        <v>0.71867583332100005</v>
      </c>
      <c r="K3177" s="1">
        <v>11970.860425000001</v>
      </c>
      <c r="L3177" s="1">
        <v>3235.3887671299999</v>
      </c>
      <c r="M3177" s="1" t="s">
        <v>198</v>
      </c>
      <c r="N3177" s="1" t="b">
        <v>1</v>
      </c>
    </row>
    <row r="3178" spans="1:14" ht="19" customHeight="1" x14ac:dyDescent="0.3">
      <c r="A3178">
        <v>3173</v>
      </c>
      <c r="B3178" s="1">
        <v>12</v>
      </c>
      <c r="C3178" s="1">
        <v>70</v>
      </c>
      <c r="D3178" s="1">
        <v>5.5E-2</v>
      </c>
      <c r="E3178" s="1">
        <v>0.04</v>
      </c>
      <c r="F3178" s="1">
        <v>5</v>
      </c>
      <c r="G3178" s="1">
        <v>0</v>
      </c>
      <c r="H3178" s="1">
        <v>1.24176856696</v>
      </c>
      <c r="I3178" s="1">
        <v>1.8108711661800001</v>
      </c>
      <c r="J3178" s="1">
        <v>0.88393394307499995</v>
      </c>
      <c r="K3178" s="1">
        <v>13742.602498599999</v>
      </c>
      <c r="L3178" s="1">
        <v>3979.36011998</v>
      </c>
      <c r="M3178" s="1" t="s">
        <v>198</v>
      </c>
      <c r="N3178" s="1" t="b">
        <v>1</v>
      </c>
    </row>
    <row r="3179" spans="1:14" ht="19" customHeight="1" x14ac:dyDescent="0.3">
      <c r="A3179">
        <v>3174</v>
      </c>
      <c r="B3179" s="1">
        <v>12</v>
      </c>
      <c r="C3179" s="1">
        <v>70</v>
      </c>
      <c r="D3179" s="1">
        <v>5.5E-2</v>
      </c>
      <c r="E3179" s="1">
        <v>0.04</v>
      </c>
      <c r="F3179" s="1">
        <v>5</v>
      </c>
      <c r="G3179" s="1">
        <v>1</v>
      </c>
      <c r="H3179" s="1">
        <v>1.24176856696</v>
      </c>
      <c r="I3179" s="1">
        <v>1.3581533746400001</v>
      </c>
      <c r="J3179" s="1">
        <v>0.72482583332100003</v>
      </c>
      <c r="K3179" s="1">
        <v>11704.5235908</v>
      </c>
      <c r="L3179" s="1">
        <v>3263.0752983799998</v>
      </c>
      <c r="M3179" s="1" t="s">
        <v>198</v>
      </c>
      <c r="N3179" s="1" t="b">
        <v>1</v>
      </c>
    </row>
    <row r="3180" spans="1:14" ht="19" customHeight="1" x14ac:dyDescent="0.3">
      <c r="A3180">
        <v>3175</v>
      </c>
      <c r="B3180" s="1">
        <v>12</v>
      </c>
      <c r="C3180" s="1">
        <v>70</v>
      </c>
      <c r="D3180" s="1">
        <v>5.5E-2</v>
      </c>
      <c r="E3180" s="1">
        <v>0.06</v>
      </c>
      <c r="F3180" s="1">
        <v>-5</v>
      </c>
      <c r="G3180" s="1">
        <v>0</v>
      </c>
      <c r="H3180" s="1">
        <v>1.26939816666</v>
      </c>
      <c r="I3180" s="1">
        <v>1.8523155657399999</v>
      </c>
      <c r="J3180" s="1">
        <v>0.88640654539200003</v>
      </c>
      <c r="K3180" s="1">
        <v>14053.565009100001</v>
      </c>
      <c r="L3180" s="1">
        <v>3990.4914665299998</v>
      </c>
      <c r="M3180" s="1" t="s">
        <v>198</v>
      </c>
      <c r="N3180" s="1" t="b">
        <v>1</v>
      </c>
    </row>
    <row r="3181" spans="1:14" ht="19" customHeight="1" x14ac:dyDescent="0.3">
      <c r="A3181">
        <v>3176</v>
      </c>
      <c r="B3181" s="1">
        <v>12</v>
      </c>
      <c r="C3181" s="1">
        <v>70</v>
      </c>
      <c r="D3181" s="1">
        <v>5.5E-2</v>
      </c>
      <c r="E3181" s="1">
        <v>0.06</v>
      </c>
      <c r="F3181" s="1">
        <v>-5</v>
      </c>
      <c r="G3181" s="1">
        <v>1</v>
      </c>
      <c r="H3181" s="1">
        <v>1.26939816666</v>
      </c>
      <c r="I3181" s="1">
        <v>1.38923667431</v>
      </c>
      <c r="J3181" s="1">
        <v>0.72685336722100002</v>
      </c>
      <c r="K3181" s="1">
        <v>11968.8417247</v>
      </c>
      <c r="L3181" s="1">
        <v>3272.2030025600002</v>
      </c>
      <c r="M3181" s="1" t="s">
        <v>198</v>
      </c>
      <c r="N3181" s="1" t="b">
        <v>1</v>
      </c>
    </row>
    <row r="3182" spans="1:14" ht="19" customHeight="1" x14ac:dyDescent="0.3">
      <c r="A3182">
        <v>3177</v>
      </c>
      <c r="B3182" s="1">
        <v>12</v>
      </c>
      <c r="C3182" s="1">
        <v>70</v>
      </c>
      <c r="D3182" s="1">
        <v>5.5E-2</v>
      </c>
      <c r="E3182" s="1">
        <v>0.06</v>
      </c>
      <c r="F3182" s="1">
        <v>0</v>
      </c>
      <c r="G3182" s="1">
        <v>0</v>
      </c>
      <c r="H3182" s="1">
        <v>1.2982833653100001</v>
      </c>
      <c r="I3182" s="1">
        <v>1.8944650697200001</v>
      </c>
      <c r="J3182" s="1">
        <v>0.87890654539199997</v>
      </c>
      <c r="K3182" s="1">
        <v>14373.354361</v>
      </c>
      <c r="L3182" s="1">
        <v>3956.7274040299999</v>
      </c>
      <c r="M3182" s="1" t="s">
        <v>198</v>
      </c>
      <c r="N3182" s="1" t="b">
        <v>1</v>
      </c>
    </row>
    <row r="3183" spans="1:14" ht="19" customHeight="1" x14ac:dyDescent="0.3">
      <c r="A3183">
        <v>3178</v>
      </c>
      <c r="B3183" s="1">
        <v>12</v>
      </c>
      <c r="C3183" s="1">
        <v>70</v>
      </c>
      <c r="D3183" s="1">
        <v>5.5E-2</v>
      </c>
      <c r="E3183" s="1">
        <v>0.06</v>
      </c>
      <c r="F3183" s="1">
        <v>0</v>
      </c>
      <c r="G3183" s="1">
        <v>1</v>
      </c>
      <c r="H3183" s="1">
        <v>1.2982833653100001</v>
      </c>
      <c r="I3183" s="1">
        <v>1.4208488022900001</v>
      </c>
      <c r="J3183" s="1">
        <v>0.72070336722100004</v>
      </c>
      <c r="K3183" s="1">
        <v>12241.193127</v>
      </c>
      <c r="L3183" s="1">
        <v>3244.5164713099998</v>
      </c>
      <c r="M3183" s="1" t="s">
        <v>198</v>
      </c>
      <c r="N3183" s="1" t="b">
        <v>1</v>
      </c>
    </row>
    <row r="3184" spans="1:14" ht="19" customHeight="1" x14ac:dyDescent="0.3">
      <c r="A3184">
        <v>3179</v>
      </c>
      <c r="B3184" s="1">
        <v>12</v>
      </c>
      <c r="C3184" s="1">
        <v>70</v>
      </c>
      <c r="D3184" s="1">
        <v>5.5E-2</v>
      </c>
      <c r="E3184" s="1">
        <v>0.06</v>
      </c>
      <c r="F3184" s="1">
        <v>5</v>
      </c>
      <c r="G3184" s="1">
        <v>0</v>
      </c>
      <c r="H3184" s="1">
        <v>1.26939816666</v>
      </c>
      <c r="I3184" s="1">
        <v>1.8523155657399999</v>
      </c>
      <c r="J3184" s="1">
        <v>0.88640654539200003</v>
      </c>
      <c r="K3184" s="1">
        <v>14053.565009100001</v>
      </c>
      <c r="L3184" s="1">
        <v>3990.4914665299998</v>
      </c>
      <c r="M3184" s="1" t="s">
        <v>198</v>
      </c>
      <c r="N3184" s="1" t="b">
        <v>1</v>
      </c>
    </row>
    <row r="3185" spans="1:14" ht="19" customHeight="1" x14ac:dyDescent="0.3">
      <c r="A3185">
        <v>3180</v>
      </c>
      <c r="B3185" s="1">
        <v>12</v>
      </c>
      <c r="C3185" s="1">
        <v>70</v>
      </c>
      <c r="D3185" s="1">
        <v>5.5E-2</v>
      </c>
      <c r="E3185" s="1">
        <v>0.06</v>
      </c>
      <c r="F3185" s="1">
        <v>5</v>
      </c>
      <c r="G3185" s="1">
        <v>1</v>
      </c>
      <c r="H3185" s="1">
        <v>1.26939816666</v>
      </c>
      <c r="I3185" s="1">
        <v>1.38923667431</v>
      </c>
      <c r="J3185" s="1">
        <v>0.72685336722100002</v>
      </c>
      <c r="K3185" s="1">
        <v>11968.8417247</v>
      </c>
      <c r="L3185" s="1">
        <v>3272.2030025600002</v>
      </c>
      <c r="M3185" s="1" t="s">
        <v>198</v>
      </c>
      <c r="N3185" s="1" t="b">
        <v>1</v>
      </c>
    </row>
    <row r="3186" spans="1:14" ht="19" customHeight="1" x14ac:dyDescent="0.3">
      <c r="A3186">
        <v>3181</v>
      </c>
      <c r="B3186" s="1">
        <v>12</v>
      </c>
      <c r="C3186" s="1">
        <v>70</v>
      </c>
      <c r="D3186" s="1">
        <v>5.5E-2</v>
      </c>
      <c r="E3186" s="1">
        <v>8.5000000000000006E-2</v>
      </c>
      <c r="F3186" s="1">
        <v>-5</v>
      </c>
      <c r="G3186" s="1">
        <v>0</v>
      </c>
      <c r="H3186" s="1">
        <v>1.1987636211499999</v>
      </c>
      <c r="I3186" s="1">
        <v>1.74636374747</v>
      </c>
      <c r="J3186" s="1">
        <v>0.88008538465300001</v>
      </c>
      <c r="K3186" s="1">
        <v>13258.5952726</v>
      </c>
      <c r="L3186" s="1">
        <v>3962.0343910400002</v>
      </c>
      <c r="M3186" s="1" t="s">
        <v>198</v>
      </c>
      <c r="N3186" s="1" t="b">
        <v>1</v>
      </c>
    </row>
    <row r="3187" spans="1:14" ht="19" customHeight="1" x14ac:dyDescent="0.3">
      <c r="A3187">
        <v>3182</v>
      </c>
      <c r="B3187" s="1">
        <v>12</v>
      </c>
      <c r="C3187" s="1">
        <v>70</v>
      </c>
      <c r="D3187" s="1">
        <v>5.5E-2</v>
      </c>
      <c r="E3187" s="1">
        <v>8.5000000000000006E-2</v>
      </c>
      <c r="F3187" s="1">
        <v>-5</v>
      </c>
      <c r="G3187" s="1">
        <v>1</v>
      </c>
      <c r="H3187" s="1">
        <v>1.1987636211499999</v>
      </c>
      <c r="I3187" s="1">
        <v>1.3097728105999999</v>
      </c>
      <c r="J3187" s="1">
        <v>0.72167001541599995</v>
      </c>
      <c r="K3187" s="1">
        <v>11293.117448700001</v>
      </c>
      <c r="L3187" s="1">
        <v>3248.8682006499998</v>
      </c>
      <c r="M3187" s="1" t="s">
        <v>198</v>
      </c>
      <c r="N3187" s="1" t="b">
        <v>1</v>
      </c>
    </row>
    <row r="3188" spans="1:14" ht="19" customHeight="1" x14ac:dyDescent="0.3">
      <c r="A3188">
        <v>3183</v>
      </c>
      <c r="B3188" s="1">
        <v>12</v>
      </c>
      <c r="C3188" s="1">
        <v>70</v>
      </c>
      <c r="D3188" s="1">
        <v>5.5E-2</v>
      </c>
      <c r="E3188" s="1">
        <v>8.5000000000000006E-2</v>
      </c>
      <c r="F3188" s="1">
        <v>0</v>
      </c>
      <c r="G3188" s="1">
        <v>0</v>
      </c>
      <c r="H3188" s="1">
        <v>1.2260415283099999</v>
      </c>
      <c r="I3188" s="1">
        <v>1.7861023142100001</v>
      </c>
      <c r="J3188" s="1">
        <v>0.87258538465299995</v>
      </c>
      <c r="K3188" s="1">
        <v>13560.295061000001</v>
      </c>
      <c r="L3188" s="1">
        <v>3928.2703285399998</v>
      </c>
      <c r="M3188" s="1" t="s">
        <v>198</v>
      </c>
      <c r="N3188" s="1" t="b">
        <v>1</v>
      </c>
    </row>
    <row r="3189" spans="1:14" ht="19" customHeight="1" x14ac:dyDescent="0.3">
      <c r="A3189">
        <v>3184</v>
      </c>
      <c r="B3189" s="1">
        <v>12</v>
      </c>
      <c r="C3189" s="1">
        <v>70</v>
      </c>
      <c r="D3189" s="1">
        <v>5.5E-2</v>
      </c>
      <c r="E3189" s="1">
        <v>8.5000000000000006E-2</v>
      </c>
      <c r="F3189" s="1">
        <v>0</v>
      </c>
      <c r="G3189" s="1">
        <v>1</v>
      </c>
      <c r="H3189" s="1">
        <v>1.2260415283099999</v>
      </c>
      <c r="I3189" s="1">
        <v>1.3395767356599999</v>
      </c>
      <c r="J3189" s="1">
        <v>0.71552001541599997</v>
      </c>
      <c r="K3189" s="1">
        <v>11550.0927221</v>
      </c>
      <c r="L3189" s="1">
        <v>3221.1816693999999</v>
      </c>
      <c r="M3189" s="1" t="s">
        <v>198</v>
      </c>
      <c r="N3189" s="1" t="b">
        <v>1</v>
      </c>
    </row>
    <row r="3190" spans="1:14" ht="19" customHeight="1" x14ac:dyDescent="0.3">
      <c r="A3190">
        <v>3185</v>
      </c>
      <c r="B3190" s="1">
        <v>12</v>
      </c>
      <c r="C3190" s="1">
        <v>70</v>
      </c>
      <c r="D3190" s="1">
        <v>5.5E-2</v>
      </c>
      <c r="E3190" s="1">
        <v>8.5000000000000006E-2</v>
      </c>
      <c r="F3190" s="1">
        <v>5</v>
      </c>
      <c r="G3190" s="1">
        <v>0</v>
      </c>
      <c r="H3190" s="1">
        <v>1.1987636211499999</v>
      </c>
      <c r="I3190" s="1">
        <v>1.74636374747</v>
      </c>
      <c r="J3190" s="1">
        <v>0.88008538465300001</v>
      </c>
      <c r="K3190" s="1">
        <v>13258.5952726</v>
      </c>
      <c r="L3190" s="1">
        <v>3962.0343910400002</v>
      </c>
      <c r="M3190" s="1" t="s">
        <v>198</v>
      </c>
      <c r="N3190" s="1" t="b">
        <v>1</v>
      </c>
    </row>
    <row r="3191" spans="1:14" ht="19" customHeight="1" x14ac:dyDescent="0.3">
      <c r="A3191">
        <v>3186</v>
      </c>
      <c r="B3191" s="1">
        <v>12</v>
      </c>
      <c r="C3191" s="1">
        <v>70</v>
      </c>
      <c r="D3191" s="1">
        <v>5.5E-2</v>
      </c>
      <c r="E3191" s="1">
        <v>8.5000000000000006E-2</v>
      </c>
      <c r="F3191" s="1">
        <v>5</v>
      </c>
      <c r="G3191" s="1">
        <v>1</v>
      </c>
      <c r="H3191" s="1">
        <v>1.1987636211499999</v>
      </c>
      <c r="I3191" s="1">
        <v>1.3097728105999999</v>
      </c>
      <c r="J3191" s="1">
        <v>0.72167001541599995</v>
      </c>
      <c r="K3191" s="1">
        <v>11293.117448700001</v>
      </c>
      <c r="L3191" s="1">
        <v>3248.8682006499998</v>
      </c>
      <c r="M3191" s="1" t="s">
        <v>198</v>
      </c>
      <c r="N3191" s="1" t="b">
        <v>1</v>
      </c>
    </row>
    <row r="3192" spans="1:14" ht="19" customHeight="1" x14ac:dyDescent="0.3">
      <c r="A3192">
        <v>3187</v>
      </c>
      <c r="B3192" s="1">
        <v>12</v>
      </c>
      <c r="C3192" s="1">
        <v>90</v>
      </c>
      <c r="D3192" s="1">
        <v>2.5000000000000001E-2</v>
      </c>
      <c r="E3192" s="1">
        <v>0.04</v>
      </c>
      <c r="F3192" s="1">
        <v>-5</v>
      </c>
      <c r="G3192" s="1">
        <v>0</v>
      </c>
      <c r="H3192" s="1">
        <v>1.37566485557</v>
      </c>
      <c r="I3192" s="1">
        <v>2.0117155991</v>
      </c>
      <c r="J3192" s="1">
        <v>0.89591646460800001</v>
      </c>
      <c r="K3192" s="1">
        <v>25208.461920999998</v>
      </c>
      <c r="L3192" s="1">
        <v>6667.2983400499998</v>
      </c>
      <c r="M3192" s="1" t="s">
        <v>198</v>
      </c>
      <c r="N3192" s="1" t="b">
        <v>1</v>
      </c>
    </row>
    <row r="3193" spans="1:14" ht="19" customHeight="1" x14ac:dyDescent="0.3">
      <c r="A3193">
        <v>3188</v>
      </c>
      <c r="B3193" s="1">
        <v>12</v>
      </c>
      <c r="C3193" s="1">
        <v>90</v>
      </c>
      <c r="D3193" s="1">
        <v>2.5000000000000001E-2</v>
      </c>
      <c r="E3193" s="1">
        <v>0.04</v>
      </c>
      <c r="F3193" s="1">
        <v>-5</v>
      </c>
      <c r="G3193" s="1">
        <v>1</v>
      </c>
      <c r="H3193" s="1">
        <v>1.37566485557</v>
      </c>
      <c r="I3193" s="1">
        <v>1.5087866993200001</v>
      </c>
      <c r="J3193" s="1">
        <v>0.73465150097800003</v>
      </c>
      <c r="K3193" s="1">
        <v>21465.727914999999</v>
      </c>
      <c r="L3193" s="1">
        <v>5467.1846388399999</v>
      </c>
      <c r="M3193" s="1" t="s">
        <v>198</v>
      </c>
      <c r="N3193" s="1" t="b">
        <v>1</v>
      </c>
    </row>
    <row r="3194" spans="1:14" ht="19" customHeight="1" x14ac:dyDescent="0.3">
      <c r="A3194">
        <v>3189</v>
      </c>
      <c r="B3194" s="1">
        <v>12</v>
      </c>
      <c r="C3194" s="1">
        <v>90</v>
      </c>
      <c r="D3194" s="1">
        <v>2.5000000000000001E-2</v>
      </c>
      <c r="E3194" s="1">
        <v>0.04</v>
      </c>
      <c r="F3194" s="1">
        <v>0</v>
      </c>
      <c r="G3194" s="1">
        <v>0</v>
      </c>
      <c r="H3194" s="1">
        <v>1.4069681563500001</v>
      </c>
      <c r="I3194" s="1">
        <v>2.0574922562800002</v>
      </c>
      <c r="J3194" s="1">
        <v>0.88841646460799995</v>
      </c>
      <c r="K3194" s="1">
        <v>25782.081333300001</v>
      </c>
      <c r="L3194" s="1">
        <v>6611.4842775500001</v>
      </c>
      <c r="M3194" s="1" t="s">
        <v>198</v>
      </c>
      <c r="N3194" s="1" t="b">
        <v>1</v>
      </c>
    </row>
    <row r="3195" spans="1:14" ht="19" customHeight="1" x14ac:dyDescent="0.3">
      <c r="A3195">
        <v>3190</v>
      </c>
      <c r="B3195" s="1">
        <v>12</v>
      </c>
      <c r="C3195" s="1">
        <v>90</v>
      </c>
      <c r="D3195" s="1">
        <v>2.5000000000000001E-2</v>
      </c>
      <c r="E3195" s="1">
        <v>0.04</v>
      </c>
      <c r="F3195" s="1">
        <v>0</v>
      </c>
      <c r="G3195" s="1">
        <v>1</v>
      </c>
      <c r="H3195" s="1">
        <v>1.4069681563500001</v>
      </c>
      <c r="I3195" s="1">
        <v>1.54311919221</v>
      </c>
      <c r="J3195" s="1">
        <v>0.72850150097800004</v>
      </c>
      <c r="K3195" s="1">
        <v>21954.1812871</v>
      </c>
      <c r="L3195" s="1">
        <v>5421.4171075900003</v>
      </c>
      <c r="M3195" s="1" t="s">
        <v>198</v>
      </c>
      <c r="N3195" s="1" t="b">
        <v>1</v>
      </c>
    </row>
    <row r="3196" spans="1:14" ht="19" customHeight="1" x14ac:dyDescent="0.3">
      <c r="A3196">
        <v>3191</v>
      </c>
      <c r="B3196" s="1">
        <v>12</v>
      </c>
      <c r="C3196" s="1">
        <v>90</v>
      </c>
      <c r="D3196" s="1">
        <v>2.5000000000000001E-2</v>
      </c>
      <c r="E3196" s="1">
        <v>0.04</v>
      </c>
      <c r="F3196" s="1">
        <v>5</v>
      </c>
      <c r="G3196" s="1">
        <v>0</v>
      </c>
      <c r="H3196" s="1">
        <v>1.37566485557</v>
      </c>
      <c r="I3196" s="1">
        <v>2.0117155991</v>
      </c>
      <c r="J3196" s="1">
        <v>0.89591646460800001</v>
      </c>
      <c r="K3196" s="1">
        <v>25208.461920999998</v>
      </c>
      <c r="L3196" s="1">
        <v>6667.2983400499998</v>
      </c>
      <c r="M3196" s="1" t="s">
        <v>198</v>
      </c>
      <c r="N3196" s="1" t="b">
        <v>1</v>
      </c>
    </row>
    <row r="3197" spans="1:14" ht="19" customHeight="1" x14ac:dyDescent="0.3">
      <c r="A3197">
        <v>3192</v>
      </c>
      <c r="B3197" s="1">
        <v>12</v>
      </c>
      <c r="C3197" s="1">
        <v>90</v>
      </c>
      <c r="D3197" s="1">
        <v>2.5000000000000001E-2</v>
      </c>
      <c r="E3197" s="1">
        <v>0.04</v>
      </c>
      <c r="F3197" s="1">
        <v>5</v>
      </c>
      <c r="G3197" s="1">
        <v>1</v>
      </c>
      <c r="H3197" s="1">
        <v>1.37566485557</v>
      </c>
      <c r="I3197" s="1">
        <v>1.5087866993200001</v>
      </c>
      <c r="J3197" s="1">
        <v>0.73465150097800003</v>
      </c>
      <c r="K3197" s="1">
        <v>21465.727914999999</v>
      </c>
      <c r="L3197" s="1">
        <v>5467.1846388399999</v>
      </c>
      <c r="M3197" s="1" t="s">
        <v>198</v>
      </c>
      <c r="N3197" s="1" t="b">
        <v>1</v>
      </c>
    </row>
    <row r="3198" spans="1:14" ht="19" customHeight="1" x14ac:dyDescent="0.3">
      <c r="A3198">
        <v>3193</v>
      </c>
      <c r="B3198" s="1">
        <v>12</v>
      </c>
      <c r="C3198" s="1">
        <v>90</v>
      </c>
      <c r="D3198" s="1">
        <v>2.5000000000000001E-2</v>
      </c>
      <c r="E3198" s="1">
        <v>0.06</v>
      </c>
      <c r="F3198" s="1">
        <v>-5</v>
      </c>
      <c r="G3198" s="1">
        <v>0</v>
      </c>
      <c r="H3198" s="1">
        <v>1.4162798692</v>
      </c>
      <c r="I3198" s="1">
        <v>2.0726381195500001</v>
      </c>
      <c r="J3198" s="1">
        <v>0.89955114545299997</v>
      </c>
      <c r="K3198" s="1">
        <v>25964.0915575</v>
      </c>
      <c r="L3198" s="1">
        <v>6694.3471805700001</v>
      </c>
      <c r="M3198" s="1" t="s">
        <v>198</v>
      </c>
      <c r="N3198" s="1" t="b">
        <v>1</v>
      </c>
    </row>
    <row r="3199" spans="1:14" ht="19" customHeight="1" x14ac:dyDescent="0.3">
      <c r="A3199">
        <v>3194</v>
      </c>
      <c r="B3199" s="1">
        <v>12</v>
      </c>
      <c r="C3199" s="1">
        <v>90</v>
      </c>
      <c r="D3199" s="1">
        <v>2.5000000000000001E-2</v>
      </c>
      <c r="E3199" s="1">
        <v>0.06</v>
      </c>
      <c r="F3199" s="1">
        <v>-5</v>
      </c>
      <c r="G3199" s="1">
        <v>1</v>
      </c>
      <c r="H3199" s="1">
        <v>1.4162798692</v>
      </c>
      <c r="I3199" s="1">
        <v>1.55447858966</v>
      </c>
      <c r="J3199" s="1">
        <v>0.73763193927100001</v>
      </c>
      <c r="K3199" s="1">
        <v>22108.013106099999</v>
      </c>
      <c r="L3199" s="1">
        <v>5489.3646880599999</v>
      </c>
      <c r="M3199" s="1" t="s">
        <v>198</v>
      </c>
      <c r="N3199" s="1" t="b">
        <v>1</v>
      </c>
    </row>
    <row r="3200" spans="1:14" ht="19" customHeight="1" x14ac:dyDescent="0.3">
      <c r="A3200">
        <v>3195</v>
      </c>
      <c r="B3200" s="1">
        <v>12</v>
      </c>
      <c r="C3200" s="1">
        <v>90</v>
      </c>
      <c r="D3200" s="1">
        <v>2.5000000000000001E-2</v>
      </c>
      <c r="E3200" s="1">
        <v>0.06</v>
      </c>
      <c r="F3200" s="1">
        <v>0</v>
      </c>
      <c r="G3200" s="1">
        <v>0</v>
      </c>
      <c r="H3200" s="1">
        <v>1.4485073660100001</v>
      </c>
      <c r="I3200" s="1">
        <v>2.1198010707699999</v>
      </c>
      <c r="J3200" s="1">
        <v>0.89205114545300002</v>
      </c>
      <c r="K3200" s="1">
        <v>26554.905348</v>
      </c>
      <c r="L3200" s="1">
        <v>6638.5331180699995</v>
      </c>
      <c r="M3200" s="1" t="s">
        <v>198</v>
      </c>
      <c r="N3200" s="1" t="b">
        <v>1</v>
      </c>
    </row>
    <row r="3201" spans="1:14" ht="19" customHeight="1" x14ac:dyDescent="0.3">
      <c r="A3201">
        <v>3196</v>
      </c>
      <c r="B3201" s="1">
        <v>12</v>
      </c>
      <c r="C3201" s="1">
        <v>90</v>
      </c>
      <c r="D3201" s="1">
        <v>2.5000000000000001E-2</v>
      </c>
      <c r="E3201" s="1">
        <v>0.06</v>
      </c>
      <c r="F3201" s="1">
        <v>0</v>
      </c>
      <c r="G3201" s="1">
        <v>1</v>
      </c>
      <c r="H3201" s="1">
        <v>1.4485073660100001</v>
      </c>
      <c r="I3201" s="1">
        <v>1.58985080308</v>
      </c>
      <c r="J3201" s="1">
        <v>0.73148193927100003</v>
      </c>
      <c r="K3201" s="1">
        <v>22611.081699599999</v>
      </c>
      <c r="L3201" s="1">
        <v>5443.5971568100003</v>
      </c>
      <c r="M3201" s="1" t="s">
        <v>198</v>
      </c>
      <c r="N3201" s="1" t="b">
        <v>1</v>
      </c>
    </row>
    <row r="3202" spans="1:14" ht="19" customHeight="1" x14ac:dyDescent="0.3">
      <c r="A3202">
        <v>3197</v>
      </c>
      <c r="B3202" s="1">
        <v>12</v>
      </c>
      <c r="C3202" s="1">
        <v>90</v>
      </c>
      <c r="D3202" s="1">
        <v>2.5000000000000001E-2</v>
      </c>
      <c r="E3202" s="1">
        <v>0.06</v>
      </c>
      <c r="F3202" s="1">
        <v>5</v>
      </c>
      <c r="G3202" s="1">
        <v>0</v>
      </c>
      <c r="H3202" s="1">
        <v>1.4162798692</v>
      </c>
      <c r="I3202" s="1">
        <v>2.0726381195500001</v>
      </c>
      <c r="J3202" s="1">
        <v>0.89955114545299997</v>
      </c>
      <c r="K3202" s="1">
        <v>25964.0915575</v>
      </c>
      <c r="L3202" s="1">
        <v>6694.3471805700001</v>
      </c>
      <c r="M3202" s="1" t="s">
        <v>198</v>
      </c>
      <c r="N3202" s="1" t="b">
        <v>1</v>
      </c>
    </row>
    <row r="3203" spans="1:14" ht="19" customHeight="1" x14ac:dyDescent="0.3">
      <c r="A3203">
        <v>3198</v>
      </c>
      <c r="B3203" s="1">
        <v>12</v>
      </c>
      <c r="C3203" s="1">
        <v>90</v>
      </c>
      <c r="D3203" s="1">
        <v>2.5000000000000001E-2</v>
      </c>
      <c r="E3203" s="1">
        <v>0.06</v>
      </c>
      <c r="F3203" s="1">
        <v>5</v>
      </c>
      <c r="G3203" s="1">
        <v>1</v>
      </c>
      <c r="H3203" s="1">
        <v>1.4162798692</v>
      </c>
      <c r="I3203" s="1">
        <v>1.55447858966</v>
      </c>
      <c r="J3203" s="1">
        <v>0.73763193927100001</v>
      </c>
      <c r="K3203" s="1">
        <v>22108.013106099999</v>
      </c>
      <c r="L3203" s="1">
        <v>5489.3646880599999</v>
      </c>
      <c r="M3203" s="1" t="s">
        <v>198</v>
      </c>
      <c r="N3203" s="1" t="b">
        <v>1</v>
      </c>
    </row>
    <row r="3204" spans="1:14" ht="19" customHeight="1" x14ac:dyDescent="0.3">
      <c r="A3204">
        <v>3199</v>
      </c>
      <c r="B3204" s="1">
        <v>12</v>
      </c>
      <c r="C3204" s="1">
        <v>90</v>
      </c>
      <c r="D3204" s="1">
        <v>2.5000000000000001E-2</v>
      </c>
      <c r="E3204" s="1">
        <v>8.5000000000000006E-2</v>
      </c>
      <c r="F3204" s="1">
        <v>-5</v>
      </c>
      <c r="G3204" s="1">
        <v>0</v>
      </c>
      <c r="H3204" s="1">
        <v>1.3124483602599999</v>
      </c>
      <c r="I3204" s="1">
        <v>1.91689085613</v>
      </c>
      <c r="J3204" s="1">
        <v>0.89025915308600001</v>
      </c>
      <c r="K3204" s="1">
        <v>24032.338780999999</v>
      </c>
      <c r="L3204" s="1">
        <v>6625.1973348700003</v>
      </c>
      <c r="M3204" s="1" t="s">
        <v>198</v>
      </c>
      <c r="N3204" s="1" t="b">
        <v>1</v>
      </c>
    </row>
    <row r="3205" spans="1:14" ht="19" customHeight="1" x14ac:dyDescent="0.3">
      <c r="A3205">
        <v>3200</v>
      </c>
      <c r="B3205" s="1">
        <v>12</v>
      </c>
      <c r="C3205" s="1">
        <v>90</v>
      </c>
      <c r="D3205" s="1">
        <v>2.5000000000000001E-2</v>
      </c>
      <c r="E3205" s="1">
        <v>8.5000000000000006E-2</v>
      </c>
      <c r="F3205" s="1">
        <v>-5</v>
      </c>
      <c r="G3205" s="1">
        <v>1</v>
      </c>
      <c r="H3205" s="1">
        <v>1.3124483602599999</v>
      </c>
      <c r="I3205" s="1">
        <v>1.4376681420999999</v>
      </c>
      <c r="J3205" s="1">
        <v>0.73001250552999997</v>
      </c>
      <c r="K3205" s="1">
        <v>20466.023246000001</v>
      </c>
      <c r="L3205" s="1">
        <v>5432.6618145900002</v>
      </c>
      <c r="M3205" s="1" t="s">
        <v>198</v>
      </c>
      <c r="N3205" s="1" t="b">
        <v>1</v>
      </c>
    </row>
    <row r="3206" spans="1:14" ht="19" customHeight="1" x14ac:dyDescent="0.3">
      <c r="A3206">
        <v>3201</v>
      </c>
      <c r="B3206" s="1">
        <v>12</v>
      </c>
      <c r="C3206" s="1">
        <v>90</v>
      </c>
      <c r="D3206" s="1">
        <v>2.5000000000000001E-2</v>
      </c>
      <c r="E3206" s="1">
        <v>8.5000000000000006E-2</v>
      </c>
      <c r="F3206" s="1">
        <v>0</v>
      </c>
      <c r="G3206" s="1">
        <v>0</v>
      </c>
      <c r="H3206" s="1">
        <v>1.34231316753</v>
      </c>
      <c r="I3206" s="1">
        <v>1.9605097730500001</v>
      </c>
      <c r="J3206" s="1">
        <v>0.88275915308599995</v>
      </c>
      <c r="K3206" s="1">
        <v>24579.195470999999</v>
      </c>
      <c r="L3206" s="1">
        <v>6569.3832723699998</v>
      </c>
      <c r="M3206" s="1" t="s">
        <v>198</v>
      </c>
      <c r="N3206" s="1" t="b">
        <v>1</v>
      </c>
    </row>
    <row r="3207" spans="1:14" ht="19" customHeight="1" x14ac:dyDescent="0.3">
      <c r="A3207">
        <v>3202</v>
      </c>
      <c r="B3207" s="1">
        <v>12</v>
      </c>
      <c r="C3207" s="1">
        <v>90</v>
      </c>
      <c r="D3207" s="1">
        <v>2.5000000000000001E-2</v>
      </c>
      <c r="E3207" s="1">
        <v>8.5000000000000006E-2</v>
      </c>
      <c r="F3207" s="1">
        <v>0</v>
      </c>
      <c r="G3207" s="1">
        <v>1</v>
      </c>
      <c r="H3207" s="1">
        <v>1.34231316753</v>
      </c>
      <c r="I3207" s="1">
        <v>1.4703823297900001</v>
      </c>
      <c r="J3207" s="1">
        <v>0.72386250552999998</v>
      </c>
      <c r="K3207" s="1">
        <v>20931.728304200002</v>
      </c>
      <c r="L3207" s="1">
        <v>5386.8942833399997</v>
      </c>
      <c r="M3207" s="1" t="s">
        <v>198</v>
      </c>
      <c r="N3207" s="1" t="b">
        <v>1</v>
      </c>
    </row>
    <row r="3208" spans="1:14" ht="19" customHeight="1" x14ac:dyDescent="0.3">
      <c r="A3208">
        <v>3203</v>
      </c>
      <c r="B3208" s="1">
        <v>12</v>
      </c>
      <c r="C3208" s="1">
        <v>90</v>
      </c>
      <c r="D3208" s="1">
        <v>2.5000000000000001E-2</v>
      </c>
      <c r="E3208" s="1">
        <v>8.5000000000000006E-2</v>
      </c>
      <c r="F3208" s="1">
        <v>5</v>
      </c>
      <c r="G3208" s="1">
        <v>0</v>
      </c>
      <c r="H3208" s="1">
        <v>1.3124483602599999</v>
      </c>
      <c r="I3208" s="1">
        <v>1.91689085613</v>
      </c>
      <c r="J3208" s="1">
        <v>0.89025915308600001</v>
      </c>
      <c r="K3208" s="1">
        <v>24032.338780999999</v>
      </c>
      <c r="L3208" s="1">
        <v>6625.1973348700003</v>
      </c>
      <c r="M3208" s="1" t="s">
        <v>198</v>
      </c>
      <c r="N3208" s="1" t="b">
        <v>1</v>
      </c>
    </row>
    <row r="3209" spans="1:14" ht="19" customHeight="1" x14ac:dyDescent="0.3">
      <c r="A3209">
        <v>3204</v>
      </c>
      <c r="B3209" s="1">
        <v>12</v>
      </c>
      <c r="C3209" s="1">
        <v>90</v>
      </c>
      <c r="D3209" s="1">
        <v>2.5000000000000001E-2</v>
      </c>
      <c r="E3209" s="1">
        <v>8.5000000000000006E-2</v>
      </c>
      <c r="F3209" s="1">
        <v>5</v>
      </c>
      <c r="G3209" s="1">
        <v>1</v>
      </c>
      <c r="H3209" s="1">
        <v>1.3124483602599999</v>
      </c>
      <c r="I3209" s="1">
        <v>1.4376681420999999</v>
      </c>
      <c r="J3209" s="1">
        <v>0.73001250552999997</v>
      </c>
      <c r="K3209" s="1">
        <v>20466.023246000001</v>
      </c>
      <c r="L3209" s="1">
        <v>5432.6618145900002</v>
      </c>
      <c r="M3209" s="1" t="s">
        <v>198</v>
      </c>
      <c r="N3209" s="1" t="b">
        <v>1</v>
      </c>
    </row>
    <row r="3210" spans="1:14" ht="19" customHeight="1" x14ac:dyDescent="0.3">
      <c r="A3210">
        <v>3205</v>
      </c>
      <c r="B3210" s="1">
        <v>12</v>
      </c>
      <c r="C3210" s="1">
        <v>90</v>
      </c>
      <c r="D3210" s="1">
        <v>0.04</v>
      </c>
      <c r="E3210" s="1">
        <v>0.04</v>
      </c>
      <c r="F3210" s="1">
        <v>-5</v>
      </c>
      <c r="G3210" s="1">
        <v>0</v>
      </c>
      <c r="H3210" s="1">
        <v>1.3816536690200001</v>
      </c>
      <c r="I3210" s="1">
        <v>2.0206988192800002</v>
      </c>
      <c r="J3210" s="1">
        <v>0.89645240990399999</v>
      </c>
      <c r="K3210" s="1">
        <v>25319.8819238</v>
      </c>
      <c r="L3210" s="1">
        <v>6671.2867779600001</v>
      </c>
      <c r="M3210" s="1" t="s">
        <v>198</v>
      </c>
      <c r="N3210" s="1" t="b">
        <v>1</v>
      </c>
    </row>
    <row r="3211" spans="1:14" ht="19" customHeight="1" x14ac:dyDescent="0.3">
      <c r="A3211">
        <v>3206</v>
      </c>
      <c r="B3211" s="1">
        <v>12</v>
      </c>
      <c r="C3211" s="1">
        <v>90</v>
      </c>
      <c r="D3211" s="1">
        <v>0.04</v>
      </c>
      <c r="E3211" s="1">
        <v>0.04</v>
      </c>
      <c r="F3211" s="1">
        <v>-5</v>
      </c>
      <c r="G3211" s="1">
        <v>1</v>
      </c>
      <c r="H3211" s="1">
        <v>1.3816536690200001</v>
      </c>
      <c r="I3211" s="1">
        <v>1.51552411446</v>
      </c>
      <c r="J3211" s="1">
        <v>0.73509097612200003</v>
      </c>
      <c r="K3211" s="1">
        <v>21560.434917400002</v>
      </c>
      <c r="L3211" s="1">
        <v>5470.4551579299996</v>
      </c>
      <c r="M3211" s="1" t="s">
        <v>198</v>
      </c>
      <c r="N3211" s="1" t="b">
        <v>1</v>
      </c>
    </row>
    <row r="3212" spans="1:14" ht="19" customHeight="1" x14ac:dyDescent="0.3">
      <c r="A3212">
        <v>3207</v>
      </c>
      <c r="B3212" s="1">
        <v>12</v>
      </c>
      <c r="C3212" s="1">
        <v>90</v>
      </c>
      <c r="D3212" s="1">
        <v>0.04</v>
      </c>
      <c r="E3212" s="1">
        <v>0.04</v>
      </c>
      <c r="F3212" s="1">
        <v>0</v>
      </c>
      <c r="G3212" s="1">
        <v>0</v>
      </c>
      <c r="H3212" s="1">
        <v>1.41309324546</v>
      </c>
      <c r="I3212" s="1">
        <v>2.0666798899400001</v>
      </c>
      <c r="J3212" s="1">
        <v>0.88895240990400004</v>
      </c>
      <c r="K3212" s="1">
        <v>25896.036702099998</v>
      </c>
      <c r="L3212" s="1">
        <v>6615.4727154599996</v>
      </c>
      <c r="M3212" s="1" t="s">
        <v>198</v>
      </c>
      <c r="N3212" s="1" t="b">
        <v>1</v>
      </c>
    </row>
    <row r="3213" spans="1:14" ht="19" customHeight="1" x14ac:dyDescent="0.3">
      <c r="A3213">
        <v>3208</v>
      </c>
      <c r="B3213" s="1">
        <v>12</v>
      </c>
      <c r="C3213" s="1">
        <v>90</v>
      </c>
      <c r="D3213" s="1">
        <v>0.04</v>
      </c>
      <c r="E3213" s="1">
        <v>0.04</v>
      </c>
      <c r="F3213" s="1">
        <v>0</v>
      </c>
      <c r="G3213" s="1">
        <v>1</v>
      </c>
      <c r="H3213" s="1">
        <v>1.41309324546</v>
      </c>
      <c r="I3213" s="1">
        <v>1.5500099174599999</v>
      </c>
      <c r="J3213" s="1">
        <v>0.72894097612200004</v>
      </c>
      <c r="K3213" s="1">
        <v>22051.043350600001</v>
      </c>
      <c r="L3213" s="1">
        <v>5424.68762668</v>
      </c>
      <c r="M3213" s="1" t="s">
        <v>198</v>
      </c>
      <c r="N3213" s="1" t="b">
        <v>1</v>
      </c>
    </row>
    <row r="3214" spans="1:14" ht="19" customHeight="1" x14ac:dyDescent="0.3">
      <c r="A3214">
        <v>3209</v>
      </c>
      <c r="B3214" s="1">
        <v>12</v>
      </c>
      <c r="C3214" s="1">
        <v>90</v>
      </c>
      <c r="D3214" s="1">
        <v>0.04</v>
      </c>
      <c r="E3214" s="1">
        <v>0.04</v>
      </c>
      <c r="F3214" s="1">
        <v>5</v>
      </c>
      <c r="G3214" s="1">
        <v>0</v>
      </c>
      <c r="H3214" s="1">
        <v>1.3816536690200001</v>
      </c>
      <c r="I3214" s="1">
        <v>2.0206988192800002</v>
      </c>
      <c r="J3214" s="1">
        <v>0.89645240990399999</v>
      </c>
      <c r="K3214" s="1">
        <v>25319.8819238</v>
      </c>
      <c r="L3214" s="1">
        <v>6671.2867779600001</v>
      </c>
      <c r="M3214" s="1" t="s">
        <v>198</v>
      </c>
      <c r="N3214" s="1" t="b">
        <v>1</v>
      </c>
    </row>
    <row r="3215" spans="1:14" ht="19" customHeight="1" x14ac:dyDescent="0.3">
      <c r="A3215">
        <v>3210</v>
      </c>
      <c r="B3215" s="1">
        <v>12</v>
      </c>
      <c r="C3215" s="1">
        <v>90</v>
      </c>
      <c r="D3215" s="1">
        <v>0.04</v>
      </c>
      <c r="E3215" s="1">
        <v>0.04</v>
      </c>
      <c r="F3215" s="1">
        <v>5</v>
      </c>
      <c r="G3215" s="1">
        <v>1</v>
      </c>
      <c r="H3215" s="1">
        <v>1.3816536690200001</v>
      </c>
      <c r="I3215" s="1">
        <v>1.51552411446</v>
      </c>
      <c r="J3215" s="1">
        <v>0.73509097612200003</v>
      </c>
      <c r="K3215" s="1">
        <v>21560.434917400002</v>
      </c>
      <c r="L3215" s="1">
        <v>5470.4551579299996</v>
      </c>
      <c r="M3215" s="1" t="s">
        <v>198</v>
      </c>
      <c r="N3215" s="1" t="b">
        <v>1</v>
      </c>
    </row>
    <row r="3216" spans="1:14" ht="19" customHeight="1" x14ac:dyDescent="0.3">
      <c r="A3216">
        <v>3211</v>
      </c>
      <c r="B3216" s="1">
        <v>12</v>
      </c>
      <c r="C3216" s="1">
        <v>90</v>
      </c>
      <c r="D3216" s="1">
        <v>0.04</v>
      </c>
      <c r="E3216" s="1">
        <v>0.06</v>
      </c>
      <c r="F3216" s="1">
        <v>-5</v>
      </c>
      <c r="G3216" s="1">
        <v>0</v>
      </c>
      <c r="H3216" s="1">
        <v>1.4228494845799999</v>
      </c>
      <c r="I3216" s="1">
        <v>2.0824925426099998</v>
      </c>
      <c r="J3216" s="1">
        <v>0.900139067332</v>
      </c>
      <c r="K3216" s="1">
        <v>26086.317198600002</v>
      </c>
      <c r="L3216" s="1">
        <v>6698.7224217000003</v>
      </c>
      <c r="M3216" s="1" t="s">
        <v>198</v>
      </c>
      <c r="N3216" s="1" t="b">
        <v>1</v>
      </c>
    </row>
    <row r="3217" spans="1:14" ht="19" customHeight="1" x14ac:dyDescent="0.3">
      <c r="A3217">
        <v>3212</v>
      </c>
      <c r="B3217" s="1">
        <v>12</v>
      </c>
      <c r="C3217" s="1">
        <v>90</v>
      </c>
      <c r="D3217" s="1">
        <v>0.04</v>
      </c>
      <c r="E3217" s="1">
        <v>0.06</v>
      </c>
      <c r="F3217" s="1">
        <v>-5</v>
      </c>
      <c r="G3217" s="1">
        <v>1</v>
      </c>
      <c r="H3217" s="1">
        <v>1.4228494845799999</v>
      </c>
      <c r="I3217" s="1">
        <v>1.5618694069600001</v>
      </c>
      <c r="J3217" s="1">
        <v>0.73811403521200003</v>
      </c>
      <c r="K3217" s="1">
        <v>22211.904900900001</v>
      </c>
      <c r="L3217" s="1">
        <v>5492.9523858000002</v>
      </c>
      <c r="M3217" s="1" t="s">
        <v>198</v>
      </c>
      <c r="N3217" s="1" t="b">
        <v>1</v>
      </c>
    </row>
    <row r="3218" spans="1:14" ht="19" customHeight="1" x14ac:dyDescent="0.3">
      <c r="A3218">
        <v>3213</v>
      </c>
      <c r="B3218" s="1">
        <v>12</v>
      </c>
      <c r="C3218" s="1">
        <v>90</v>
      </c>
      <c r="D3218" s="1">
        <v>0.04</v>
      </c>
      <c r="E3218" s="1">
        <v>0.06</v>
      </c>
      <c r="F3218" s="1">
        <v>0</v>
      </c>
      <c r="G3218" s="1">
        <v>0</v>
      </c>
      <c r="H3218" s="1">
        <v>1.45522647321</v>
      </c>
      <c r="I3218" s="1">
        <v>2.12987973156</v>
      </c>
      <c r="J3218" s="1">
        <v>0.89263906733200005</v>
      </c>
      <c r="K3218" s="1">
        <v>26679.912237600001</v>
      </c>
      <c r="L3218" s="1">
        <v>6642.9083591999997</v>
      </c>
      <c r="M3218" s="1" t="s">
        <v>198</v>
      </c>
      <c r="N3218" s="1" t="b">
        <v>1</v>
      </c>
    </row>
    <row r="3219" spans="1:14" ht="19" customHeight="1" x14ac:dyDescent="0.3">
      <c r="A3219">
        <v>3214</v>
      </c>
      <c r="B3219" s="1">
        <v>12</v>
      </c>
      <c r="C3219" s="1">
        <v>90</v>
      </c>
      <c r="D3219" s="1">
        <v>0.04</v>
      </c>
      <c r="E3219" s="1">
        <v>0.06</v>
      </c>
      <c r="F3219" s="1">
        <v>0</v>
      </c>
      <c r="G3219" s="1">
        <v>1</v>
      </c>
      <c r="H3219" s="1">
        <v>1.45522647321</v>
      </c>
      <c r="I3219" s="1">
        <v>1.59740979867</v>
      </c>
      <c r="J3219" s="1">
        <v>0.73196403521200004</v>
      </c>
      <c r="K3219" s="1">
        <v>22717.337555800001</v>
      </c>
      <c r="L3219" s="1">
        <v>5447.1848545499997</v>
      </c>
      <c r="M3219" s="1" t="s">
        <v>198</v>
      </c>
      <c r="N3219" s="1" t="b">
        <v>1</v>
      </c>
    </row>
    <row r="3220" spans="1:14" ht="19" customHeight="1" x14ac:dyDescent="0.3">
      <c r="A3220">
        <v>3215</v>
      </c>
      <c r="B3220" s="1">
        <v>12</v>
      </c>
      <c r="C3220" s="1">
        <v>90</v>
      </c>
      <c r="D3220" s="1">
        <v>0.04</v>
      </c>
      <c r="E3220" s="1">
        <v>0.06</v>
      </c>
      <c r="F3220" s="1">
        <v>5</v>
      </c>
      <c r="G3220" s="1">
        <v>0</v>
      </c>
      <c r="H3220" s="1">
        <v>1.4228494845799999</v>
      </c>
      <c r="I3220" s="1">
        <v>2.0824925426099998</v>
      </c>
      <c r="J3220" s="1">
        <v>0.900139067332</v>
      </c>
      <c r="K3220" s="1">
        <v>26086.317198600002</v>
      </c>
      <c r="L3220" s="1">
        <v>6698.7224217000003</v>
      </c>
      <c r="M3220" s="1" t="s">
        <v>198</v>
      </c>
      <c r="N3220" s="1" t="b">
        <v>1</v>
      </c>
    </row>
    <row r="3221" spans="1:14" ht="19" customHeight="1" x14ac:dyDescent="0.3">
      <c r="A3221">
        <v>3216</v>
      </c>
      <c r="B3221" s="1">
        <v>12</v>
      </c>
      <c r="C3221" s="1">
        <v>90</v>
      </c>
      <c r="D3221" s="1">
        <v>0.04</v>
      </c>
      <c r="E3221" s="1">
        <v>0.06</v>
      </c>
      <c r="F3221" s="1">
        <v>5</v>
      </c>
      <c r="G3221" s="1">
        <v>1</v>
      </c>
      <c r="H3221" s="1">
        <v>1.4228494845799999</v>
      </c>
      <c r="I3221" s="1">
        <v>1.5618694069600001</v>
      </c>
      <c r="J3221" s="1">
        <v>0.73811403521200003</v>
      </c>
      <c r="K3221" s="1">
        <v>22211.904900900001</v>
      </c>
      <c r="L3221" s="1">
        <v>5492.9523858000002</v>
      </c>
      <c r="M3221" s="1" t="s">
        <v>198</v>
      </c>
      <c r="N3221" s="1" t="b">
        <v>1</v>
      </c>
    </row>
    <row r="3222" spans="1:14" ht="19" customHeight="1" x14ac:dyDescent="0.3">
      <c r="A3222">
        <v>3217</v>
      </c>
      <c r="B3222" s="1">
        <v>12</v>
      </c>
      <c r="C3222" s="1">
        <v>90</v>
      </c>
      <c r="D3222" s="1">
        <v>0.04</v>
      </c>
      <c r="E3222" s="1">
        <v>8.5000000000000006E-2</v>
      </c>
      <c r="F3222" s="1">
        <v>-5</v>
      </c>
      <c r="G3222" s="1">
        <v>0</v>
      </c>
      <c r="H3222" s="1">
        <v>1.3175331665800001</v>
      </c>
      <c r="I3222" s="1">
        <v>1.9245180656200001</v>
      </c>
      <c r="J3222" s="1">
        <v>0.89071419782100003</v>
      </c>
      <c r="K3222" s="1">
        <v>24126.9400136</v>
      </c>
      <c r="L3222" s="1">
        <v>6628.58372091</v>
      </c>
      <c r="M3222" s="1" t="s">
        <v>198</v>
      </c>
      <c r="N3222" s="1" t="b">
        <v>1</v>
      </c>
    </row>
    <row r="3223" spans="1:14" ht="19" customHeight="1" x14ac:dyDescent="0.3">
      <c r="A3223">
        <v>3218</v>
      </c>
      <c r="B3223" s="1">
        <v>12</v>
      </c>
      <c r="C3223" s="1">
        <v>90</v>
      </c>
      <c r="D3223" s="1">
        <v>0.04</v>
      </c>
      <c r="E3223" s="1">
        <v>8.5000000000000006E-2</v>
      </c>
      <c r="F3223" s="1">
        <v>-5</v>
      </c>
      <c r="G3223" s="1">
        <v>1</v>
      </c>
      <c r="H3223" s="1">
        <v>1.3175331665800001</v>
      </c>
      <c r="I3223" s="1">
        <v>1.44338854921</v>
      </c>
      <c r="J3223" s="1">
        <v>0.73038564221400004</v>
      </c>
      <c r="K3223" s="1">
        <v>20546.4342937</v>
      </c>
      <c r="L3223" s="1">
        <v>5435.4386511499997</v>
      </c>
      <c r="M3223" s="1" t="s">
        <v>198</v>
      </c>
      <c r="N3223" s="1" t="b">
        <v>1</v>
      </c>
    </row>
    <row r="3224" spans="1:14" ht="19" customHeight="1" x14ac:dyDescent="0.3">
      <c r="A3224">
        <v>3219</v>
      </c>
      <c r="B3224" s="1">
        <v>12</v>
      </c>
      <c r="C3224" s="1">
        <v>90</v>
      </c>
      <c r="D3224" s="1">
        <v>0.04</v>
      </c>
      <c r="E3224" s="1">
        <v>8.5000000000000006E-2</v>
      </c>
      <c r="F3224" s="1">
        <v>0</v>
      </c>
      <c r="G3224" s="1">
        <v>0</v>
      </c>
      <c r="H3224" s="1">
        <v>1.3475136787999999</v>
      </c>
      <c r="I3224" s="1">
        <v>1.96831053995</v>
      </c>
      <c r="J3224" s="1">
        <v>0.88321419782099997</v>
      </c>
      <c r="K3224" s="1">
        <v>24675.949357900001</v>
      </c>
      <c r="L3224" s="1">
        <v>6572.7696584100004</v>
      </c>
      <c r="M3224" s="1" t="s">
        <v>198</v>
      </c>
      <c r="N3224" s="1" t="b">
        <v>1</v>
      </c>
    </row>
    <row r="3225" spans="1:14" ht="19" customHeight="1" x14ac:dyDescent="0.3">
      <c r="A3225">
        <v>3220</v>
      </c>
      <c r="B3225" s="1">
        <v>12</v>
      </c>
      <c r="C3225" s="1">
        <v>90</v>
      </c>
      <c r="D3225" s="1">
        <v>0.04</v>
      </c>
      <c r="E3225" s="1">
        <v>8.5000000000000006E-2</v>
      </c>
      <c r="F3225" s="1">
        <v>0</v>
      </c>
      <c r="G3225" s="1">
        <v>1</v>
      </c>
      <c r="H3225" s="1">
        <v>1.3475136787999999</v>
      </c>
      <c r="I3225" s="1">
        <v>1.47623290496</v>
      </c>
      <c r="J3225" s="1">
        <v>0.72423564221400005</v>
      </c>
      <c r="K3225" s="1">
        <v>21013.969108000001</v>
      </c>
      <c r="L3225" s="1">
        <v>5389.6711199000001</v>
      </c>
      <c r="M3225" s="1" t="s">
        <v>198</v>
      </c>
      <c r="N3225" s="1" t="b">
        <v>1</v>
      </c>
    </row>
    <row r="3226" spans="1:14" ht="19" customHeight="1" x14ac:dyDescent="0.3">
      <c r="A3226">
        <v>3221</v>
      </c>
      <c r="B3226" s="1">
        <v>12</v>
      </c>
      <c r="C3226" s="1">
        <v>90</v>
      </c>
      <c r="D3226" s="1">
        <v>0.04</v>
      </c>
      <c r="E3226" s="1">
        <v>8.5000000000000006E-2</v>
      </c>
      <c r="F3226" s="1">
        <v>5</v>
      </c>
      <c r="G3226" s="1">
        <v>0</v>
      </c>
      <c r="H3226" s="1">
        <v>1.3175331665800001</v>
      </c>
      <c r="I3226" s="1">
        <v>1.9245180656200001</v>
      </c>
      <c r="J3226" s="1">
        <v>0.89071419782100003</v>
      </c>
      <c r="K3226" s="1">
        <v>24126.9400136</v>
      </c>
      <c r="L3226" s="1">
        <v>6628.58372091</v>
      </c>
      <c r="M3226" s="1" t="s">
        <v>198</v>
      </c>
      <c r="N3226" s="1" t="b">
        <v>1</v>
      </c>
    </row>
    <row r="3227" spans="1:14" ht="19" customHeight="1" x14ac:dyDescent="0.3">
      <c r="A3227">
        <v>3222</v>
      </c>
      <c r="B3227" s="1">
        <v>12</v>
      </c>
      <c r="C3227" s="1">
        <v>90</v>
      </c>
      <c r="D3227" s="1">
        <v>0.04</v>
      </c>
      <c r="E3227" s="1">
        <v>8.5000000000000006E-2</v>
      </c>
      <c r="F3227" s="1">
        <v>5</v>
      </c>
      <c r="G3227" s="1">
        <v>1</v>
      </c>
      <c r="H3227" s="1">
        <v>1.3175331665800001</v>
      </c>
      <c r="I3227" s="1">
        <v>1.44338854921</v>
      </c>
      <c r="J3227" s="1">
        <v>0.73038564221400004</v>
      </c>
      <c r="K3227" s="1">
        <v>20546.4342937</v>
      </c>
      <c r="L3227" s="1">
        <v>5435.4386511499997</v>
      </c>
      <c r="M3227" s="1" t="s">
        <v>198</v>
      </c>
      <c r="N3227" s="1" t="b">
        <v>1</v>
      </c>
    </row>
    <row r="3228" spans="1:14" ht="19" customHeight="1" x14ac:dyDescent="0.3">
      <c r="A3228">
        <v>3223</v>
      </c>
      <c r="B3228" s="1">
        <v>12</v>
      </c>
      <c r="C3228" s="1">
        <v>90</v>
      </c>
      <c r="D3228" s="1">
        <v>5.5E-2</v>
      </c>
      <c r="E3228" s="1">
        <v>0.04</v>
      </c>
      <c r="F3228" s="1">
        <v>-5</v>
      </c>
      <c r="G3228" s="1">
        <v>0</v>
      </c>
      <c r="H3228" s="1">
        <v>1.24176856696</v>
      </c>
      <c r="I3228" s="1">
        <v>1.8108711661800001</v>
      </c>
      <c r="J3228" s="1">
        <v>0.88393394307499995</v>
      </c>
      <c r="K3228" s="1">
        <v>22717.363313999998</v>
      </c>
      <c r="L3228" s="1">
        <v>6578.1259126200002</v>
      </c>
      <c r="M3228" s="1" t="s">
        <v>198</v>
      </c>
      <c r="N3228" s="1" t="b">
        <v>1</v>
      </c>
    </row>
    <row r="3229" spans="1:14" ht="19" customHeight="1" x14ac:dyDescent="0.3">
      <c r="A3229">
        <v>3224</v>
      </c>
      <c r="B3229" s="1">
        <v>12</v>
      </c>
      <c r="C3229" s="1">
        <v>90</v>
      </c>
      <c r="D3229" s="1">
        <v>5.5E-2</v>
      </c>
      <c r="E3229" s="1">
        <v>0.04</v>
      </c>
      <c r="F3229" s="1">
        <v>-5</v>
      </c>
      <c r="G3229" s="1">
        <v>1</v>
      </c>
      <c r="H3229" s="1">
        <v>1.24176856696</v>
      </c>
      <c r="I3229" s="1">
        <v>1.3581533746400001</v>
      </c>
      <c r="J3229" s="1">
        <v>0.72482583332100003</v>
      </c>
      <c r="K3229" s="1">
        <v>19348.2940991</v>
      </c>
      <c r="L3229" s="1">
        <v>5394.0632483500003</v>
      </c>
      <c r="M3229" s="1" t="s">
        <v>198</v>
      </c>
      <c r="N3229" s="1" t="b">
        <v>1</v>
      </c>
    </row>
    <row r="3230" spans="1:14" ht="19" customHeight="1" x14ac:dyDescent="0.3">
      <c r="A3230">
        <v>3225</v>
      </c>
      <c r="B3230" s="1">
        <v>12</v>
      </c>
      <c r="C3230" s="1">
        <v>90</v>
      </c>
      <c r="D3230" s="1">
        <v>5.5E-2</v>
      </c>
      <c r="E3230" s="1">
        <v>0.04</v>
      </c>
      <c r="F3230" s="1">
        <v>0</v>
      </c>
      <c r="G3230" s="1">
        <v>0</v>
      </c>
      <c r="H3230" s="1">
        <v>1.2700250531199999</v>
      </c>
      <c r="I3230" s="1">
        <v>1.85207760143</v>
      </c>
      <c r="J3230" s="1">
        <v>0.876433943075</v>
      </c>
      <c r="K3230" s="1">
        <v>23234.2976924</v>
      </c>
      <c r="L3230" s="1">
        <v>6522.3118501199997</v>
      </c>
      <c r="M3230" s="1" t="s">
        <v>198</v>
      </c>
      <c r="N3230" s="1" t="b">
        <v>1</v>
      </c>
    </row>
    <row r="3231" spans="1:14" ht="19" customHeight="1" x14ac:dyDescent="0.3">
      <c r="A3231">
        <v>3226</v>
      </c>
      <c r="B3231" s="1">
        <v>12</v>
      </c>
      <c r="C3231" s="1">
        <v>90</v>
      </c>
      <c r="D3231" s="1">
        <v>5.5E-2</v>
      </c>
      <c r="E3231" s="1">
        <v>0.04</v>
      </c>
      <c r="F3231" s="1">
        <v>0</v>
      </c>
      <c r="G3231" s="1">
        <v>1</v>
      </c>
      <c r="H3231" s="1">
        <v>1.2700250531199999</v>
      </c>
      <c r="I3231" s="1">
        <v>1.3890582010800001</v>
      </c>
      <c r="J3231" s="1">
        <v>0.71867583332100005</v>
      </c>
      <c r="K3231" s="1">
        <v>19788.5651923</v>
      </c>
      <c r="L3231" s="1">
        <v>5348.2957170999998</v>
      </c>
      <c r="M3231" s="1" t="s">
        <v>198</v>
      </c>
      <c r="N3231" s="1" t="b">
        <v>1</v>
      </c>
    </row>
    <row r="3232" spans="1:14" ht="19" customHeight="1" x14ac:dyDescent="0.3">
      <c r="A3232">
        <v>3227</v>
      </c>
      <c r="B3232" s="1">
        <v>12</v>
      </c>
      <c r="C3232" s="1">
        <v>90</v>
      </c>
      <c r="D3232" s="1">
        <v>5.5E-2</v>
      </c>
      <c r="E3232" s="1">
        <v>0.04</v>
      </c>
      <c r="F3232" s="1">
        <v>5</v>
      </c>
      <c r="G3232" s="1">
        <v>0</v>
      </c>
      <c r="H3232" s="1">
        <v>1.24176856696</v>
      </c>
      <c r="I3232" s="1">
        <v>1.8108711661800001</v>
      </c>
      <c r="J3232" s="1">
        <v>0.88393394307499995</v>
      </c>
      <c r="K3232" s="1">
        <v>22717.363313999998</v>
      </c>
      <c r="L3232" s="1">
        <v>6578.1259126200002</v>
      </c>
      <c r="M3232" s="1" t="s">
        <v>198</v>
      </c>
      <c r="N3232" s="1" t="b">
        <v>1</v>
      </c>
    </row>
    <row r="3233" spans="1:14" ht="19" customHeight="1" x14ac:dyDescent="0.3">
      <c r="A3233">
        <v>3228</v>
      </c>
      <c r="B3233" s="1">
        <v>12</v>
      </c>
      <c r="C3233" s="1">
        <v>90</v>
      </c>
      <c r="D3233" s="1">
        <v>5.5E-2</v>
      </c>
      <c r="E3233" s="1">
        <v>0.04</v>
      </c>
      <c r="F3233" s="1">
        <v>5</v>
      </c>
      <c r="G3233" s="1">
        <v>1</v>
      </c>
      <c r="H3233" s="1">
        <v>1.24176856696</v>
      </c>
      <c r="I3233" s="1">
        <v>1.3581533746400001</v>
      </c>
      <c r="J3233" s="1">
        <v>0.72482583332100003</v>
      </c>
      <c r="K3233" s="1">
        <v>19348.2940991</v>
      </c>
      <c r="L3233" s="1">
        <v>5394.0632483500003</v>
      </c>
      <c r="M3233" s="1" t="s">
        <v>198</v>
      </c>
      <c r="N3233" s="1" t="b">
        <v>1</v>
      </c>
    </row>
    <row r="3234" spans="1:14" ht="19" customHeight="1" x14ac:dyDescent="0.3">
      <c r="A3234">
        <v>3229</v>
      </c>
      <c r="B3234" s="1">
        <v>12</v>
      </c>
      <c r="C3234" s="1">
        <v>90</v>
      </c>
      <c r="D3234" s="1">
        <v>5.5E-2</v>
      </c>
      <c r="E3234" s="1">
        <v>0.06</v>
      </c>
      <c r="F3234" s="1">
        <v>-5</v>
      </c>
      <c r="G3234" s="1">
        <v>0</v>
      </c>
      <c r="H3234" s="1">
        <v>1.26939816666</v>
      </c>
      <c r="I3234" s="1">
        <v>1.8523155657399999</v>
      </c>
      <c r="J3234" s="1">
        <v>0.88640654539200003</v>
      </c>
      <c r="K3234" s="1">
        <v>23231.403382299999</v>
      </c>
      <c r="L3234" s="1">
        <v>6596.5267099900002</v>
      </c>
      <c r="M3234" s="1" t="s">
        <v>198</v>
      </c>
      <c r="N3234" s="1" t="b">
        <v>1</v>
      </c>
    </row>
    <row r="3235" spans="1:14" ht="19" customHeight="1" x14ac:dyDescent="0.3">
      <c r="A3235">
        <v>3230</v>
      </c>
      <c r="B3235" s="1">
        <v>12</v>
      </c>
      <c r="C3235" s="1">
        <v>90</v>
      </c>
      <c r="D3235" s="1">
        <v>5.5E-2</v>
      </c>
      <c r="E3235" s="1">
        <v>0.06</v>
      </c>
      <c r="F3235" s="1">
        <v>-5</v>
      </c>
      <c r="G3235" s="1">
        <v>1</v>
      </c>
      <c r="H3235" s="1">
        <v>1.26939816666</v>
      </c>
      <c r="I3235" s="1">
        <v>1.38923667431</v>
      </c>
      <c r="J3235" s="1">
        <v>0.72685336722100002</v>
      </c>
      <c r="K3235" s="1">
        <v>19785.228157099998</v>
      </c>
      <c r="L3235" s="1">
        <v>5409.1519021900003</v>
      </c>
      <c r="M3235" s="1" t="s">
        <v>198</v>
      </c>
      <c r="N3235" s="1" t="b">
        <v>1</v>
      </c>
    </row>
    <row r="3236" spans="1:14" ht="19" customHeight="1" x14ac:dyDescent="0.3">
      <c r="A3236">
        <v>3231</v>
      </c>
      <c r="B3236" s="1">
        <v>12</v>
      </c>
      <c r="C3236" s="1">
        <v>90</v>
      </c>
      <c r="D3236" s="1">
        <v>5.5E-2</v>
      </c>
      <c r="E3236" s="1">
        <v>0.06</v>
      </c>
      <c r="F3236" s="1">
        <v>0</v>
      </c>
      <c r="G3236" s="1">
        <v>0</v>
      </c>
      <c r="H3236" s="1">
        <v>1.2982833653100001</v>
      </c>
      <c r="I3236" s="1">
        <v>1.8944650697200001</v>
      </c>
      <c r="J3236" s="1">
        <v>0.87890654539199997</v>
      </c>
      <c r="K3236" s="1">
        <v>23760.034759999999</v>
      </c>
      <c r="L3236" s="1">
        <v>6540.7126474899997</v>
      </c>
      <c r="M3236" s="1" t="s">
        <v>198</v>
      </c>
      <c r="N3236" s="1" t="b">
        <v>1</v>
      </c>
    </row>
    <row r="3237" spans="1:14" ht="19" customHeight="1" x14ac:dyDescent="0.3">
      <c r="A3237">
        <v>3232</v>
      </c>
      <c r="B3237" s="1">
        <v>12</v>
      </c>
      <c r="C3237" s="1">
        <v>90</v>
      </c>
      <c r="D3237" s="1">
        <v>5.5E-2</v>
      </c>
      <c r="E3237" s="1">
        <v>0.06</v>
      </c>
      <c r="F3237" s="1">
        <v>0</v>
      </c>
      <c r="G3237" s="1">
        <v>1</v>
      </c>
      <c r="H3237" s="1">
        <v>1.2982833653100001</v>
      </c>
      <c r="I3237" s="1">
        <v>1.4208488022900001</v>
      </c>
      <c r="J3237" s="1">
        <v>0.72070336722100004</v>
      </c>
      <c r="K3237" s="1">
        <v>20235.441699800002</v>
      </c>
      <c r="L3237" s="1">
        <v>5363.3843709399998</v>
      </c>
      <c r="M3237" s="1" t="s">
        <v>198</v>
      </c>
      <c r="N3237" s="1" t="b">
        <v>1</v>
      </c>
    </row>
    <row r="3238" spans="1:14" ht="19" customHeight="1" x14ac:dyDescent="0.3">
      <c r="A3238">
        <v>3233</v>
      </c>
      <c r="B3238" s="1">
        <v>12</v>
      </c>
      <c r="C3238" s="1">
        <v>90</v>
      </c>
      <c r="D3238" s="1">
        <v>5.5E-2</v>
      </c>
      <c r="E3238" s="1">
        <v>0.06</v>
      </c>
      <c r="F3238" s="1">
        <v>5</v>
      </c>
      <c r="G3238" s="1">
        <v>0</v>
      </c>
      <c r="H3238" s="1">
        <v>1.26939816666</v>
      </c>
      <c r="I3238" s="1">
        <v>1.8523155657399999</v>
      </c>
      <c r="J3238" s="1">
        <v>0.88640654539200003</v>
      </c>
      <c r="K3238" s="1">
        <v>23231.403382299999</v>
      </c>
      <c r="L3238" s="1">
        <v>6596.5267099900002</v>
      </c>
      <c r="M3238" s="1" t="s">
        <v>198</v>
      </c>
      <c r="N3238" s="1" t="b">
        <v>1</v>
      </c>
    </row>
    <row r="3239" spans="1:14" ht="19" customHeight="1" x14ac:dyDescent="0.3">
      <c r="A3239">
        <v>3234</v>
      </c>
      <c r="B3239" s="1">
        <v>12</v>
      </c>
      <c r="C3239" s="1">
        <v>90</v>
      </c>
      <c r="D3239" s="1">
        <v>5.5E-2</v>
      </c>
      <c r="E3239" s="1">
        <v>0.06</v>
      </c>
      <c r="F3239" s="1">
        <v>5</v>
      </c>
      <c r="G3239" s="1">
        <v>1</v>
      </c>
      <c r="H3239" s="1">
        <v>1.26939816666</v>
      </c>
      <c r="I3239" s="1">
        <v>1.38923667431</v>
      </c>
      <c r="J3239" s="1">
        <v>0.72685336722100002</v>
      </c>
      <c r="K3239" s="1">
        <v>19785.228157099998</v>
      </c>
      <c r="L3239" s="1">
        <v>5409.1519021900003</v>
      </c>
      <c r="M3239" s="1" t="s">
        <v>198</v>
      </c>
      <c r="N3239" s="1" t="b">
        <v>1</v>
      </c>
    </row>
    <row r="3240" spans="1:14" ht="19" customHeight="1" x14ac:dyDescent="0.3">
      <c r="A3240">
        <v>3235</v>
      </c>
      <c r="B3240" s="1">
        <v>12</v>
      </c>
      <c r="C3240" s="1">
        <v>90</v>
      </c>
      <c r="D3240" s="1">
        <v>5.5E-2</v>
      </c>
      <c r="E3240" s="1">
        <v>8.5000000000000006E-2</v>
      </c>
      <c r="F3240" s="1">
        <v>-5</v>
      </c>
      <c r="G3240" s="1">
        <v>0</v>
      </c>
      <c r="H3240" s="1">
        <v>1.1987636211499999</v>
      </c>
      <c r="I3240" s="1">
        <v>1.74636374747</v>
      </c>
      <c r="J3240" s="1">
        <v>0.88008538465300001</v>
      </c>
      <c r="K3240" s="1">
        <v>21917.269736400001</v>
      </c>
      <c r="L3240" s="1">
        <v>6549.4854219199997</v>
      </c>
      <c r="M3240" s="1" t="s">
        <v>198</v>
      </c>
      <c r="N3240" s="1" t="b">
        <v>1</v>
      </c>
    </row>
    <row r="3241" spans="1:14" ht="19" customHeight="1" x14ac:dyDescent="0.3">
      <c r="A3241">
        <v>3236</v>
      </c>
      <c r="B3241" s="1">
        <v>12</v>
      </c>
      <c r="C3241" s="1">
        <v>90</v>
      </c>
      <c r="D3241" s="1">
        <v>5.5E-2</v>
      </c>
      <c r="E3241" s="1">
        <v>8.5000000000000006E-2</v>
      </c>
      <c r="F3241" s="1">
        <v>-5</v>
      </c>
      <c r="G3241" s="1">
        <v>1</v>
      </c>
      <c r="H3241" s="1">
        <v>1.1987636211499999</v>
      </c>
      <c r="I3241" s="1">
        <v>1.3097728105999999</v>
      </c>
      <c r="J3241" s="1">
        <v>0.72167001541599995</v>
      </c>
      <c r="K3241" s="1">
        <v>18668.2145581</v>
      </c>
      <c r="L3241" s="1">
        <v>5370.5780459699999</v>
      </c>
      <c r="M3241" s="1" t="s">
        <v>198</v>
      </c>
      <c r="N3241" s="1" t="b">
        <v>1</v>
      </c>
    </row>
    <row r="3242" spans="1:14" ht="19" customHeight="1" x14ac:dyDescent="0.3">
      <c r="A3242">
        <v>3237</v>
      </c>
      <c r="B3242" s="1">
        <v>12</v>
      </c>
      <c r="C3242" s="1">
        <v>90</v>
      </c>
      <c r="D3242" s="1">
        <v>5.5E-2</v>
      </c>
      <c r="E3242" s="1">
        <v>8.5000000000000006E-2</v>
      </c>
      <c r="F3242" s="1">
        <v>0</v>
      </c>
      <c r="G3242" s="1">
        <v>0</v>
      </c>
      <c r="H3242" s="1">
        <v>1.2260415283099999</v>
      </c>
      <c r="I3242" s="1">
        <v>1.7861023142100001</v>
      </c>
      <c r="J3242" s="1">
        <v>0.87258538465299995</v>
      </c>
      <c r="K3242" s="1">
        <v>22415.997958</v>
      </c>
      <c r="L3242" s="1">
        <v>6493.67135942</v>
      </c>
      <c r="M3242" s="1" t="s">
        <v>198</v>
      </c>
      <c r="N3242" s="1" t="b">
        <v>1</v>
      </c>
    </row>
    <row r="3243" spans="1:14" ht="19" customHeight="1" x14ac:dyDescent="0.3">
      <c r="A3243">
        <v>3238</v>
      </c>
      <c r="B3243" s="1">
        <v>12</v>
      </c>
      <c r="C3243" s="1">
        <v>90</v>
      </c>
      <c r="D3243" s="1">
        <v>5.5E-2</v>
      </c>
      <c r="E3243" s="1">
        <v>8.5000000000000006E-2</v>
      </c>
      <c r="F3243" s="1">
        <v>0</v>
      </c>
      <c r="G3243" s="1">
        <v>1</v>
      </c>
      <c r="H3243" s="1">
        <v>1.2260415283099999</v>
      </c>
      <c r="I3243" s="1">
        <v>1.3395767356599999</v>
      </c>
      <c r="J3243" s="1">
        <v>0.71552001541599997</v>
      </c>
      <c r="K3243" s="1">
        <v>19093.010418099999</v>
      </c>
      <c r="L3243" s="1">
        <v>5324.8105147200004</v>
      </c>
      <c r="M3243" s="1" t="s">
        <v>198</v>
      </c>
      <c r="N3243" s="1" t="b">
        <v>1</v>
      </c>
    </row>
    <row r="3244" spans="1:14" ht="19" customHeight="1" x14ac:dyDescent="0.3">
      <c r="A3244">
        <v>3239</v>
      </c>
      <c r="B3244" s="1">
        <v>12</v>
      </c>
      <c r="C3244" s="1">
        <v>90</v>
      </c>
      <c r="D3244" s="1">
        <v>5.5E-2</v>
      </c>
      <c r="E3244" s="1">
        <v>8.5000000000000006E-2</v>
      </c>
      <c r="F3244" s="1">
        <v>5</v>
      </c>
      <c r="G3244" s="1">
        <v>0</v>
      </c>
      <c r="H3244" s="1">
        <v>1.1987636211499999</v>
      </c>
      <c r="I3244" s="1">
        <v>1.74636374747</v>
      </c>
      <c r="J3244" s="1">
        <v>0.88008538465300001</v>
      </c>
      <c r="K3244" s="1">
        <v>21917.269736400001</v>
      </c>
      <c r="L3244" s="1">
        <v>6549.4854219199997</v>
      </c>
      <c r="M3244" s="1" t="s">
        <v>198</v>
      </c>
      <c r="N3244" s="1" t="b">
        <v>1</v>
      </c>
    </row>
    <row r="3245" spans="1:14" ht="19" customHeight="1" x14ac:dyDescent="0.3">
      <c r="A3245">
        <v>3240</v>
      </c>
      <c r="B3245" s="1">
        <v>12</v>
      </c>
      <c r="C3245" s="1">
        <v>90</v>
      </c>
      <c r="D3245" s="1">
        <v>5.5E-2</v>
      </c>
      <c r="E3245" s="1">
        <v>8.5000000000000006E-2</v>
      </c>
      <c r="F3245" s="1">
        <v>5</v>
      </c>
      <c r="G3245" s="1">
        <v>1</v>
      </c>
      <c r="H3245" s="1">
        <v>1.1987636211499999</v>
      </c>
      <c r="I3245" s="1">
        <v>1.3097728105999999</v>
      </c>
      <c r="J3245" s="1">
        <v>0.72167001541599995</v>
      </c>
      <c r="K3245" s="1">
        <v>18668.2145581</v>
      </c>
      <c r="L3245" s="1">
        <v>5370.5780459699999</v>
      </c>
      <c r="M3245" s="1" t="s">
        <v>198</v>
      </c>
      <c r="N3245" s="1" t="b">
        <v>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D5DDE5"/>
    <pageSetUpPr fitToPage="1"/>
  </sheetPr>
  <dimension ref="A2:AE2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7" ht="19" customHeight="1" x14ac:dyDescent="0.35">
      <c r="A2" s="3" t="s">
        <v>25</v>
      </c>
    </row>
    <row r="3" spans="1:7" ht="19" customHeight="1" x14ac:dyDescent="0.3">
      <c r="A3" s="4" t="s">
        <v>1</v>
      </c>
    </row>
    <row r="5" spans="1:7" ht="34.049999999999997" customHeight="1" x14ac:dyDescent="0.3">
      <c r="A5" s="5" t="s">
        <v>44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</row>
    <row r="6" spans="1:7" ht="19" customHeight="1" x14ac:dyDescent="0.3">
      <c r="A6">
        <v>1</v>
      </c>
      <c r="B6" s="1" t="s">
        <v>51</v>
      </c>
      <c r="C6" s="1">
        <v>17.5</v>
      </c>
      <c r="D6" s="1">
        <v>20</v>
      </c>
      <c r="E6" s="1">
        <v>0.04</v>
      </c>
      <c r="F6" s="1">
        <v>0.06</v>
      </c>
      <c r="G6" s="1" t="s">
        <v>52</v>
      </c>
    </row>
    <row r="7" spans="1:7" ht="19" customHeight="1" x14ac:dyDescent="0.3">
      <c r="A7">
        <v>2</v>
      </c>
      <c r="B7" s="1" t="s">
        <v>53</v>
      </c>
      <c r="C7" s="1">
        <v>20.787472582700001</v>
      </c>
      <c r="D7" s="1">
        <v>19.022055036000001</v>
      </c>
      <c r="E7" s="1">
        <v>4.8606350077899999E-2</v>
      </c>
      <c r="F7" s="1">
        <v>6.9605249046100007E-2</v>
      </c>
      <c r="G7" s="1" t="s">
        <v>52</v>
      </c>
    </row>
    <row r="8" spans="1:7" ht="19" customHeight="1" x14ac:dyDescent="0.3">
      <c r="A8">
        <v>3</v>
      </c>
      <c r="B8" s="1" t="s">
        <v>54</v>
      </c>
      <c r="C8" s="1">
        <v>12.630128174699999</v>
      </c>
      <c r="D8" s="1">
        <v>27.6099576262</v>
      </c>
      <c r="E8" s="1">
        <v>4.6267352847800002E-2</v>
      </c>
      <c r="F8" s="1">
        <v>7.2798314990000002E-2</v>
      </c>
      <c r="G8" s="1" t="s">
        <v>52</v>
      </c>
    </row>
    <row r="9" spans="1:7" ht="19" customHeight="1" x14ac:dyDescent="0.3">
      <c r="A9">
        <v>4</v>
      </c>
      <c r="B9" s="1" t="s">
        <v>55</v>
      </c>
      <c r="C9" s="1">
        <v>13.0373635921</v>
      </c>
      <c r="D9" s="1">
        <v>19.206175006300001</v>
      </c>
      <c r="E9" s="1">
        <v>3.6899152581600002E-2</v>
      </c>
      <c r="F9" s="1">
        <v>7.7863539598499995E-2</v>
      </c>
      <c r="G9" s="1" t="s">
        <v>52</v>
      </c>
    </row>
    <row r="10" spans="1:7" ht="19" customHeight="1" x14ac:dyDescent="0.3">
      <c r="A10">
        <v>5</v>
      </c>
      <c r="B10" s="1" t="s">
        <v>56</v>
      </c>
      <c r="C10" s="1">
        <v>19.226381441000001</v>
      </c>
      <c r="D10" s="1">
        <v>25.164185812300001</v>
      </c>
      <c r="E10" s="1">
        <v>3.8641940771900002E-2</v>
      </c>
      <c r="F10" s="1">
        <v>5.26805939843E-2</v>
      </c>
      <c r="G10" s="1" t="s">
        <v>52</v>
      </c>
    </row>
    <row r="11" spans="1:7" ht="19" customHeight="1" x14ac:dyDescent="0.3">
      <c r="A11">
        <v>6</v>
      </c>
      <c r="B11" s="1" t="s">
        <v>57</v>
      </c>
      <c r="C11" s="1">
        <v>18.155017444199999</v>
      </c>
      <c r="D11" s="1">
        <v>13.0210760977</v>
      </c>
      <c r="E11" s="1">
        <v>4.7863148127800001E-2</v>
      </c>
      <c r="F11" s="1">
        <v>6.7239918368400001E-2</v>
      </c>
      <c r="G11" s="1" t="s">
        <v>52</v>
      </c>
    </row>
    <row r="12" spans="1:7" ht="19" customHeight="1" x14ac:dyDescent="0.3">
      <c r="A12">
        <v>7</v>
      </c>
      <c r="B12" s="1" t="s">
        <v>58</v>
      </c>
      <c r="C12" s="1">
        <v>20.597052881</v>
      </c>
      <c r="D12" s="1">
        <v>17.672415490100001</v>
      </c>
      <c r="E12" s="1">
        <v>5.1296752585499997E-2</v>
      </c>
      <c r="F12" s="1">
        <v>7.6652360367599995E-2</v>
      </c>
      <c r="G12" s="1" t="s">
        <v>52</v>
      </c>
    </row>
    <row r="13" spans="1:7" ht="19" customHeight="1" x14ac:dyDescent="0.3">
      <c r="A13">
        <v>8</v>
      </c>
      <c r="B13" s="1" t="s">
        <v>59</v>
      </c>
      <c r="C13" s="1">
        <v>20.840601964899999</v>
      </c>
      <c r="D13" s="1">
        <v>15.114219325600001</v>
      </c>
      <c r="E13" s="1">
        <v>3.9201304089400001E-2</v>
      </c>
      <c r="F13" s="1">
        <v>4.6076935568299997E-2</v>
      </c>
      <c r="G13" s="1" t="s">
        <v>52</v>
      </c>
    </row>
    <row r="14" spans="1:7" ht="19" customHeight="1" x14ac:dyDescent="0.3">
      <c r="A14">
        <v>9</v>
      </c>
      <c r="B14" s="1" t="s">
        <v>60</v>
      </c>
      <c r="C14" s="1">
        <v>13.351473904800001</v>
      </c>
      <c r="D14" s="1">
        <v>22.928783251900001</v>
      </c>
      <c r="E14" s="1">
        <v>4.5874291741800001E-2</v>
      </c>
      <c r="F14" s="1">
        <v>7.93303503676E-2</v>
      </c>
      <c r="G14" s="1" t="s">
        <v>52</v>
      </c>
    </row>
    <row r="15" spans="1:7" ht="19" customHeight="1" x14ac:dyDescent="0.3">
      <c r="A15">
        <v>10</v>
      </c>
      <c r="B15" s="1" t="s">
        <v>61</v>
      </c>
      <c r="C15" s="1">
        <v>15.409904297700001</v>
      </c>
      <c r="D15" s="1">
        <v>17.927355296599998</v>
      </c>
      <c r="E15" s="1">
        <v>3.9269339470599997E-2</v>
      </c>
      <c r="F15" s="1">
        <v>5.1320968926999999E-2</v>
      </c>
      <c r="G15" s="1" t="s">
        <v>52</v>
      </c>
    </row>
    <row r="16" spans="1:7" ht="19" customHeight="1" x14ac:dyDescent="0.3">
      <c r="A16">
        <v>11</v>
      </c>
      <c r="B16" s="1" t="s">
        <v>62</v>
      </c>
      <c r="C16" s="1">
        <v>13.059058064</v>
      </c>
      <c r="D16" s="1">
        <v>19.611278819599999</v>
      </c>
      <c r="E16" s="1">
        <v>3.3445824377199999E-2</v>
      </c>
      <c r="F16" s="1">
        <v>6.8613303808600007E-2</v>
      </c>
      <c r="G16" s="1" t="s">
        <v>52</v>
      </c>
    </row>
    <row r="17" spans="1:7" ht="19" customHeight="1" x14ac:dyDescent="0.3">
      <c r="A17">
        <v>12</v>
      </c>
      <c r="B17" s="1" t="s">
        <v>63</v>
      </c>
      <c r="C17" s="1">
        <v>16.745823026499998</v>
      </c>
      <c r="D17" s="1">
        <v>25.322851136899999</v>
      </c>
      <c r="E17" s="1">
        <v>4.4806362448099997E-2</v>
      </c>
      <c r="F17" s="1">
        <v>5.5745199089800003E-2</v>
      </c>
      <c r="G17" s="1" t="s">
        <v>52</v>
      </c>
    </row>
    <row r="18" spans="1:7" ht="19" customHeight="1" x14ac:dyDescent="0.3">
      <c r="A18">
        <v>13</v>
      </c>
      <c r="B18" s="1" t="s">
        <v>64</v>
      </c>
      <c r="C18" s="1">
        <v>16.532279633400002</v>
      </c>
      <c r="D18" s="1">
        <v>15.1805919496</v>
      </c>
      <c r="E18" s="1">
        <v>3.5168956124399998E-2</v>
      </c>
      <c r="F18" s="1">
        <v>6.0726211297000003E-2</v>
      </c>
      <c r="G18" s="1" t="s">
        <v>52</v>
      </c>
    </row>
    <row r="19" spans="1:7" ht="19" customHeight="1" x14ac:dyDescent="0.3">
      <c r="A19">
        <v>14</v>
      </c>
      <c r="B19" s="1" t="s">
        <v>65</v>
      </c>
      <c r="C19" s="1">
        <v>15.6243405106</v>
      </c>
      <c r="D19" s="1">
        <v>14.458158019200001</v>
      </c>
      <c r="E19" s="1">
        <v>2.9872161578299999E-2</v>
      </c>
      <c r="F19" s="1">
        <v>5.8321284357999999E-2</v>
      </c>
      <c r="G19" s="1" t="s">
        <v>52</v>
      </c>
    </row>
    <row r="20" spans="1:7" ht="19" customHeight="1" x14ac:dyDescent="0.3">
      <c r="A20">
        <v>15</v>
      </c>
      <c r="B20" s="1" t="s">
        <v>66</v>
      </c>
      <c r="C20" s="1">
        <v>12.477897074099999</v>
      </c>
      <c r="D20" s="1">
        <v>10.0383875745</v>
      </c>
      <c r="E20" s="1">
        <v>3.8372824730399997E-2</v>
      </c>
      <c r="F20" s="1">
        <v>5.5092892684300003E-2</v>
      </c>
      <c r="G20" s="1" t="s">
        <v>52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D5DDE5"/>
    <pageSetUpPr fitToPage="1"/>
  </sheetPr>
  <dimension ref="A2:AE3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5" ht="19" customHeight="1" x14ac:dyDescent="0.35">
      <c r="A2" s="3" t="s">
        <v>26</v>
      </c>
    </row>
    <row r="3" spans="1:5" ht="19" customHeight="1" x14ac:dyDescent="0.3">
      <c r="A3" s="4" t="s">
        <v>1</v>
      </c>
    </row>
    <row r="4" spans="1:5" ht="19" customHeight="1" x14ac:dyDescent="0.3">
      <c r="A4" s="4" t="s">
        <v>242</v>
      </c>
    </row>
    <row r="5" spans="1:5" ht="34.049999999999997" customHeight="1" x14ac:dyDescent="0.3">
      <c r="A5" s="5" t="s">
        <v>243</v>
      </c>
      <c r="B5" s="5" t="s">
        <v>244</v>
      </c>
      <c r="C5" s="5" t="s">
        <v>245</v>
      </c>
      <c r="D5" s="5" t="s">
        <v>246</v>
      </c>
      <c r="E5" s="5" t="s">
        <v>247</v>
      </c>
    </row>
    <row r="6" spans="1:5" ht="19" customHeight="1" x14ac:dyDescent="0.3">
      <c r="A6" t="s">
        <v>248</v>
      </c>
      <c r="B6" s="1">
        <v>1</v>
      </c>
      <c r="C6" s="1">
        <v>0</v>
      </c>
      <c r="D6" s="1">
        <v>0</v>
      </c>
      <c r="E6" s="1">
        <v>100</v>
      </c>
    </row>
    <row r="7" spans="1:5" ht="19" customHeight="1" x14ac:dyDescent="0.3">
      <c r="A7" t="s">
        <v>249</v>
      </c>
      <c r="B7" s="1">
        <v>3</v>
      </c>
      <c r="C7" s="1">
        <v>0</v>
      </c>
      <c r="D7" s="1">
        <v>0</v>
      </c>
      <c r="E7" s="1">
        <v>100</v>
      </c>
    </row>
    <row r="8" spans="1:5" ht="19" customHeight="1" x14ac:dyDescent="0.3">
      <c r="A8" t="s">
        <v>250</v>
      </c>
      <c r="B8" s="1">
        <v>15</v>
      </c>
      <c r="C8" s="1">
        <v>0</v>
      </c>
      <c r="D8" s="1">
        <v>0</v>
      </c>
      <c r="E8" s="1">
        <v>100</v>
      </c>
    </row>
    <row r="9" spans="1:5" ht="19" customHeight="1" x14ac:dyDescent="0.3">
      <c r="A9" t="s">
        <v>251</v>
      </c>
      <c r="B9" s="1">
        <v>3</v>
      </c>
      <c r="C9" s="1">
        <v>0</v>
      </c>
      <c r="D9" s="1">
        <v>0</v>
      </c>
      <c r="E9" s="1">
        <v>100</v>
      </c>
    </row>
    <row r="10" spans="1:5" ht="19" customHeight="1" x14ac:dyDescent="0.3">
      <c r="A10" t="s">
        <v>252</v>
      </c>
      <c r="B10" s="1">
        <v>3</v>
      </c>
      <c r="C10" s="1">
        <v>0</v>
      </c>
      <c r="D10" s="1">
        <v>0</v>
      </c>
      <c r="E10" s="1">
        <v>100</v>
      </c>
    </row>
    <row r="11" spans="1:5" ht="19" customHeight="1" x14ac:dyDescent="0.3">
      <c r="A11" t="s">
        <v>253</v>
      </c>
      <c r="B11" s="1">
        <v>1</v>
      </c>
      <c r="C11" s="1">
        <v>0</v>
      </c>
      <c r="D11" s="1">
        <v>0</v>
      </c>
      <c r="E11" s="1">
        <v>100</v>
      </c>
    </row>
    <row r="12" spans="1:5" ht="19" customHeight="1" x14ac:dyDescent="0.3">
      <c r="A12" t="s">
        <v>254</v>
      </c>
      <c r="B12" s="1">
        <v>1</v>
      </c>
      <c r="C12" s="1">
        <v>0</v>
      </c>
      <c r="D12" s="1">
        <v>0</v>
      </c>
      <c r="E12" s="1">
        <v>100</v>
      </c>
    </row>
    <row r="13" spans="1:5" ht="19" customHeight="1" x14ac:dyDescent="0.3">
      <c r="A13" t="s">
        <v>255</v>
      </c>
      <c r="B13" s="1">
        <v>3</v>
      </c>
      <c r="C13" s="1">
        <v>0</v>
      </c>
      <c r="D13" s="1">
        <v>0</v>
      </c>
      <c r="E13" s="1">
        <v>100</v>
      </c>
    </row>
    <row r="14" spans="1:5" ht="19" customHeight="1" x14ac:dyDescent="0.3">
      <c r="A14" t="s">
        <v>256</v>
      </c>
      <c r="B14" s="1">
        <v>9</v>
      </c>
      <c r="C14" s="1">
        <v>0</v>
      </c>
      <c r="D14" s="1">
        <v>0</v>
      </c>
      <c r="E14" s="1">
        <v>100</v>
      </c>
    </row>
    <row r="15" spans="1:5" ht="19" customHeight="1" x14ac:dyDescent="0.3">
      <c r="A15" t="s">
        <v>257</v>
      </c>
      <c r="B15" s="1">
        <v>9</v>
      </c>
      <c r="C15" s="1">
        <v>0</v>
      </c>
      <c r="D15" s="1">
        <v>0</v>
      </c>
      <c r="E15" s="1">
        <v>100</v>
      </c>
    </row>
    <row r="16" spans="1:5" ht="19" customHeight="1" x14ac:dyDescent="0.3">
      <c r="A16" t="s">
        <v>258</v>
      </c>
      <c r="B16" s="1">
        <v>3240</v>
      </c>
      <c r="C16" s="1">
        <v>0</v>
      </c>
      <c r="D16" s="1">
        <v>0</v>
      </c>
      <c r="E16" s="1">
        <v>100</v>
      </c>
    </row>
    <row r="17" spans="1:5" ht="19" customHeight="1" x14ac:dyDescent="0.3">
      <c r="A17" t="s">
        <v>259</v>
      </c>
      <c r="B17" s="1">
        <v>133</v>
      </c>
      <c r="C17" s="1">
        <v>0</v>
      </c>
      <c r="D17" s="1">
        <v>0</v>
      </c>
      <c r="E17" s="1">
        <v>100</v>
      </c>
    </row>
    <row r="18" spans="1:5" ht="19" customHeight="1" x14ac:dyDescent="0.3">
      <c r="A18" t="s">
        <v>260</v>
      </c>
      <c r="B18" s="1">
        <v>133</v>
      </c>
      <c r="C18" s="1">
        <v>0</v>
      </c>
      <c r="D18" s="1">
        <v>0</v>
      </c>
      <c r="E18" s="1">
        <v>100</v>
      </c>
    </row>
    <row r="19" spans="1:5" ht="19" customHeight="1" x14ac:dyDescent="0.3">
      <c r="A19" t="s">
        <v>261</v>
      </c>
      <c r="B19" s="1">
        <v>399</v>
      </c>
      <c r="C19" s="1">
        <v>0</v>
      </c>
      <c r="D19" s="1">
        <v>0</v>
      </c>
      <c r="E19" s="1">
        <v>100</v>
      </c>
    </row>
    <row r="20" spans="1:5" ht="19" customHeight="1" x14ac:dyDescent="0.3">
      <c r="A20" t="s">
        <v>262</v>
      </c>
      <c r="B20" s="1">
        <v>260</v>
      </c>
      <c r="C20" s="1">
        <v>0</v>
      </c>
      <c r="D20" s="1">
        <v>0</v>
      </c>
      <c r="E20" s="1">
        <v>100</v>
      </c>
    </row>
    <row r="21" spans="1:5" ht="19" customHeight="1" x14ac:dyDescent="0.3">
      <c r="A21" t="s">
        <v>263</v>
      </c>
      <c r="B21" s="1">
        <v>6569</v>
      </c>
      <c r="C21" s="1">
        <v>0</v>
      </c>
      <c r="D21" s="1">
        <v>0</v>
      </c>
      <c r="E21" s="1">
        <v>100</v>
      </c>
    </row>
    <row r="22" spans="1:5" ht="19" customHeight="1" x14ac:dyDescent="0.3">
      <c r="A22" t="s">
        <v>264</v>
      </c>
      <c r="B22" s="1">
        <v>0</v>
      </c>
      <c r="C22" s="1">
        <v>0</v>
      </c>
      <c r="D22" s="1">
        <v>0</v>
      </c>
    </row>
    <row r="23" spans="1:5" ht="19" customHeight="1" x14ac:dyDescent="0.3">
      <c r="A23" t="s">
        <v>265</v>
      </c>
      <c r="B23" s="1">
        <v>11</v>
      </c>
      <c r="C23" s="1">
        <v>0</v>
      </c>
      <c r="D23" s="1">
        <v>0</v>
      </c>
      <c r="E23" s="1">
        <v>100</v>
      </c>
    </row>
    <row r="24" spans="1:5" ht="19" customHeight="1" x14ac:dyDescent="0.3">
      <c r="A24" t="s">
        <v>266</v>
      </c>
      <c r="B24" s="1">
        <v>746</v>
      </c>
      <c r="C24" s="1">
        <v>0</v>
      </c>
      <c r="D24" s="1">
        <v>0</v>
      </c>
      <c r="E24" s="1">
        <v>100</v>
      </c>
    </row>
    <row r="25" spans="1:5" ht="19" customHeight="1" x14ac:dyDescent="0.3">
      <c r="A25" t="s">
        <v>267</v>
      </c>
      <c r="B25" s="1">
        <v>1064</v>
      </c>
      <c r="C25" s="1">
        <v>0</v>
      </c>
      <c r="D25" s="1">
        <v>0</v>
      </c>
      <c r="E25" s="1">
        <v>100</v>
      </c>
    </row>
    <row r="26" spans="1:5" ht="19" customHeight="1" x14ac:dyDescent="0.3">
      <c r="A26" t="s">
        <v>268</v>
      </c>
      <c r="B26" s="1">
        <v>0</v>
      </c>
      <c r="C26" s="1">
        <v>0</v>
      </c>
      <c r="D26" s="1">
        <v>0</v>
      </c>
    </row>
    <row r="27" spans="1:5" ht="19" customHeight="1" x14ac:dyDescent="0.3">
      <c r="A27" t="s">
        <v>269</v>
      </c>
      <c r="B27" s="1">
        <v>0</v>
      </c>
      <c r="C27" s="1">
        <v>0</v>
      </c>
      <c r="D27" s="1">
        <v>0</v>
      </c>
    </row>
    <row r="28" spans="1:5" ht="19" customHeight="1" x14ac:dyDescent="0.3">
      <c r="A28" t="s">
        <v>270</v>
      </c>
      <c r="B28" s="1">
        <v>0</v>
      </c>
      <c r="C28" s="1">
        <v>0</v>
      </c>
      <c r="D28" s="1">
        <v>0</v>
      </c>
    </row>
    <row r="29" spans="1:5" ht="19" customHeight="1" x14ac:dyDescent="0.3">
      <c r="A29" t="s">
        <v>271</v>
      </c>
      <c r="B29" s="1">
        <v>18</v>
      </c>
      <c r="C29" s="1">
        <v>0</v>
      </c>
      <c r="D29" s="1">
        <v>0</v>
      </c>
      <c r="E29" s="1">
        <v>100</v>
      </c>
    </row>
    <row r="30" spans="1:5" ht="19" customHeight="1" x14ac:dyDescent="0.3">
      <c r="A30" t="s">
        <v>272</v>
      </c>
      <c r="B30" s="1">
        <v>32424</v>
      </c>
      <c r="C30" s="1">
        <v>0</v>
      </c>
      <c r="D30" s="1">
        <v>0</v>
      </c>
      <c r="E30" s="1">
        <v>100</v>
      </c>
    </row>
    <row r="31" spans="1:5" ht="19" customHeight="1" x14ac:dyDescent="0.3">
      <c r="A31" t="s">
        <v>273</v>
      </c>
      <c r="B31" s="1">
        <v>798</v>
      </c>
      <c r="C31" s="1">
        <v>0</v>
      </c>
      <c r="D31" s="1">
        <v>0</v>
      </c>
      <c r="E31" s="1">
        <v>100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D5DDE5"/>
    <pageSetUpPr fitToPage="1"/>
  </sheetPr>
  <dimension ref="A2:AE1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4" ht="19" customHeight="1" x14ac:dyDescent="0.35">
      <c r="A2" s="3" t="s">
        <v>27</v>
      </c>
    </row>
    <row r="3" spans="1:4" ht="19" customHeight="1" x14ac:dyDescent="0.3">
      <c r="A3" s="4" t="s">
        <v>1</v>
      </c>
    </row>
    <row r="4" spans="1:4" ht="19" customHeight="1" x14ac:dyDescent="0.3">
      <c r="A4" s="4" t="s">
        <v>278</v>
      </c>
    </row>
    <row r="5" spans="1:4" ht="34.049999999999997" customHeight="1" x14ac:dyDescent="0.3">
      <c r="A5" s="5" t="s">
        <v>125</v>
      </c>
      <c r="B5" s="5" t="s">
        <v>279</v>
      </c>
      <c r="C5" s="5" t="s">
        <v>280</v>
      </c>
      <c r="D5" s="5" t="s">
        <v>281</v>
      </c>
    </row>
    <row r="6" spans="1:4" ht="19" customHeight="1" x14ac:dyDescent="0.3">
      <c r="A6" t="s">
        <v>282</v>
      </c>
      <c r="B6" s="1">
        <v>1531.25</v>
      </c>
      <c r="C6" s="1">
        <f>'Aero Calculations'!B16</f>
        <v>1531.25</v>
      </c>
      <c r="D6" s="1">
        <f>C6-B6</f>
        <v>0</v>
      </c>
    </row>
    <row r="7" spans="1:4" ht="19" customHeight="1" x14ac:dyDescent="0.3">
      <c r="A7" t="s">
        <v>283</v>
      </c>
      <c r="B7" s="1">
        <v>6890.625</v>
      </c>
      <c r="C7" s="1">
        <f>'Aero Calculations'!C16</f>
        <v>6890.625</v>
      </c>
      <c r="D7" s="1">
        <f>C7-B7</f>
        <v>0</v>
      </c>
    </row>
    <row r="8" spans="1:4" ht="19" customHeight="1" x14ac:dyDescent="0.3">
      <c r="A8" t="s">
        <v>284</v>
      </c>
      <c r="B8" s="1">
        <v>2067.1875</v>
      </c>
      <c r="C8" s="1">
        <f>'Aero Calculations'!D16</f>
        <v>2067.1875</v>
      </c>
      <c r="D8" s="1">
        <f>C8-B8</f>
        <v>0</v>
      </c>
    </row>
    <row r="9" spans="1:4" ht="19" customHeight="1" x14ac:dyDescent="0.3">
      <c r="A9" t="s">
        <v>285</v>
      </c>
      <c r="B9" s="1">
        <v>103359.375</v>
      </c>
      <c r="C9" s="1">
        <f>'Aero Calculations'!J16</f>
        <v>103359.375</v>
      </c>
      <c r="D9" s="1">
        <f>C9-B9</f>
        <v>0</v>
      </c>
    </row>
    <row r="10" spans="1:4" ht="19" customHeight="1" x14ac:dyDescent="0.3">
      <c r="A10" t="s">
        <v>286</v>
      </c>
      <c r="B10" s="1">
        <v>38.348408837749759</v>
      </c>
      <c r="C10" s="1">
        <f>SUM('Sector Comparison'!C6:C8)</f>
        <v>38.348408837749773</v>
      </c>
      <c r="D10" s="1">
        <f>C10-B10</f>
        <v>0</v>
      </c>
    </row>
  </sheetData>
  <sheetProtection sheet="1" objects="1" scenarios="1" sort="0" autoFilter="0"/>
  <conditionalFormatting sqref="D6:D10">
    <cfRule type="cellIs" dxfId="0" priority="1" operator="notBetween">
      <formula>-0.000001</formula>
      <formula>0.000001</formula>
    </cfRule>
  </conditionalFormatting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D5DDE5"/>
    <pageSetUpPr fitToPage="1"/>
  </sheetPr>
  <dimension ref="A2:AE3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4" ht="19" customHeight="1" x14ac:dyDescent="0.35">
      <c r="A2" s="3" t="s">
        <v>28</v>
      </c>
    </row>
    <row r="3" spans="1:4" ht="19" customHeight="1" x14ac:dyDescent="0.3">
      <c r="A3" s="4" t="s">
        <v>1</v>
      </c>
    </row>
    <row r="5" spans="1:4" ht="34.049999999999997" customHeight="1" x14ac:dyDescent="0.3">
      <c r="A5" s="5" t="s">
        <v>243</v>
      </c>
      <c r="B5" s="5" t="s">
        <v>274</v>
      </c>
      <c r="C5" s="5" t="s">
        <v>275</v>
      </c>
      <c r="D5" s="5" t="s">
        <v>276</v>
      </c>
    </row>
    <row r="6" spans="1:4" ht="19" customHeight="1" x14ac:dyDescent="0.3">
      <c r="A6" t="s">
        <v>248</v>
      </c>
      <c r="B6" s="1">
        <v>1</v>
      </c>
      <c r="C6" s="1">
        <v>1</v>
      </c>
      <c r="D6" s="1" t="b">
        <v>1</v>
      </c>
    </row>
    <row r="7" spans="1:4" ht="19" customHeight="1" x14ac:dyDescent="0.3">
      <c r="A7" t="s">
        <v>249</v>
      </c>
      <c r="B7" s="1">
        <v>3</v>
      </c>
      <c r="C7" s="1">
        <v>3</v>
      </c>
      <c r="D7" s="1" t="b">
        <v>1</v>
      </c>
    </row>
    <row r="8" spans="1:4" ht="19" customHeight="1" x14ac:dyDescent="0.3">
      <c r="A8" t="s">
        <v>254</v>
      </c>
      <c r="B8" s="1">
        <v>1</v>
      </c>
      <c r="C8" s="1">
        <v>1</v>
      </c>
      <c r="D8" s="1" t="b">
        <v>1</v>
      </c>
    </row>
    <row r="9" spans="1:4" ht="19" customHeight="1" x14ac:dyDescent="0.3">
      <c r="A9" t="s">
        <v>253</v>
      </c>
      <c r="B9" s="1">
        <v>1</v>
      </c>
      <c r="C9" s="1">
        <v>1</v>
      </c>
      <c r="D9" s="1" t="b">
        <v>1</v>
      </c>
    </row>
    <row r="10" spans="1:4" ht="19" customHeight="1" x14ac:dyDescent="0.3">
      <c r="A10" t="s">
        <v>256</v>
      </c>
      <c r="B10" s="1">
        <v>9</v>
      </c>
      <c r="C10" s="1">
        <v>9</v>
      </c>
      <c r="D10" s="1" t="b">
        <v>1</v>
      </c>
    </row>
    <row r="11" spans="1:4" ht="19" customHeight="1" x14ac:dyDescent="0.3">
      <c r="A11" t="s">
        <v>255</v>
      </c>
      <c r="B11" s="1">
        <v>3</v>
      </c>
      <c r="C11" s="1">
        <v>3</v>
      </c>
      <c r="D11" s="1" t="b">
        <v>1</v>
      </c>
    </row>
    <row r="12" spans="1:4" ht="19" customHeight="1" x14ac:dyDescent="0.3">
      <c r="A12" t="s">
        <v>250</v>
      </c>
      <c r="B12" s="1">
        <v>15</v>
      </c>
      <c r="C12" s="1">
        <v>15</v>
      </c>
      <c r="D12" s="1" t="b">
        <v>1</v>
      </c>
    </row>
    <row r="13" spans="1:4" ht="19" customHeight="1" x14ac:dyDescent="0.3">
      <c r="A13" t="s">
        <v>271</v>
      </c>
      <c r="B13" s="1">
        <v>18</v>
      </c>
      <c r="C13" s="1">
        <v>18</v>
      </c>
      <c r="D13" s="1" t="b">
        <v>1</v>
      </c>
    </row>
    <row r="14" spans="1:4" ht="19" customHeight="1" x14ac:dyDescent="0.3">
      <c r="A14" t="s">
        <v>252</v>
      </c>
      <c r="B14" s="1">
        <v>3</v>
      </c>
      <c r="C14" s="1">
        <v>3</v>
      </c>
      <c r="D14" s="1" t="b">
        <v>1</v>
      </c>
    </row>
    <row r="15" spans="1:4" ht="19" customHeight="1" x14ac:dyDescent="0.3">
      <c r="A15" t="s">
        <v>251</v>
      </c>
      <c r="B15" s="1">
        <v>3</v>
      </c>
      <c r="C15" s="1">
        <v>3</v>
      </c>
      <c r="D15" s="1" t="b">
        <v>1</v>
      </c>
    </row>
    <row r="16" spans="1:4" ht="19" customHeight="1" x14ac:dyDescent="0.3">
      <c r="A16" t="s">
        <v>258</v>
      </c>
      <c r="B16" s="1">
        <v>3240</v>
      </c>
      <c r="C16" s="1">
        <v>3240</v>
      </c>
      <c r="D16" s="1" t="b">
        <v>1</v>
      </c>
    </row>
    <row r="17" spans="1:4" ht="19" customHeight="1" x14ac:dyDescent="0.3">
      <c r="A17" t="s">
        <v>265</v>
      </c>
      <c r="B17" s="1">
        <v>11</v>
      </c>
      <c r="C17" s="1">
        <v>11</v>
      </c>
      <c r="D17" s="1" t="b">
        <v>1</v>
      </c>
    </row>
    <row r="18" spans="1:4" ht="19" customHeight="1" x14ac:dyDescent="0.3">
      <c r="A18" t="s">
        <v>259</v>
      </c>
      <c r="B18" s="1">
        <v>133</v>
      </c>
      <c r="C18" s="1">
        <v>133</v>
      </c>
      <c r="D18" s="1" t="b">
        <v>1</v>
      </c>
    </row>
    <row r="19" spans="1:4" ht="19" customHeight="1" x14ac:dyDescent="0.3">
      <c r="A19" t="s">
        <v>257</v>
      </c>
      <c r="B19" s="1">
        <v>9</v>
      </c>
      <c r="C19" s="1">
        <v>9</v>
      </c>
      <c r="D19" s="1" t="b">
        <v>1</v>
      </c>
    </row>
    <row r="20" spans="1:4" ht="19" customHeight="1" x14ac:dyDescent="0.3">
      <c r="A20" t="s">
        <v>262</v>
      </c>
      <c r="B20" s="1">
        <v>260</v>
      </c>
      <c r="C20" s="1">
        <v>260</v>
      </c>
      <c r="D20" s="1" t="b">
        <v>1</v>
      </c>
    </row>
    <row r="21" spans="1:4" ht="19" customHeight="1" x14ac:dyDescent="0.3">
      <c r="A21" t="s">
        <v>268</v>
      </c>
      <c r="B21" s="1">
        <v>0</v>
      </c>
      <c r="C21" s="1">
        <v>0</v>
      </c>
      <c r="D21" s="1" t="b">
        <v>1</v>
      </c>
    </row>
    <row r="22" spans="1:4" ht="19" customHeight="1" x14ac:dyDescent="0.3">
      <c r="A22" t="s">
        <v>267</v>
      </c>
      <c r="B22" s="1">
        <v>1064</v>
      </c>
      <c r="C22" s="1">
        <v>1064</v>
      </c>
      <c r="D22" s="1" t="b">
        <v>1</v>
      </c>
    </row>
    <row r="23" spans="1:4" ht="19" customHeight="1" x14ac:dyDescent="0.3">
      <c r="A23" t="s">
        <v>266</v>
      </c>
      <c r="B23" s="1">
        <v>746</v>
      </c>
      <c r="C23" s="1">
        <v>746</v>
      </c>
      <c r="D23" s="1" t="b">
        <v>1</v>
      </c>
    </row>
    <row r="24" spans="1:4" ht="19" customHeight="1" x14ac:dyDescent="0.3">
      <c r="A24" t="s">
        <v>269</v>
      </c>
      <c r="B24" s="1">
        <v>0</v>
      </c>
      <c r="C24" s="1">
        <v>0</v>
      </c>
      <c r="D24" s="1" t="b">
        <v>1</v>
      </c>
    </row>
    <row r="25" spans="1:4" ht="19" customHeight="1" x14ac:dyDescent="0.3">
      <c r="A25" t="s">
        <v>260</v>
      </c>
      <c r="B25" s="1">
        <v>133</v>
      </c>
      <c r="C25" s="1">
        <v>133</v>
      </c>
      <c r="D25" s="1" t="b">
        <v>1</v>
      </c>
    </row>
    <row r="26" spans="1:4" ht="19" customHeight="1" x14ac:dyDescent="0.3">
      <c r="A26" t="s">
        <v>261</v>
      </c>
      <c r="B26" s="1">
        <v>399</v>
      </c>
      <c r="C26" s="1">
        <v>399</v>
      </c>
      <c r="D26" s="1" t="b">
        <v>1</v>
      </c>
    </row>
    <row r="27" spans="1:4" ht="19" customHeight="1" x14ac:dyDescent="0.3">
      <c r="A27" t="s">
        <v>273</v>
      </c>
      <c r="B27" s="1">
        <v>798</v>
      </c>
      <c r="C27" s="1">
        <v>798</v>
      </c>
      <c r="D27" s="1" t="b">
        <v>1</v>
      </c>
    </row>
    <row r="28" spans="1:4" ht="19" customHeight="1" x14ac:dyDescent="0.3">
      <c r="A28" t="s">
        <v>264</v>
      </c>
      <c r="B28" s="1">
        <v>0</v>
      </c>
      <c r="C28" s="1">
        <v>0</v>
      </c>
      <c r="D28" s="1" t="b">
        <v>1</v>
      </c>
    </row>
    <row r="29" spans="1:4" ht="19" customHeight="1" x14ac:dyDescent="0.3">
      <c r="A29" t="s">
        <v>270</v>
      </c>
      <c r="B29" s="1">
        <v>0</v>
      </c>
      <c r="C29" s="1">
        <v>0</v>
      </c>
      <c r="D29" s="1" t="b">
        <v>1</v>
      </c>
    </row>
    <row r="30" spans="1:4" ht="19" customHeight="1" x14ac:dyDescent="0.3">
      <c r="A30" t="s">
        <v>263</v>
      </c>
      <c r="B30" s="1">
        <v>6569</v>
      </c>
      <c r="C30" s="1">
        <v>6569</v>
      </c>
      <c r="D30" s="1" t="b">
        <v>1</v>
      </c>
    </row>
    <row r="31" spans="1:4" ht="19" customHeight="1" x14ac:dyDescent="0.3">
      <c r="A31" t="s">
        <v>272</v>
      </c>
      <c r="B31" s="1">
        <v>32424</v>
      </c>
      <c r="C31" s="1">
        <v>32424</v>
      </c>
      <c r="D31" s="1" t="b">
        <v>1</v>
      </c>
    </row>
    <row r="32" spans="1:4" ht="19" customHeight="1" x14ac:dyDescent="0.3">
      <c r="A32" t="s">
        <v>277</v>
      </c>
      <c r="B32" s="1">
        <v>5519.9009585603999</v>
      </c>
      <c r="C32" s="1">
        <v>5519.9009585603962</v>
      </c>
      <c r="D32" s="1" t="b">
        <v>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D5DDE5"/>
    <pageSetUpPr fitToPage="1"/>
  </sheetPr>
  <dimension ref="A2:AE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31" width="19.6640625" style="1" customWidth="1"/>
  </cols>
  <sheetData>
    <row r="2" spans="1:3" ht="19" customHeight="1" x14ac:dyDescent="0.35">
      <c r="A2" s="3" t="s">
        <v>29</v>
      </c>
    </row>
    <row r="3" spans="1:3" ht="19" customHeight="1" x14ac:dyDescent="0.3">
      <c r="A3" s="4" t="s">
        <v>1</v>
      </c>
    </row>
    <row r="5" spans="1:3" ht="34.049999999999997" customHeight="1" x14ac:dyDescent="0.3">
      <c r="A5" s="5" t="s">
        <v>125</v>
      </c>
      <c r="B5" s="5" t="s">
        <v>287</v>
      </c>
      <c r="C5" s="5" t="s">
        <v>288</v>
      </c>
    </row>
    <row r="6" spans="1:3" ht="19" customHeight="1" x14ac:dyDescent="0.3">
      <c r="A6" t="s">
        <v>289</v>
      </c>
      <c r="B6" s="1" t="s">
        <v>127</v>
      </c>
      <c r="C6" s="1" t="s">
        <v>290</v>
      </c>
    </row>
    <row r="7" spans="1:3" ht="19" customHeight="1" x14ac:dyDescent="0.3">
      <c r="A7" t="s">
        <v>291</v>
      </c>
      <c r="B7" s="1" t="s">
        <v>292</v>
      </c>
      <c r="C7" s="1" t="s">
        <v>293</v>
      </c>
    </row>
    <row r="8" spans="1:3" ht="19" customHeight="1" x14ac:dyDescent="0.3">
      <c r="A8" t="s">
        <v>294</v>
      </c>
      <c r="B8" s="1" t="s">
        <v>295</v>
      </c>
      <c r="C8" s="1" t="s">
        <v>296</v>
      </c>
    </row>
    <row r="9" spans="1:3" ht="19" customHeight="1" x14ac:dyDescent="0.3">
      <c r="A9" t="s">
        <v>297</v>
      </c>
      <c r="B9" s="1" t="s">
        <v>298</v>
      </c>
      <c r="C9" s="1" t="s">
        <v>299</v>
      </c>
    </row>
    <row r="10" spans="1:3" ht="19" customHeight="1" x14ac:dyDescent="0.3">
      <c r="A10" t="s">
        <v>300</v>
      </c>
      <c r="B10" s="1" t="s">
        <v>301</v>
      </c>
      <c r="C10" s="1" t="s">
        <v>302</v>
      </c>
    </row>
    <row r="11" spans="1:3" ht="19" customHeight="1" x14ac:dyDescent="0.3">
      <c r="A11" t="s">
        <v>303</v>
      </c>
      <c r="B11" s="1" t="s">
        <v>132</v>
      </c>
      <c r="C11" s="1" t="s">
        <v>304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D5DDE5"/>
    <pageSetUpPr fitToPage="1"/>
  </sheetPr>
  <dimension ref="A2:AE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2" width="105.6640625" customWidth="1"/>
    <col min="3" max="31" width="19.6640625" style="1" customWidth="1"/>
  </cols>
  <sheetData>
    <row r="2" spans="1:2" ht="19" customHeight="1" x14ac:dyDescent="0.35">
      <c r="A2" s="3" t="s">
        <v>30</v>
      </c>
    </row>
    <row r="3" spans="1:2" ht="19" customHeight="1" x14ac:dyDescent="0.3">
      <c r="A3" s="4" t="s">
        <v>1</v>
      </c>
    </row>
    <row r="5" spans="1:2" ht="34.049999999999997" customHeight="1" x14ac:dyDescent="0.3">
      <c r="A5" s="5" t="s">
        <v>175</v>
      </c>
      <c r="B5" s="5" t="s">
        <v>305</v>
      </c>
    </row>
    <row r="6" spans="1:2" ht="19" customHeight="1" x14ac:dyDescent="0.3">
      <c r="A6" t="s">
        <v>306</v>
      </c>
      <c r="B6" t="s">
        <v>307</v>
      </c>
    </row>
    <row r="7" spans="1:2" ht="19" customHeight="1" x14ac:dyDescent="0.3">
      <c r="A7" t="s">
        <v>308</v>
      </c>
      <c r="B7" t="s">
        <v>309</v>
      </c>
    </row>
    <row r="8" spans="1:2" ht="19" customHeight="1" x14ac:dyDescent="0.3">
      <c r="A8" t="s">
        <v>310</v>
      </c>
      <c r="B8" t="s">
        <v>311</v>
      </c>
    </row>
    <row r="9" spans="1:2" ht="19" customHeight="1" x14ac:dyDescent="0.3">
      <c r="A9" t="s">
        <v>312</v>
      </c>
      <c r="B9" t="s">
        <v>313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D5DDE5"/>
    <pageSetUpPr fitToPage="1"/>
  </sheetPr>
  <dimension ref="A2:AE1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9" customHeight="1" x14ac:dyDescent="0.3"/>
  <cols>
    <col min="1" max="1" width="25.6640625" customWidth="1"/>
    <col min="2" max="2" width="105.6640625" customWidth="1"/>
    <col min="3" max="31" width="19.6640625" style="1" customWidth="1"/>
  </cols>
  <sheetData>
    <row r="2" spans="1:2" ht="19" customHeight="1" x14ac:dyDescent="0.35">
      <c r="A2" s="3" t="s">
        <v>31</v>
      </c>
    </row>
    <row r="3" spans="1:2" ht="19" customHeight="1" x14ac:dyDescent="0.3">
      <c r="A3" s="4" t="s">
        <v>1</v>
      </c>
    </row>
    <row r="5" spans="1:2" ht="34.049999999999997" customHeight="1" x14ac:dyDescent="0.3">
      <c r="A5" s="5" t="s">
        <v>314</v>
      </c>
      <c r="B5" s="5" t="s">
        <v>315</v>
      </c>
    </row>
    <row r="6" spans="1:2" ht="19" customHeight="1" x14ac:dyDescent="0.3">
      <c r="A6" t="s">
        <v>316</v>
      </c>
      <c r="B6" t="s">
        <v>317</v>
      </c>
    </row>
    <row r="7" spans="1:2" ht="19" customHeight="1" x14ac:dyDescent="0.3">
      <c r="A7" t="s">
        <v>318</v>
      </c>
      <c r="B7" t="s">
        <v>319</v>
      </c>
    </row>
    <row r="8" spans="1:2" ht="19" customHeight="1" x14ac:dyDescent="0.3">
      <c r="A8" t="s">
        <v>320</v>
      </c>
      <c r="B8" t="s">
        <v>321</v>
      </c>
    </row>
    <row r="9" spans="1:2" ht="19" customHeight="1" x14ac:dyDescent="0.3">
      <c r="A9" t="s">
        <v>322</v>
      </c>
      <c r="B9" t="s">
        <v>323</v>
      </c>
    </row>
    <row r="10" spans="1:2" ht="19" customHeight="1" x14ac:dyDescent="0.3">
      <c r="A10" t="s">
        <v>324</v>
      </c>
      <c r="B10" t="s">
        <v>325</v>
      </c>
    </row>
    <row r="11" spans="1:2" ht="19" customHeight="1" x14ac:dyDescent="0.3">
      <c r="A11" t="s">
        <v>326</v>
      </c>
      <c r="B11" t="s">
        <v>327</v>
      </c>
    </row>
    <row r="12" spans="1:2" ht="19" customHeight="1" x14ac:dyDescent="0.3">
      <c r="A12" t="s">
        <v>328</v>
      </c>
      <c r="B12" t="s">
        <v>329</v>
      </c>
    </row>
    <row r="13" spans="1:2" ht="19" customHeight="1" x14ac:dyDescent="0.3">
      <c r="A13" t="s">
        <v>330</v>
      </c>
      <c r="B13" t="s">
        <v>331</v>
      </c>
    </row>
  </sheetData>
  <sheetProtection sheet="1" objects="1" scenarios="1" sort="0" autoFilter="0"/>
  <pageMargins left="0.7" right="0.7" top="0.75" bottom="0.75" header="0.3" footer="0.3"/>
  <pageSetup fitToHeight="0" orientation="landscape"/>
  <headerFooter>
    <oddFooter>&amp;LResearch model – synthetic data&amp;RPage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44</vt:i4>
      </vt:variant>
    </vt:vector>
  </HeadingPairs>
  <TitlesOfParts>
    <vt:vector size="75" baseType="lpstr">
      <vt:lpstr>Lap Summary</vt:lpstr>
      <vt:lpstr>Setup Comparison</vt:lpstr>
      <vt:lpstr>Assumptions</vt:lpstr>
      <vt:lpstr>Aero Calculations</vt:lpstr>
      <vt:lpstr>Lap-Time Model</vt:lpstr>
      <vt:lpstr>Sector Comparison</vt:lpstr>
      <vt:lpstr>DRS Analysis</vt:lpstr>
      <vt:lpstr>Sensitivity Analysis</vt:lpstr>
      <vt:lpstr>Optimization Results</vt:lpstr>
      <vt:lpstr>Charts</vt:lpstr>
      <vt:lpstr>Vehicle Inputs</vt:lpstr>
      <vt:lpstr>Simulation Settings</vt:lpstr>
      <vt:lpstr>Segment Simulation</vt:lpstr>
      <vt:lpstr>Speed Trace</vt:lpstr>
      <vt:lpstr>Force Breakdown</vt:lpstr>
      <vt:lpstr>Tyre State</vt:lpstr>
      <vt:lpstr>Fuel State</vt:lpstr>
      <vt:lpstr>Car Inputs</vt:lpstr>
      <vt:lpstr>Circuit Inputs</vt:lpstr>
      <vt:lpstr>Sector Inputs</vt:lpstr>
      <vt:lpstr>Corner Inputs</vt:lpstr>
      <vt:lpstr>Tyre Inputs</vt:lpstr>
      <vt:lpstr>Weather Inputs</vt:lpstr>
      <vt:lpstr>Aero Map</vt:lpstr>
      <vt:lpstr>Setup Scenarios</vt:lpstr>
      <vt:lpstr>Data Quality</vt:lpstr>
      <vt:lpstr>Python Reconciliation</vt:lpstr>
      <vt:lpstr>MySQL Reconciliation</vt:lpstr>
      <vt:lpstr>Unit Reference</vt:lpstr>
      <vt:lpstr>Project Scope</vt:lpstr>
      <vt:lpstr>README</vt:lpstr>
      <vt:lpstr>AirDensity</vt:lpstr>
      <vt:lpstr>Cd</vt:lpstr>
      <vt:lpstr>ClDown</vt:lpstr>
      <vt:lpstr>DRSDragMultiplier</vt:lpstr>
      <vt:lpstr>DRSRearMultiplier</vt:lpstr>
      <vt:lpstr>Friction</vt:lpstr>
      <vt:lpstr>FrontFraction</vt:lpstr>
      <vt:lpstr>Gravity</vt:lpstr>
      <vt:lpstr>Mass</vt:lpstr>
      <vt:lpstr>'Lap Summary'!Print_Area</vt:lpstr>
      <vt:lpstr>'Aero Calculations'!Print_Titles</vt:lpstr>
      <vt:lpstr>'Aero Map'!Print_Titles</vt:lpstr>
      <vt:lpstr>Assumptions!Print_Titles</vt:lpstr>
      <vt:lpstr>'Car Inputs'!Print_Titles</vt:lpstr>
      <vt:lpstr>Charts!Print_Titles</vt:lpstr>
      <vt:lpstr>'Circuit Inputs'!Print_Titles</vt:lpstr>
      <vt:lpstr>'Corner Inputs'!Print_Titles</vt:lpstr>
      <vt:lpstr>'Data Quality'!Print_Titles</vt:lpstr>
      <vt:lpstr>'DRS Analysis'!Print_Titles</vt:lpstr>
      <vt:lpstr>'Force Breakdown'!Print_Titles</vt:lpstr>
      <vt:lpstr>'Fuel State'!Print_Titles</vt:lpstr>
      <vt:lpstr>'Lap Summary'!Print_Titles</vt:lpstr>
      <vt:lpstr>'Lap-Time Model'!Print_Titles</vt:lpstr>
      <vt:lpstr>'MySQL Reconciliation'!Print_Titles</vt:lpstr>
      <vt:lpstr>'Optimization Results'!Print_Titles</vt:lpstr>
      <vt:lpstr>'Project Scope'!Print_Titles</vt:lpstr>
      <vt:lpstr>'Python Reconciliation'!Print_Titles</vt:lpstr>
      <vt:lpstr>README!Print_Titles</vt:lpstr>
      <vt:lpstr>'Sector Comparison'!Print_Titles</vt:lpstr>
      <vt:lpstr>'Sector Inputs'!Print_Titles</vt:lpstr>
      <vt:lpstr>'Segment Simulation'!Print_Titles</vt:lpstr>
      <vt:lpstr>'Sensitivity Analysis'!Print_Titles</vt:lpstr>
      <vt:lpstr>'Setup Comparison'!Print_Titles</vt:lpstr>
      <vt:lpstr>'Setup Scenarios'!Print_Titles</vt:lpstr>
      <vt:lpstr>'Simulation Settings'!Print_Titles</vt:lpstr>
      <vt:lpstr>'Speed Trace'!Print_Titles</vt:lpstr>
      <vt:lpstr>'Tyre Inputs'!Print_Titles</vt:lpstr>
      <vt:lpstr>'Tyre State'!Print_Titles</vt:lpstr>
      <vt:lpstr>'Unit Reference'!Print_Titles</vt:lpstr>
      <vt:lpstr>'Vehicle Inputs'!Print_Titles</vt:lpstr>
      <vt:lpstr>'Weather Inputs'!Print_Titles</vt:lpstr>
      <vt:lpstr>Radius</vt:lpstr>
      <vt:lpstr>ReferenceArea</vt:lpstr>
      <vt:lpstr>Tolerance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Motorsport Aerodynamic Setup Optimization</dc:title>
  <dc:subject>Synthetic vehicle model engineering analysis</dc:subject>
  <dc:creator>Research project</dc:creator>
  <cp:lastModifiedBy>punit kale</cp:lastModifiedBy>
  <cp:lastPrinted>2026-09-17T04:27:08Z</cp:lastPrinted>
  <dcterms:created xsi:type="dcterms:W3CDTF">2026-09-17T04:27:00Z</dcterms:created>
  <dcterms:modified xsi:type="dcterms:W3CDTF">2026-09-17T04:27:09Z</dcterms:modified>
</cp:coreProperties>
</file>